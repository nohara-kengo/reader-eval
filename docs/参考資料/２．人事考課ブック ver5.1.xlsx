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threadedComments/threadedComment1.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2.xml" ContentType="application/vnd.openxmlformats-officedocument.drawing+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defaultThemeVersion="124226"/>
  <mc:AlternateContent xmlns:mc="http://schemas.openxmlformats.org/markup-compatibility/2006">
    <mc:Choice Requires="x15">
      <x15ac:absPath xmlns:x15ac="http://schemas.microsoft.com/office/spreadsheetml/2010/11/ac" url="\\Libra\管理本部\11.人事課\31_人事考課\原紙保管\202410　考課\"/>
    </mc:Choice>
  </mc:AlternateContent>
  <xr:revisionPtr revIDLastSave="0" documentId="13_ncr:1_{5D68640F-48C0-4CD6-AF9D-4EE31CF78864}" xr6:coauthVersionLast="47" xr6:coauthVersionMax="47" xr10:uidLastSave="{00000000-0000-0000-0000-000000000000}"/>
  <bookViews>
    <workbookView xWindow="-108" yWindow="-108" windowWidth="23256" windowHeight="12576" tabRatio="793" xr2:uid="{00000000-000D-0000-FFFF-FFFF00000000}"/>
  </bookViews>
  <sheets>
    <sheet name="開発職" sheetId="1" r:id="rId1"/>
    <sheet name="評価職" sheetId="9" r:id="rId2"/>
    <sheet name="運用職" sheetId="4" r:id="rId3"/>
    <sheet name="営業職" sheetId="5" r:id="rId4"/>
    <sheet name="事務職" sheetId="6" r:id="rId5"/>
    <sheet name="パンチャー職" sheetId="10" r:id="rId6"/>
    <sheet name="管理職" sheetId="7" r:id="rId7"/>
    <sheet name="スペシャリスト職" sheetId="17" r:id="rId8"/>
    <sheet name="スペシャリスト職 (2025春考課用)" sheetId="23" r:id="rId9"/>
    <sheet name="上位目標" sheetId="19" r:id="rId10"/>
    <sheet name="目標管理・ｷｬﾘｱﾌﾟﾗﾝ (作成用)" sheetId="20" r:id="rId11"/>
    <sheet name="目標管理・ｷｬﾘｱﾌﾟﾗﾝ (S職作成用) " sheetId="21" r:id="rId12"/>
    <sheet name="目標管理・ｷｬﾘｱﾌﾟﾗﾝ (記入例)" sheetId="18" r:id="rId13"/>
    <sheet name="目標管理・ｷｬﾘｱﾌﾟﾗﾝ (S職作成用) (記入例)" sheetId="22" r:id="rId14"/>
  </sheets>
  <definedNames>
    <definedName name="_xlnm.Print_Area" localSheetId="5">パンチャー職!$A$9:$L$59</definedName>
    <definedName name="_xlnm.Print_Area" localSheetId="2">運用職!$A$9:$L$59</definedName>
    <definedName name="_xlnm.Print_Area" localSheetId="3">営業職!$A$9:$L$59</definedName>
    <definedName name="_xlnm.Print_Area" localSheetId="0">開発職!$A$9:$L$59</definedName>
    <definedName name="_xlnm.Print_Area" localSheetId="6">管理職!$A$9:$K$45</definedName>
    <definedName name="_xlnm.Print_Area" localSheetId="4">事務職!$A$9:$L$59</definedName>
    <definedName name="_xlnm.Print_Area" localSheetId="1">評価職!$A$9:$L$59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23" l="1"/>
  <c r="K39" i="23"/>
  <c r="K33" i="23"/>
  <c r="K41" i="23" s="1"/>
  <c r="Z41" i="22"/>
  <c r="AQ38" i="22"/>
  <c r="AQ30" i="22"/>
  <c r="AQ22" i="22"/>
  <c r="AQ14" i="22"/>
  <c r="AQ30" i="21"/>
  <c r="Z41" i="21"/>
  <c r="AQ38" i="21"/>
  <c r="AQ22" i="21"/>
  <c r="AQ14" i="21"/>
  <c r="Z33" i="20"/>
  <c r="AQ30" i="20"/>
  <c r="AQ22" i="20"/>
  <c r="AQ14" i="20"/>
  <c r="AQ33" i="20" s="1"/>
  <c r="Z33" i="18"/>
  <c r="AQ30" i="18"/>
  <c r="AQ22" i="18"/>
  <c r="AQ14" i="18"/>
  <c r="AQ33" i="18" s="1"/>
  <c r="AQ41" i="22" l="1"/>
  <c r="AQ41" i="21"/>
  <c r="K35" i="7"/>
  <c r="K33" i="17"/>
  <c r="J33" i="17"/>
  <c r="K39" i="17"/>
  <c r="K41" i="17" l="1"/>
  <c r="L52" i="10" l="1"/>
  <c r="L47" i="10"/>
  <c r="L56" i="10" s="1"/>
  <c r="K47" i="10"/>
  <c r="J47" i="10"/>
  <c r="L52" i="9"/>
  <c r="L47" i="9"/>
  <c r="L56" i="9" s="1"/>
  <c r="K47" i="9"/>
  <c r="J47" i="9"/>
  <c r="L47" i="5"/>
  <c r="K47" i="5"/>
  <c r="L47" i="6"/>
  <c r="K47" i="6"/>
  <c r="J47" i="6"/>
  <c r="L47" i="4"/>
  <c r="K47" i="4"/>
  <c r="J47" i="4"/>
  <c r="K47" i="1"/>
  <c r="J47" i="1"/>
  <c r="J47" i="5"/>
  <c r="K42" i="7"/>
  <c r="J35" i="7"/>
  <c r="K40" i="7"/>
  <c r="L52" i="6"/>
  <c r="L56" i="6"/>
  <c r="L52" i="5"/>
  <c r="L52" i="4"/>
  <c r="L56" i="4"/>
  <c r="L47" i="1"/>
  <c r="L52" i="1"/>
  <c r="L56" i="5" l="1"/>
  <c r="L5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0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0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0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0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0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0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0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0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0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0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0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0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1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1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1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1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1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1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1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1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1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1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1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1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2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2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2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2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2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2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2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2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2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2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2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2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3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3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3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3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3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3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3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3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3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3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3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3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4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4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4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4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4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4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4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4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4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4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4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4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5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5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A14" authorId="0" shapeId="0" xr:uid="{00000000-0006-0000-0500-000003000000}">
      <text>
        <r>
          <rPr>
            <b/>
            <sz val="9"/>
            <color indexed="81"/>
            <rFont val="ＭＳ Ｐゴシック"/>
            <family val="3"/>
            <charset val="128"/>
          </rPr>
          <t xml:space="preserve">ＰＬが一次考課面談に同席した場合は、一次考課責任者名と連記してください。
一次考課の責任者は、ＰＭ以上の管理職です。
</t>
        </r>
        <r>
          <rPr>
            <sz val="9"/>
            <color indexed="81"/>
            <rFont val="ＭＳ Ｐゴシック"/>
            <family val="3"/>
            <charset val="128"/>
          </rPr>
          <t xml:space="preserve">
</t>
        </r>
      </text>
    </comment>
    <comment ref="F14" authorId="0" shapeId="0" xr:uid="{00000000-0006-0000-0500-000004000000}">
      <text>
        <r>
          <rPr>
            <b/>
            <sz val="9"/>
            <color indexed="81"/>
            <rFont val="ＭＳ Ｐゴシック"/>
            <family val="3"/>
            <charset val="128"/>
          </rPr>
          <t>二次考課の責任者は部長です。
部長名を記入してください。</t>
        </r>
        <r>
          <rPr>
            <sz val="9"/>
            <color indexed="81"/>
            <rFont val="ＭＳ Ｐゴシック"/>
            <family val="3"/>
            <charset val="128"/>
          </rPr>
          <t xml:space="preserve">
</t>
        </r>
      </text>
    </comment>
    <comment ref="F16" authorId="0" shapeId="0" xr:uid="{00000000-0006-0000-0500-000005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500-000006000000}">
      <text>
        <r>
          <rPr>
            <b/>
            <sz val="9"/>
            <color indexed="81"/>
            <rFont val="ＭＳ Ｐゴシック"/>
            <family val="3"/>
            <charset val="128"/>
          </rPr>
          <t xml:space="preserve">・各考課項目の配点です
　（×４）の場合、評価点が３点なら、１２点です
</t>
        </r>
        <r>
          <rPr>
            <sz val="9"/>
            <color indexed="81"/>
            <rFont val="ＭＳ Ｐゴシック"/>
            <family val="3"/>
            <charset val="128"/>
          </rPr>
          <t xml:space="preserve">
</t>
        </r>
      </text>
    </comment>
    <comment ref="E45" authorId="0" shapeId="0" xr:uid="{00000000-0006-0000-0500-000007000000}">
      <text>
        <r>
          <rPr>
            <b/>
            <sz val="9"/>
            <color indexed="81"/>
            <rFont val="ＭＳ Ｐゴシック"/>
            <family val="3"/>
            <charset val="128"/>
          </rPr>
          <t xml:space="preserve">・全資格共通の考課項目です
</t>
        </r>
        <r>
          <rPr>
            <sz val="9"/>
            <color indexed="81"/>
            <rFont val="ＭＳ Ｐゴシック"/>
            <family val="3"/>
            <charset val="128"/>
          </rPr>
          <t xml:space="preserve">
</t>
        </r>
      </text>
    </comment>
    <comment ref="A49" authorId="0" shapeId="0" xr:uid="{00000000-0006-0000-0500-000008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L49" authorId="0" shapeId="0" xr:uid="{00000000-0006-0000-0500-000009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54" authorId="0" shapeId="0" xr:uid="{00000000-0006-0000-0500-00000A000000}">
      <text>
        <r>
          <rPr>
            <b/>
            <sz val="9"/>
            <color indexed="81"/>
            <rFont val="ＭＳ Ｐゴシック"/>
            <family val="3"/>
            <charset val="128"/>
          </rPr>
          <t xml:space="preserve">・加点する場合は、二次考課者が具体的行動を記入します
</t>
        </r>
        <r>
          <rPr>
            <sz val="9"/>
            <color indexed="81"/>
            <rFont val="ＭＳ Ｐゴシック"/>
            <family val="3"/>
            <charset val="128"/>
          </rPr>
          <t xml:space="preserve">
</t>
        </r>
      </text>
    </comment>
    <comment ref="A57" authorId="0" shapeId="0" xr:uid="{00000000-0006-0000-0500-00000B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62" authorId="0" shapeId="0" xr:uid="{00000000-0006-0000-0500-00000C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I5" authorId="0" shapeId="0" xr:uid="{00000000-0006-0000-0600-00000100000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00000000-0006-0000-0600-000002000000}">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F14" authorId="0" shapeId="0" xr:uid="{00000000-0006-0000-0600-000003000000}">
      <text>
        <r>
          <rPr>
            <b/>
            <sz val="9"/>
            <color indexed="81"/>
            <rFont val="ＭＳ Ｐゴシック"/>
            <family val="3"/>
            <charset val="128"/>
          </rPr>
          <t>ＰＭ・Ｍの考課責任者は、部長です。
ＰＭをＭが考課した場合でも、部長と十分に意見調整し、
Ｍ・部長名を連記してください。
Ｍ３の考課責任者は、役員です。</t>
        </r>
        <r>
          <rPr>
            <sz val="9"/>
            <color indexed="81"/>
            <rFont val="ＭＳ Ｐゴシック"/>
            <family val="3"/>
            <charset val="128"/>
          </rPr>
          <t xml:space="preserve">
</t>
        </r>
      </text>
    </comment>
    <comment ref="F16" authorId="0" shapeId="0" xr:uid="{00000000-0006-0000-0600-00000400000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00000000-0006-0000-0600-000005000000}">
      <text>
        <r>
          <rPr>
            <b/>
            <sz val="9"/>
            <color indexed="81"/>
            <rFont val="ＭＳ Ｐゴシック"/>
            <family val="3"/>
            <charset val="128"/>
          </rPr>
          <t>・各考課項目の配点です
　（×２）の場合、評価点が３点なら、６点です</t>
        </r>
        <r>
          <rPr>
            <sz val="9"/>
            <color indexed="81"/>
            <rFont val="ＭＳ Ｐゴシック"/>
            <family val="3"/>
            <charset val="128"/>
          </rPr>
          <t xml:space="preserve">
</t>
        </r>
      </text>
    </comment>
    <comment ref="A37" authorId="0" shapeId="0" xr:uid="{00000000-0006-0000-0600-000006000000}">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K37" authorId="0" shapeId="0" xr:uid="{00000000-0006-0000-0600-000007000000}">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43" authorId="0" shapeId="0" xr:uid="{00000000-0006-0000-0600-00000800000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48" authorId="0" shapeId="0" xr:uid="{00000000-0006-0000-0600-000009000000}">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米坂 安代</author>
    <author>紺原 英治</author>
  </authors>
  <commentList>
    <comment ref="I5" authorId="0" shapeId="0" xr:uid="{A2E5CCF9-C227-4A71-AEC9-B83DD59DF750}">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6E0C26E1-5DB1-42F7-A225-9A3A74F1ED07}">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F16" authorId="0" shapeId="0" xr:uid="{7E09805C-C158-4B15-8DB5-4D821431C9CE}">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DD1406A2-7BF3-4100-9F34-296E68E81263}">
      <text>
        <r>
          <rPr>
            <b/>
            <sz val="9"/>
            <color indexed="81"/>
            <rFont val="ＭＳ Ｐゴシック"/>
            <family val="3"/>
            <charset val="128"/>
          </rPr>
          <t>・各考課項目の配点です
　（×3）の場合、評価点が３点なら、9点です</t>
        </r>
        <r>
          <rPr>
            <sz val="9"/>
            <color indexed="81"/>
            <rFont val="ＭＳ Ｐゴシック"/>
            <family val="3"/>
            <charset val="128"/>
          </rPr>
          <t xml:space="preserve">
</t>
        </r>
      </text>
    </comment>
    <comment ref="A21" authorId="1" shapeId="0" xr:uid="{BD9C4523-F4D9-42AE-8E99-199A96556CBF}">
      <text>
        <r>
          <rPr>
            <b/>
            <sz val="9"/>
            <color indexed="81"/>
            <rFont val="ＭＳ Ｐゴシック"/>
            <family val="3"/>
            <charset val="128"/>
          </rPr>
          <t>・各考課項目の配点です
　（×3）の場合、評価点が３点なら、9点です</t>
        </r>
      </text>
    </comment>
    <comment ref="A35" authorId="0" shapeId="0" xr:uid="{8235EC0B-C0A7-453A-B640-27B00FBB1D77}">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K35" authorId="0" shapeId="0" xr:uid="{5948600B-F478-4A60-BE9D-8D307FB1D053}">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42" authorId="0" shapeId="0" xr:uid="{DC5B8B2E-F4BA-4FB7-98C4-13AB00B8D3B5}">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47" authorId="0" shapeId="0" xr:uid="{90DAEFD9-2D53-4A5A-B607-37FBE133B124}">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米坂 安代</author>
    <author>tc={64A5F1B3-E86F-4E12-8FC0-8CF60683D292}</author>
  </authors>
  <commentList>
    <comment ref="I5" authorId="0" shapeId="0" xr:uid="{641148B3-B3FE-48B5-B7CB-6FCE90A50689}">
      <text>
        <r>
          <rPr>
            <b/>
            <sz val="9"/>
            <color indexed="81"/>
            <rFont val="ＭＳ Ｐゴシック"/>
            <family val="3"/>
            <charset val="128"/>
          </rPr>
          <t xml:space="preserve">・職務遂行力は、この評価基準を参考にしてください。資格相当は３点です
・この欄は、印刷されません
</t>
        </r>
        <r>
          <rPr>
            <sz val="9"/>
            <color indexed="81"/>
            <rFont val="ＭＳ Ｐゴシック"/>
            <family val="3"/>
            <charset val="128"/>
          </rPr>
          <t xml:space="preserve">
</t>
        </r>
      </text>
    </comment>
    <comment ref="D12" authorId="0" shapeId="0" xr:uid="{E1E4713B-3CC9-442F-9DF6-7833BC36BC64}">
      <text>
        <r>
          <rPr>
            <b/>
            <sz val="9"/>
            <color indexed="81"/>
            <rFont val="ＭＳ Ｐゴシック"/>
            <family val="3"/>
            <charset val="128"/>
          </rPr>
          <t xml:space="preserve">・資格を選択すると、職務遂行力の考課対象項目がピンクに変わります。
・自分の資格を考課してください
</t>
        </r>
      </text>
    </comment>
    <comment ref="F16" authorId="0" shapeId="0" xr:uid="{636B7BAE-AF8D-4EB7-A7FE-6924FAA85740}">
      <text>
        <r>
          <rPr>
            <b/>
            <sz val="9"/>
            <color indexed="81"/>
            <rFont val="ＭＳ Ｐゴシック"/>
            <family val="3"/>
            <charset val="128"/>
          </rPr>
          <t xml:space="preserve">・上下の資格も読んで、求められているレベル感の参考にしてください。分かりにくい場合は、職群別資格一覧も参考に！
</t>
        </r>
        <r>
          <rPr>
            <sz val="9"/>
            <color indexed="81"/>
            <rFont val="ＭＳ Ｐゴシック"/>
            <family val="3"/>
            <charset val="128"/>
          </rPr>
          <t xml:space="preserve">
</t>
        </r>
      </text>
    </comment>
    <comment ref="A17" authorId="0" shapeId="0" xr:uid="{79AF95DA-0217-4C3F-9F82-0154E06816B4}">
      <text>
        <r>
          <rPr>
            <b/>
            <sz val="9"/>
            <color indexed="81"/>
            <rFont val="ＭＳ Ｐゴシック"/>
            <family val="3"/>
            <charset val="128"/>
          </rPr>
          <t>・各考課項目の配点です
　（×3）の場合、評価点が３点なら、9点です</t>
        </r>
        <r>
          <rPr>
            <sz val="9"/>
            <color indexed="81"/>
            <rFont val="ＭＳ Ｐゴシック"/>
            <family val="3"/>
            <charset val="128"/>
          </rPr>
          <t xml:space="preserve">
</t>
        </r>
      </text>
    </comment>
    <comment ref="A25" authorId="1" shapeId="0" xr:uid="{64A5F1B3-E86F-4E12-8FC0-8CF60683D292}">
      <text>
        <t>[Threaded comment]
Your version of Excel allows you to read this threaded comment; however, any edits to it will get removed if the file is opened in a newer version of Excel. Learn more: https://go.microsoft.com/fwlink/?linkid=870924
Comment:
    ・各考課項目の配点です
　（×3）の場合、評価点が３点なら、9点です</t>
      </text>
    </comment>
    <comment ref="A35" authorId="0" shapeId="0" xr:uid="{EF8236E5-5DBC-4789-BEA3-59CCE49C4769}">
      <text>
        <r>
          <rPr>
            <b/>
            <sz val="9"/>
            <color indexed="81"/>
            <rFont val="ＭＳ Ｐゴシック"/>
            <family val="3"/>
            <charset val="128"/>
          </rPr>
          <t xml:space="preserve">・今期目標と達成結果は、被考課者（本人）が目標管理シートから転記します
</t>
        </r>
        <r>
          <rPr>
            <sz val="9"/>
            <color indexed="81"/>
            <rFont val="ＭＳ Ｐゴシック"/>
            <family val="3"/>
            <charset val="128"/>
          </rPr>
          <t xml:space="preserve">
</t>
        </r>
      </text>
    </comment>
    <comment ref="K35" authorId="0" shapeId="0" xr:uid="{DF8735C2-71B2-4335-9833-8351CF426E36}">
      <text>
        <r>
          <rPr>
            <b/>
            <sz val="9"/>
            <color indexed="81"/>
            <rFont val="ＭＳ Ｐゴシック"/>
            <family val="3"/>
            <charset val="128"/>
          </rPr>
          <t xml:space="preserve">・目標管理シートに記載されている「本人の実績」と「一次考課者の評価点」とを確認し、二次考課者が決定した評価点を記入します
</t>
        </r>
        <r>
          <rPr>
            <sz val="9"/>
            <color indexed="81"/>
            <rFont val="ＭＳ Ｐゴシック"/>
            <family val="3"/>
            <charset val="128"/>
          </rPr>
          <t xml:space="preserve">
</t>
        </r>
      </text>
    </comment>
    <comment ref="A42" authorId="0" shapeId="0" xr:uid="{1DA9A85A-91C0-4873-9217-A7845C3EEB30}">
      <text>
        <r>
          <rPr>
            <b/>
            <sz val="9"/>
            <color indexed="81"/>
            <rFont val="ＭＳ Ｐゴシック"/>
            <family val="3"/>
            <charset val="128"/>
          </rPr>
          <t>・後から考課用紙を見直した際、どのような行動を評価して点数をつけたのかがわかるよう、期間中の職務行動実績を記述してください！！</t>
        </r>
        <r>
          <rPr>
            <sz val="9"/>
            <color indexed="81"/>
            <rFont val="ＭＳ Ｐゴシック"/>
            <family val="3"/>
            <charset val="128"/>
          </rPr>
          <t xml:space="preserve">
</t>
        </r>
      </text>
    </comment>
    <comment ref="F47" authorId="0" shapeId="0" xr:uid="{5E3D2FFC-A149-4A30-A26D-B3B10A163EB9}">
      <text>
        <r>
          <rPr>
            <b/>
            <sz val="9"/>
            <color indexed="81"/>
            <rFont val="ＭＳ Ｐゴシック"/>
            <family val="3"/>
            <charset val="128"/>
          </rPr>
          <t xml:space="preserve">・5段階評価は、この評価基準を参考にしてください
・資格相当はＢです
・この欄は、印刷されません
</t>
        </r>
        <r>
          <rPr>
            <sz val="9"/>
            <color indexed="81"/>
            <rFont val="ＭＳ Ｐ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C3" authorId="0" shapeId="0" xr:uid="{232EE9E3-71CA-4EE3-9040-22FD2DF240A6}">
      <text>
        <r>
          <rPr>
            <b/>
            <sz val="16"/>
            <color indexed="81"/>
            <rFont val="MS P ゴシック"/>
            <family val="3"/>
            <charset val="128"/>
          </rPr>
          <t>事業部や部単位で作成した
三年計画Ｒ２２の目標を記載ください</t>
        </r>
        <r>
          <rPr>
            <sz val="16"/>
            <color indexed="81"/>
            <rFont val="MS P ゴシック"/>
            <family val="3"/>
            <charset val="128"/>
          </rPr>
          <t xml:space="preserve">
</t>
        </r>
      </text>
    </comment>
    <comment ref="E3" authorId="0" shapeId="0" xr:uid="{13B36D02-F551-4A35-818C-BC705CD5CCE3}">
      <text>
        <r>
          <rPr>
            <b/>
            <sz val="14"/>
            <color indexed="81"/>
            <rFont val="MS P ゴシック"/>
            <family val="3"/>
            <charset val="128"/>
          </rPr>
          <t>部の事業計画の目標を記載してください</t>
        </r>
        <r>
          <rPr>
            <sz val="14"/>
            <color indexed="81"/>
            <rFont val="MS P ゴシック"/>
            <family val="3"/>
            <charset val="128"/>
          </rPr>
          <t xml:space="preserve">
</t>
        </r>
      </text>
    </comment>
    <comment ref="H3" authorId="0" shapeId="0" xr:uid="{CB7B76D2-1B09-4FA1-9E1C-091BFD963C97}">
      <text>
        <r>
          <rPr>
            <b/>
            <sz val="14"/>
            <color indexed="81"/>
            <rFont val="MS P ゴシック"/>
            <family val="3"/>
            <charset val="128"/>
          </rPr>
          <t>部の事業計画からブレイクダウンしたかの目標を記載</t>
        </r>
        <r>
          <rPr>
            <sz val="14"/>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1EF61C12-85FF-4E9B-A9E1-4D48294CBD3A}">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D054DE92-AD82-4733-9CE1-F5799EDC17C6}">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FE395F25-2262-40BB-9A76-3A240CAEBB22}">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51F8C693-5091-4D82-BA62-ED2833A64AAE}">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5BF8621D-EA8C-4D13-BB10-CB8AA427A6B4}">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L35" authorId="0" shapeId="0" xr:uid="{50685A75-0583-4628-A130-BB384E127780}">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38" authorId="0" shapeId="0" xr:uid="{9A4E279F-4A8D-4997-8D3B-D53DF9826983}">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39" authorId="0" shapeId="0" xr:uid="{714DECFA-637E-466D-B65F-32E6CAE144CF}">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604B9854-4666-4E8D-904C-F275408643BA}">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29D799A0-384B-497D-8B62-654F7A25FBD3}">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61676853-1CB3-4CC0-8C10-66A75EBD37FF}">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972C26A7-246D-4768-9A1C-D93E99CFBC61}">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F7ABD831-5733-4B99-B4FE-E43C29AD47F1}">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L43" authorId="0" shapeId="0" xr:uid="{CED7601D-AC7C-4E93-BFC2-7F8AD2BCB951}">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46" authorId="0" shapeId="0" xr:uid="{1A141549-B587-4243-B223-50D82CFA3C05}">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47" authorId="0" shapeId="0" xr:uid="{BDE30FBB-95B5-44D8-9B56-5785948A923B}">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C300FE21-E167-4DEE-997F-45D576279051}">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4D6EF8FE-5FFB-429F-BDD7-0EC69D456D1D}">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AB6D7499-A4FE-495B-B3E0-71672A5B59BC}">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D8AC7649-646E-42E2-BB4E-0D6C9D03A8F6}">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8009DC80-B8BC-41B8-945B-5FF57A516517}">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AW9" authorId="0" shapeId="0" xr:uid="{D6F15E35-1A5D-49F8-9A2A-DC1842B9919A}">
      <text>
        <r>
          <rPr>
            <b/>
            <sz val="12"/>
            <color indexed="81"/>
            <rFont val="ＭＳ Ｐゴシック"/>
            <family val="3"/>
            <charset val="128"/>
          </rPr>
          <t>・このレベル感はとても重要です
・資格相当だが努力が必要なレベルの成果が５点です。最初は設定が難しいですが、何が達成できれば事業に「資格相当に」貢献したといえるかを自分なりに考えてみましょう</t>
        </r>
        <r>
          <rPr>
            <sz val="12"/>
            <color indexed="81"/>
            <rFont val="ＭＳ Ｐゴシック"/>
            <family val="3"/>
            <charset val="128"/>
          </rPr>
          <t xml:space="preserve">
</t>
        </r>
      </text>
    </comment>
    <comment ref="AW18" authorId="0" shapeId="0" xr:uid="{4877330B-A9EF-404B-AE3D-D3570FC52916}">
      <text>
        <r>
          <rPr>
            <b/>
            <sz val="12"/>
            <color indexed="81"/>
            <rFont val="ＭＳ Ｐゴシック"/>
            <family val="3"/>
            <charset val="128"/>
          </rPr>
          <t xml:space="preserve">・Ｒ１～Ｒ４のウェイトはすべて１です
・目標管理のウェイトが大きいＭ１以上はウェイトをかけます
</t>
        </r>
        <r>
          <rPr>
            <sz val="12"/>
            <color indexed="81"/>
            <rFont val="ＭＳ Ｐゴシック"/>
            <family val="3"/>
            <charset val="128"/>
          </rPr>
          <t xml:space="preserve">
</t>
        </r>
      </text>
    </comment>
    <comment ref="L35" authorId="0" shapeId="0" xr:uid="{6E0EF6E3-05AF-4DDC-BBCD-6B2B9947F016}">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38" authorId="0" shapeId="0" xr:uid="{C8F4C170-F70F-452D-A8CA-2AE40BB8774D}">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39" authorId="0" shapeId="0" xr:uid="{297049B1-16CC-4395-93C0-233058010BD5}">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米坂 安代</author>
    <author>紺原 英治</author>
  </authors>
  <commentList>
    <comment ref="Y3" authorId="0" shapeId="0" xr:uid="{D74736D2-E614-4D59-9FD1-38E87619BCBD}">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Z6" authorId="1" shapeId="0" xr:uid="{D7F92691-D0A1-45D2-B344-00341D2C93A3}">
      <text>
        <r>
          <rPr>
            <b/>
            <sz val="18"/>
            <color indexed="81"/>
            <rFont val="ＭＳ Ｐゴシック"/>
            <family val="3"/>
            <charset val="128"/>
          </rPr>
          <t>○固定項目のウエイト
・Ｓ４、Ｓ３：</t>
        </r>
        <r>
          <rPr>
            <b/>
            <sz val="18"/>
            <color indexed="10"/>
            <rFont val="ＭＳ Ｐゴシック"/>
            <family val="3"/>
            <charset val="128"/>
          </rPr>
          <t>６</t>
        </r>
        <r>
          <rPr>
            <b/>
            <sz val="18"/>
            <color indexed="81"/>
            <rFont val="ＭＳ Ｐゴシック"/>
            <family val="3"/>
            <charset val="128"/>
          </rPr>
          <t xml:space="preserve">
・Ｓ２、Ｓ１：</t>
        </r>
        <r>
          <rPr>
            <b/>
            <sz val="18"/>
            <color indexed="10"/>
            <rFont val="ＭＳ Ｐゴシック"/>
            <family val="3"/>
            <charset val="128"/>
          </rPr>
          <t xml:space="preserve">４
</t>
        </r>
        <r>
          <rPr>
            <b/>
            <sz val="18"/>
            <color indexed="81"/>
            <rFont val="ＭＳ Ｐゴシック"/>
            <family val="3"/>
            <charset val="128"/>
          </rPr>
          <t xml:space="preserve">○任意項目
・Ｓ４、Ｓ３：20点満点になるよう設定する
・Ｓ２、Ｓ１：20点満点になるよう設定する
</t>
        </r>
      </text>
    </comment>
    <comment ref="B7" authorId="0" shapeId="0" xr:uid="{2B1A8528-C8AB-4235-A033-3D450A826B14}">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2D27A1CC-878C-4492-907F-B46442E02851}">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B279C47F-D4F8-4C0F-B3AD-B1F0212EA78A}">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E52C25F4-10F8-4246-BA91-93961D840CFD}">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AV9" authorId="0" shapeId="0" xr:uid="{608E5359-0400-4CDC-AFBC-D35DEDA9A18A}">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 ref="L43" authorId="0" shapeId="0" xr:uid="{8F9DB669-40C8-4F71-89D1-7E847C592A76}">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46" authorId="0" shapeId="0" xr:uid="{542B11FF-D26E-42B6-8D21-8A8263D953F4}">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47" authorId="0" shapeId="0" xr:uid="{D43571B8-4E1F-4808-8D13-2045324EC7BF}">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sharedStrings.xml><?xml version="1.0" encoding="utf-8"?>
<sst xmlns="http://schemas.openxmlformats.org/spreadsheetml/2006/main" count="1791" uniqueCount="444">
  <si>
    <t>「自己評価／一次考課／二次考課」の欄は、下記の５段階で評価点を記入する</t>
    <rPh sb="1" eb="3">
      <t>ジコ</t>
    </rPh>
    <rPh sb="3" eb="5">
      <t>ヒョウカ</t>
    </rPh>
    <rPh sb="6" eb="8">
      <t>イチジ</t>
    </rPh>
    <rPh sb="8" eb="10">
      <t>コウカ</t>
    </rPh>
    <rPh sb="11" eb="13">
      <t>ニジ</t>
    </rPh>
    <rPh sb="13" eb="15">
      <t>コウカ</t>
    </rPh>
    <rPh sb="17" eb="18">
      <t>ラン</t>
    </rPh>
    <rPh sb="20" eb="22">
      <t>カキ</t>
    </rPh>
    <rPh sb="24" eb="26">
      <t>ダンカイ</t>
    </rPh>
    <rPh sb="27" eb="29">
      <t>ヒョウカ</t>
    </rPh>
    <rPh sb="29" eb="30">
      <t>テン</t>
    </rPh>
    <rPh sb="31" eb="33">
      <t>キニュウ</t>
    </rPh>
    <phoneticPr fontId="24"/>
  </si>
  <si>
    <t>評価点</t>
    <rPh sb="0" eb="2">
      <t>ヒョウカ</t>
    </rPh>
    <rPh sb="2" eb="3">
      <t>テン</t>
    </rPh>
    <phoneticPr fontId="24"/>
  </si>
  <si>
    <t>評価基準</t>
    <rPh sb="0" eb="2">
      <t>ヒョウカ</t>
    </rPh>
    <rPh sb="2" eb="4">
      <t>キジュン</t>
    </rPh>
    <phoneticPr fontId="24"/>
  </si>
  <si>
    <t>行動の頻度</t>
    <rPh sb="0" eb="2">
      <t>コウドウ</t>
    </rPh>
    <rPh sb="3" eb="5">
      <t>ヒンド</t>
    </rPh>
    <phoneticPr fontId="26"/>
  </si>
  <si>
    <t>行動の創意工夫</t>
    <rPh sb="0" eb="2">
      <t>コウドウ</t>
    </rPh>
    <rPh sb="3" eb="5">
      <t>ソウイ</t>
    </rPh>
    <rPh sb="5" eb="7">
      <t>クフウ</t>
    </rPh>
    <phoneticPr fontId="26"/>
  </si>
  <si>
    <t>状況の変化をもたらす積極的な行動がとれた
　－上位資格相当と言える行動を行った　</t>
    <rPh sb="23" eb="25">
      <t>ジョウイ</t>
    </rPh>
    <rPh sb="25" eb="27">
      <t>シカク</t>
    </rPh>
    <rPh sb="27" eb="29">
      <t>ソウトウ</t>
    </rPh>
    <rPh sb="30" eb="31">
      <t>イ</t>
    </rPh>
    <rPh sb="33" eb="35">
      <t>コウドウ</t>
    </rPh>
    <rPh sb="36" eb="37">
      <t>オコナ</t>
    </rPh>
    <phoneticPr fontId="24"/>
  </si>
  <si>
    <t>常にみられる</t>
    <rPh sb="0" eb="1">
      <t>ツネ</t>
    </rPh>
    <phoneticPr fontId="24"/>
  </si>
  <si>
    <t>特に秀で群を抜く</t>
    <rPh sb="0" eb="1">
      <t>トク</t>
    </rPh>
    <rPh sb="2" eb="3">
      <t>ヒイ</t>
    </rPh>
    <rPh sb="4" eb="5">
      <t>グン</t>
    </rPh>
    <rPh sb="6" eb="7">
      <t>ヌ</t>
    </rPh>
    <phoneticPr fontId="24"/>
  </si>
  <si>
    <t>周囲に良い影響を与え、みなの手本となる行動
　－上司や組織の方針を理解し、主体的に行動した</t>
    <rPh sb="0" eb="2">
      <t>シュウイ</t>
    </rPh>
    <rPh sb="3" eb="4">
      <t>ヨ</t>
    </rPh>
    <rPh sb="5" eb="7">
      <t>エイキョウ</t>
    </rPh>
    <rPh sb="8" eb="9">
      <t>アタ</t>
    </rPh>
    <rPh sb="14" eb="16">
      <t>テホン</t>
    </rPh>
    <rPh sb="19" eb="21">
      <t>コウドウ</t>
    </rPh>
    <phoneticPr fontId="26"/>
  </si>
  <si>
    <t>顕著である</t>
    <rPh sb="0" eb="2">
      <t>ケンチョ</t>
    </rPh>
    <phoneticPr fontId="24"/>
  </si>
  <si>
    <r>
      <t>常に行動として顕われていた
　</t>
    </r>
    <r>
      <rPr>
        <b/>
        <sz val="10"/>
        <color indexed="10"/>
        <rFont val="ＭＳ Ｐゴシック"/>
        <family val="3"/>
        <charset val="128"/>
      </rPr>
      <t>－資格相当と言える行動を行った</t>
    </r>
    <r>
      <rPr>
        <sz val="10"/>
        <rFont val="ＭＳ Ｐゴシック"/>
        <family val="3"/>
        <charset val="128"/>
      </rPr>
      <t>　</t>
    </r>
    <rPh sb="0" eb="1">
      <t>ツネ</t>
    </rPh>
    <rPh sb="2" eb="4">
      <t>コウドウ</t>
    </rPh>
    <rPh sb="7" eb="8">
      <t>アラ</t>
    </rPh>
    <phoneticPr fontId="26"/>
  </si>
  <si>
    <t>ある程度みられる</t>
    <rPh sb="2" eb="4">
      <t>テイド</t>
    </rPh>
    <phoneticPr fontId="24"/>
  </si>
  <si>
    <t>⇒ここが資格相当の標準点</t>
    <rPh sb="4" eb="6">
      <t>シカク</t>
    </rPh>
    <rPh sb="6" eb="8">
      <t>ソウトウ</t>
    </rPh>
    <rPh sb="9" eb="11">
      <t>ヒョウジュン</t>
    </rPh>
    <rPh sb="11" eb="12">
      <t>テン</t>
    </rPh>
    <phoneticPr fontId="24"/>
  </si>
  <si>
    <t>一部指示を必要とした／消極的な行動だった
　－やや実行したが、貢献は不十分だった</t>
    <rPh sb="0" eb="2">
      <t>イチブ</t>
    </rPh>
    <rPh sb="2" eb="4">
      <t>シジ</t>
    </rPh>
    <rPh sb="5" eb="7">
      <t>ヒツヨウ</t>
    </rPh>
    <phoneticPr fontId="26"/>
  </si>
  <si>
    <t>常ではない</t>
    <rPh sb="0" eb="1">
      <t>ツネ</t>
    </rPh>
    <phoneticPr fontId="24"/>
  </si>
  <si>
    <t>みられない</t>
    <phoneticPr fontId="24"/>
  </si>
  <si>
    <t>行動として顕われていなかった
　－ほぼ実行できず、貢献は不十分だった</t>
    <rPh sb="0" eb="2">
      <t>コウドウ</t>
    </rPh>
    <rPh sb="5" eb="6">
      <t>アラ</t>
    </rPh>
    <phoneticPr fontId="26"/>
  </si>
  <si>
    <r>
      <t>【人事考課シート】</t>
    </r>
    <r>
      <rPr>
        <b/>
        <sz val="24"/>
        <rFont val="ＭＳ Ｐゴシック"/>
        <family val="3"/>
        <charset val="128"/>
      </rPr>
      <t>　</t>
    </r>
    <rPh sb="1" eb="3">
      <t>ジンジ</t>
    </rPh>
    <rPh sb="3" eb="5">
      <t>コウカ</t>
    </rPh>
    <phoneticPr fontId="24"/>
  </si>
  <si>
    <t>２０２４年９～１０月実施</t>
    <rPh sb="4" eb="5">
      <t>ネン</t>
    </rPh>
    <rPh sb="9" eb="10">
      <t>ガツ</t>
    </rPh>
    <rPh sb="10" eb="12">
      <t>ジッシ</t>
    </rPh>
    <phoneticPr fontId="24"/>
  </si>
  <si>
    <t>　開発職</t>
    <phoneticPr fontId="24"/>
  </si>
  <si>
    <t>資格</t>
    <rPh sb="0" eb="2">
      <t>シカク</t>
    </rPh>
    <phoneticPr fontId="24"/>
  </si>
  <si>
    <t>Ｒ１</t>
  </si>
  <si>
    <t>考課対象期間</t>
    <rPh sb="0" eb="2">
      <t>コウカ</t>
    </rPh>
    <rPh sb="2" eb="4">
      <t>タイショウ</t>
    </rPh>
    <rPh sb="4" eb="6">
      <t>キカン</t>
    </rPh>
    <phoneticPr fontId="24"/>
  </si>
  <si>
    <t xml:space="preserve"> ～</t>
    <phoneticPr fontId="24"/>
  </si>
  <si>
    <t>所  属</t>
    <phoneticPr fontId="24"/>
  </si>
  <si>
    <t>●●事業一部　開発▲課</t>
    <rPh sb="2" eb="4">
      <t>ジギョウ</t>
    </rPh>
    <rPh sb="4" eb="6">
      <t>イチブ</t>
    </rPh>
    <rPh sb="7" eb="9">
      <t>カイハツ</t>
    </rPh>
    <rPh sb="10" eb="11">
      <t>カ</t>
    </rPh>
    <phoneticPr fontId="24"/>
  </si>
  <si>
    <t>氏  名</t>
    <rPh sb="0" eb="1">
      <t>シ</t>
    </rPh>
    <rPh sb="3" eb="4">
      <t>メイ</t>
    </rPh>
    <phoneticPr fontId="24"/>
  </si>
  <si>
    <t>日本　太郎</t>
    <phoneticPr fontId="24"/>
  </si>
  <si>
    <t>一次考課者</t>
    <rPh sb="0" eb="2">
      <t>イチジ</t>
    </rPh>
    <rPh sb="2" eb="4">
      <t>コウカ</t>
    </rPh>
    <rPh sb="4" eb="5">
      <t>シャ</t>
    </rPh>
    <phoneticPr fontId="24"/>
  </si>
  <si>
    <t>山田　花子</t>
    <phoneticPr fontId="24"/>
  </si>
  <si>
    <t>二次考課者</t>
    <rPh sb="0" eb="2">
      <t>ニジ</t>
    </rPh>
    <rPh sb="2" eb="4">
      <t>コウカ</t>
    </rPh>
    <rPh sb="4" eb="5">
      <t>シャ</t>
    </rPh>
    <phoneticPr fontId="24"/>
  </si>
  <si>
    <t>富士　一郎</t>
    <phoneticPr fontId="24"/>
  </si>
  <si>
    <r>
      <t xml:space="preserve">【職務遂行力】 </t>
    </r>
    <r>
      <rPr>
        <sz val="10"/>
        <rFont val="ＭＳ Ｐゴシック"/>
        <family val="3"/>
        <charset val="128"/>
      </rPr>
      <t>業務で能力を発揮して行動した質と量</t>
    </r>
    <rPh sb="1" eb="3">
      <t>ショクム</t>
    </rPh>
    <rPh sb="3" eb="5">
      <t>スイコウ</t>
    </rPh>
    <rPh sb="5" eb="6">
      <t>チカラ</t>
    </rPh>
    <phoneticPr fontId="24"/>
  </si>
  <si>
    <t>考課項目</t>
    <rPh sb="0" eb="2">
      <t>コウカ</t>
    </rPh>
    <rPh sb="2" eb="4">
      <t>コウモク</t>
    </rPh>
    <phoneticPr fontId="24"/>
  </si>
  <si>
    <t>考課のポイント</t>
    <rPh sb="0" eb="2">
      <t>コウカ</t>
    </rPh>
    <phoneticPr fontId="24"/>
  </si>
  <si>
    <t>業績への貢献度　（自分の資格の行だけ評価してください）</t>
    <rPh sb="0" eb="2">
      <t>ギョウセキ</t>
    </rPh>
    <rPh sb="4" eb="6">
      <t>コウケン</t>
    </rPh>
    <rPh sb="6" eb="7">
      <t>ド</t>
    </rPh>
    <rPh sb="9" eb="10">
      <t>ジ</t>
    </rPh>
    <rPh sb="10" eb="11">
      <t>ブン</t>
    </rPh>
    <rPh sb="12" eb="14">
      <t>シカク</t>
    </rPh>
    <rPh sb="15" eb="16">
      <t>ギョウ</t>
    </rPh>
    <rPh sb="18" eb="20">
      <t>ヒョウカ</t>
    </rPh>
    <phoneticPr fontId="24"/>
  </si>
  <si>
    <t>自己
評価</t>
    <rPh sb="0" eb="2">
      <t>ジコ</t>
    </rPh>
    <rPh sb="3" eb="5">
      <t>ヒョウカ</t>
    </rPh>
    <phoneticPr fontId="24"/>
  </si>
  <si>
    <t>一次
考課</t>
    <rPh sb="0" eb="2">
      <t>イチジ</t>
    </rPh>
    <rPh sb="3" eb="5">
      <t>コウカ</t>
    </rPh>
    <phoneticPr fontId="24"/>
  </si>
  <si>
    <t>二次
考課</t>
    <rPh sb="0" eb="2">
      <t>ニジ</t>
    </rPh>
    <rPh sb="3" eb="5">
      <t>コウカ</t>
    </rPh>
    <phoneticPr fontId="24"/>
  </si>
  <si>
    <t>業務の
実行・責任
（×４）</t>
    <rPh sb="0" eb="2">
      <t>ギョウム</t>
    </rPh>
    <rPh sb="4" eb="6">
      <t>ジッコウ</t>
    </rPh>
    <rPh sb="7" eb="9">
      <t>セキニン</t>
    </rPh>
    <phoneticPr fontId="24"/>
  </si>
  <si>
    <t>任された仕事を主体的に確実に実行し、自らの責任を全うしたか</t>
    <rPh sb="0" eb="1">
      <t>マカ</t>
    </rPh>
    <rPh sb="4" eb="6">
      <t>シゴト</t>
    </rPh>
    <rPh sb="7" eb="10">
      <t>シュタイテキ</t>
    </rPh>
    <rPh sb="11" eb="13">
      <t>カクジツ</t>
    </rPh>
    <rPh sb="14" eb="16">
      <t>ジッコウ</t>
    </rPh>
    <rPh sb="18" eb="19">
      <t>ミズカ</t>
    </rPh>
    <rPh sb="21" eb="23">
      <t>セキニン</t>
    </rPh>
    <rPh sb="24" eb="25">
      <t>マット</t>
    </rPh>
    <phoneticPr fontId="24"/>
  </si>
  <si>
    <t>Ｒ４</t>
    <phoneticPr fontId="24"/>
  </si>
  <si>
    <t>上位者の要点的な指示の下で、プロジェクトマネジメントを実践した
または高度な専門技術をもつメンバとしての役割を持って、プロジェクトに参画した</t>
    <phoneticPr fontId="24"/>
  </si>
  <si>
    <t>Ｒ３</t>
    <phoneticPr fontId="24"/>
  </si>
  <si>
    <t>プロジェクトマネジメントの基礎知識を活用し、業務遂行した
または専門分野の技術をもつメンバとしての役割を持って、プロジェクトに参画した</t>
    <phoneticPr fontId="24"/>
  </si>
  <si>
    <t>Ｒ２</t>
    <phoneticPr fontId="24"/>
  </si>
  <si>
    <t>担当業務を独力で遂行した
また、自らの役割･責任を拡大するため、上位者を積極的にサポートした</t>
    <phoneticPr fontId="24"/>
  </si>
  <si>
    <t>Ｒ１</t>
    <phoneticPr fontId="24"/>
  </si>
  <si>
    <t>正確な作業・納期遵守を意識し、要求された業務を確実に実施した</t>
    <rPh sb="0" eb="2">
      <t>セイカク</t>
    </rPh>
    <rPh sb="3" eb="5">
      <t>サギョウ</t>
    </rPh>
    <phoneticPr fontId="24"/>
  </si>
  <si>
    <t>生産効率
業務改善
（×２）</t>
    <rPh sb="5" eb="7">
      <t>ギョウム</t>
    </rPh>
    <rPh sb="7" eb="9">
      <t>カイゼン</t>
    </rPh>
    <phoneticPr fontId="24"/>
  </si>
  <si>
    <t>【R3・R4】
部や課の利益目標にそって、生産性を高めるために、日々の業務の中に課題を発見し、業務改善を行い、効果を出したか
【R1・R2】
予定時間内に予定した業務を効率よく行い、残業時間の削減に効果があったか</t>
    <rPh sb="91" eb="93">
      <t>ザンギョウ</t>
    </rPh>
    <rPh sb="93" eb="95">
      <t>ジカン</t>
    </rPh>
    <rPh sb="96" eb="98">
      <t>サクゲン</t>
    </rPh>
    <rPh sb="99" eb="101">
      <t>コウカ</t>
    </rPh>
    <phoneticPr fontId="24"/>
  </si>
  <si>
    <t>自ら進んで自部門の改善活動に積極的に取り組み、有効な策を立案し、実行した</t>
    <phoneticPr fontId="24"/>
  </si>
  <si>
    <t>自ら進んで自部門・チームの改善活動に積極的に取り組み、効果を出した</t>
    <rPh sb="5" eb="6">
      <t>ジ</t>
    </rPh>
    <rPh sb="6" eb="8">
      <t>ブモン</t>
    </rPh>
    <rPh sb="27" eb="29">
      <t>コウカ</t>
    </rPh>
    <rPh sb="30" eb="31">
      <t>ダ</t>
    </rPh>
    <phoneticPr fontId="24"/>
  </si>
  <si>
    <t>担当業務プロセスのムリ・ムダを発見・改善し、業務効率をあげた</t>
    <rPh sb="0" eb="2">
      <t>タントウ</t>
    </rPh>
    <rPh sb="2" eb="4">
      <t>ギョウム</t>
    </rPh>
    <rPh sb="15" eb="17">
      <t>ハッケン</t>
    </rPh>
    <rPh sb="18" eb="20">
      <t>カイゼン</t>
    </rPh>
    <rPh sb="22" eb="24">
      <t>ギョウム</t>
    </rPh>
    <rPh sb="24" eb="26">
      <t>コウリツ</t>
    </rPh>
    <phoneticPr fontId="24"/>
  </si>
  <si>
    <t>仕事の目的をよく理解し、ミスを放置せず、手戻りのない仕事をした</t>
    <phoneticPr fontId="24"/>
  </si>
  <si>
    <t>品質向上
（×２）</t>
    <phoneticPr fontId="24"/>
  </si>
  <si>
    <t>成果物・システムの品質を確保するための努力と工夫を行い、品質向上に寄与したか</t>
    <rPh sb="28" eb="30">
      <t>ヒンシツ</t>
    </rPh>
    <rPh sb="30" eb="32">
      <t>コウジョウ</t>
    </rPh>
    <rPh sb="33" eb="35">
      <t>キヨ</t>
    </rPh>
    <phoneticPr fontId="24"/>
  </si>
  <si>
    <t>自ら進んで自部門の品質向上活動に積極的に取り組み、有効な策を立案し、実行した</t>
    <rPh sb="28" eb="29">
      <t>サク</t>
    </rPh>
    <phoneticPr fontId="24"/>
  </si>
  <si>
    <t>自ら進んで自部門・チームの品質向上活動に積極的に取り組み、効果を出した</t>
    <rPh sb="29" eb="31">
      <t>コウカ</t>
    </rPh>
    <rPh sb="32" eb="33">
      <t>ダ</t>
    </rPh>
    <phoneticPr fontId="24"/>
  </si>
  <si>
    <t>正確に業務を行い、品質の良い成果物を作成した</t>
    <rPh sb="9" eb="11">
      <t>ヒンシツ</t>
    </rPh>
    <rPh sb="12" eb="13">
      <t>ヨ</t>
    </rPh>
    <rPh sb="14" eb="17">
      <t>セイカブツ</t>
    </rPh>
    <rPh sb="18" eb="20">
      <t>サクセイ</t>
    </rPh>
    <phoneticPr fontId="24"/>
  </si>
  <si>
    <t>上位者の指導の下、正確に業務を行い、品質の良い成果物を作成した</t>
    <rPh sb="18" eb="20">
      <t>ヒンシツ</t>
    </rPh>
    <rPh sb="21" eb="22">
      <t>ヨ</t>
    </rPh>
    <rPh sb="23" eb="26">
      <t>セイカブツ</t>
    </rPh>
    <rPh sb="27" eb="29">
      <t>サクセイ</t>
    </rPh>
    <phoneticPr fontId="24"/>
  </si>
  <si>
    <t>顧客・関係者
からの信頼
（×２）</t>
    <rPh sb="0" eb="2">
      <t>コキャク</t>
    </rPh>
    <rPh sb="3" eb="5">
      <t>カンケイ</t>
    </rPh>
    <rPh sb="5" eb="6">
      <t>モノ</t>
    </rPh>
    <rPh sb="10" eb="12">
      <t>シンライ</t>
    </rPh>
    <phoneticPr fontId="24"/>
  </si>
  <si>
    <t>顧客・関係者（社員・協業パートナー）に誠意をもって対応し、信頼を得られたか
顧客から信頼され、名指しでリピート契約を受けられるような仕事ぶりだったか</t>
    <rPh sb="0" eb="2">
      <t>コキャク</t>
    </rPh>
    <rPh sb="3" eb="6">
      <t>カンケイシャ</t>
    </rPh>
    <rPh sb="7" eb="9">
      <t>シャイン</t>
    </rPh>
    <rPh sb="10" eb="12">
      <t>キョウギョウ</t>
    </rPh>
    <rPh sb="19" eb="21">
      <t>セイイ</t>
    </rPh>
    <rPh sb="25" eb="27">
      <t>タイオウ</t>
    </rPh>
    <rPh sb="29" eb="31">
      <t>シンライ</t>
    </rPh>
    <rPh sb="32" eb="33">
      <t>エ</t>
    </rPh>
    <rPh sb="39" eb="41">
      <t>コキャク</t>
    </rPh>
    <rPh sb="43" eb="45">
      <t>シンライ</t>
    </rPh>
    <rPh sb="48" eb="50">
      <t>ナザ</t>
    </rPh>
    <rPh sb="56" eb="58">
      <t>ケイヤク</t>
    </rPh>
    <rPh sb="59" eb="60">
      <t>ウ</t>
    </rPh>
    <rPh sb="67" eb="69">
      <t>シゴト</t>
    </rPh>
    <phoneticPr fontId="24"/>
  </si>
  <si>
    <t>顧客のニーズを理解し、付加価値ある提案を行った</t>
    <rPh sb="20" eb="21">
      <t>オコナ</t>
    </rPh>
    <phoneticPr fontId="24"/>
  </si>
  <si>
    <t>顧客・関係者の要求や立場を理解し、上位者の指導の下、提案を行ったり、顧客にとって、価値ある対応をした</t>
    <phoneticPr fontId="24"/>
  </si>
  <si>
    <t>共通の課題解決に向かって取り組むために、顧客や関係者と有効な関係づくりを行った</t>
    <rPh sb="0" eb="2">
      <t>キョウツウ</t>
    </rPh>
    <rPh sb="3" eb="5">
      <t>カダイ</t>
    </rPh>
    <rPh sb="5" eb="7">
      <t>カイケツ</t>
    </rPh>
    <rPh sb="8" eb="9">
      <t>ム</t>
    </rPh>
    <rPh sb="12" eb="13">
      <t>ト</t>
    </rPh>
    <rPh sb="14" eb="15">
      <t>ク</t>
    </rPh>
    <rPh sb="20" eb="22">
      <t>コキャク</t>
    </rPh>
    <rPh sb="23" eb="26">
      <t>カンケイシャ</t>
    </rPh>
    <rPh sb="27" eb="29">
      <t>ユウコウ</t>
    </rPh>
    <rPh sb="30" eb="32">
      <t>カンケイ</t>
    </rPh>
    <rPh sb="36" eb="37">
      <t>イ</t>
    </rPh>
    <phoneticPr fontId="24"/>
  </si>
  <si>
    <t>顧客や関係者には誠意をもって対応し、信頼関係を築こうと働きかけた</t>
    <rPh sb="27" eb="28">
      <t>ハタラ</t>
    </rPh>
    <phoneticPr fontId="24"/>
  </si>
  <si>
    <t>渉外・折衝
（×１）</t>
    <rPh sb="0" eb="2">
      <t>ショウガイ</t>
    </rPh>
    <rPh sb="3" eb="5">
      <t>セッショウ</t>
    </rPh>
    <phoneticPr fontId="24"/>
  </si>
  <si>
    <t>社内関係者や顧客担当者に対して、交渉・調整し、有利な結果を導いたり、信頼関係を強めたりしたか</t>
    <rPh sb="0" eb="2">
      <t>シャナイ</t>
    </rPh>
    <rPh sb="2" eb="5">
      <t>カンケイシャ</t>
    </rPh>
    <rPh sb="6" eb="8">
      <t>コキャク</t>
    </rPh>
    <rPh sb="8" eb="11">
      <t>タントウシャ</t>
    </rPh>
    <rPh sb="12" eb="13">
      <t>タイ</t>
    </rPh>
    <rPh sb="16" eb="18">
      <t>コウショウ</t>
    </rPh>
    <rPh sb="19" eb="21">
      <t>チョウセイ</t>
    </rPh>
    <rPh sb="23" eb="25">
      <t>ユウリ</t>
    </rPh>
    <rPh sb="26" eb="28">
      <t>ケッカ</t>
    </rPh>
    <rPh sb="29" eb="30">
      <t>ミチビ</t>
    </rPh>
    <rPh sb="34" eb="36">
      <t>シンライ</t>
    </rPh>
    <rPh sb="36" eb="38">
      <t>カンケイ</t>
    </rPh>
    <rPh sb="39" eb="40">
      <t>ツヨ</t>
    </rPh>
    <phoneticPr fontId="24"/>
  </si>
  <si>
    <t>高度な専門性をベースに顧客交渉を有利にリードできた</t>
    <rPh sb="13" eb="15">
      <t>コウショウ</t>
    </rPh>
    <phoneticPr fontId="24"/>
  </si>
  <si>
    <t>顧客や関係者と良好な関係を維持しつつ、当該分野の熟練者として、独力で交渉・調整した</t>
    <phoneticPr fontId="24"/>
  </si>
  <si>
    <t>社内関係者との調整役を果たした
または、上位者の指導の下で関係先と折衝した</t>
    <rPh sb="0" eb="2">
      <t>シャナイ</t>
    </rPh>
    <rPh sb="2" eb="5">
      <t>カンケイシャ</t>
    </rPh>
    <rPh sb="7" eb="10">
      <t>チョウセイヤク</t>
    </rPh>
    <rPh sb="11" eb="12">
      <t>ハ</t>
    </rPh>
    <rPh sb="20" eb="23">
      <t>ジョウイシャ</t>
    </rPh>
    <rPh sb="24" eb="26">
      <t>シドウ</t>
    </rPh>
    <rPh sb="27" eb="28">
      <t>モト</t>
    </rPh>
    <rPh sb="29" eb="31">
      <t>カンケイ</t>
    </rPh>
    <rPh sb="31" eb="32">
      <t>サキ</t>
    </rPh>
    <rPh sb="33" eb="35">
      <t>セッショウ</t>
    </rPh>
    <phoneticPr fontId="24"/>
  </si>
  <si>
    <t>上位者への報告、連絡、相談は、タイミング良く、要領よく行った</t>
    <phoneticPr fontId="24"/>
  </si>
  <si>
    <t>ﾘｰﾀﾞｰｼｯﾌﾟ
ﾒﾝﾊﾞｰｼｯﾌﾟ
（×２）</t>
    <phoneticPr fontId="24"/>
  </si>
  <si>
    <t>【R3・R4】
チームを牽引し、業務目標を達成したか
【R1・R2】
チームメンバとして、周囲が気持ちよく協業できる関係づくりに貢献したか</t>
    <rPh sb="12" eb="14">
      <t>ケンイン</t>
    </rPh>
    <rPh sb="16" eb="18">
      <t>ギョウム</t>
    </rPh>
    <rPh sb="18" eb="20">
      <t>モクヒョウ</t>
    </rPh>
    <rPh sb="21" eb="23">
      <t>タッセイ</t>
    </rPh>
    <phoneticPr fontId="24"/>
  </si>
  <si>
    <t>リーダーとして各フェーズの成果物に責任を持ち、プロジェクトを成功裡に完遂した
または、協業パートナー要員を含む等、やや複雑な構成のチームを牽引した</t>
    <phoneticPr fontId="24"/>
  </si>
  <si>
    <t>リーダーシップを発揮して、業務を遂行した</t>
    <phoneticPr fontId="24"/>
  </si>
  <si>
    <t>円滑に業務を遂行できるよう積極的に声をかけ、周囲をサポートした</t>
    <phoneticPr fontId="24"/>
  </si>
  <si>
    <t>周囲が気持ちよく働けるよう気配りし、人間関係の向上に寄与した</t>
    <rPh sb="18" eb="20">
      <t>ニンゲン</t>
    </rPh>
    <rPh sb="20" eb="22">
      <t>カンケイ</t>
    </rPh>
    <rPh sb="23" eb="25">
      <t>コウジョウ</t>
    </rPh>
    <rPh sb="26" eb="28">
      <t>キヨ</t>
    </rPh>
    <phoneticPr fontId="24"/>
  </si>
  <si>
    <t>人材育成
（×２）</t>
    <rPh sb="0" eb="2">
      <t>ジンザイ</t>
    </rPh>
    <rPh sb="2" eb="4">
      <t>イクセイ</t>
    </rPh>
    <phoneticPr fontId="24"/>
  </si>
  <si>
    <t>下位者や一緒に働く周囲のメンバに「気づき」を与え、現場での仕事を通して人材成長に貢献したか</t>
    <rPh sb="0" eb="3">
      <t>カイシャ</t>
    </rPh>
    <rPh sb="4" eb="6">
      <t>イッショ</t>
    </rPh>
    <rPh sb="7" eb="8">
      <t>ハタラ</t>
    </rPh>
    <rPh sb="9" eb="11">
      <t>シュウイ</t>
    </rPh>
    <rPh sb="17" eb="18">
      <t>キ</t>
    </rPh>
    <rPh sb="22" eb="23">
      <t>アタ</t>
    </rPh>
    <rPh sb="25" eb="27">
      <t>ゲンバ</t>
    </rPh>
    <rPh sb="29" eb="31">
      <t>シゴト</t>
    </rPh>
    <rPh sb="32" eb="33">
      <t>トオ</t>
    </rPh>
    <rPh sb="35" eb="37">
      <t>ジンザイ</t>
    </rPh>
    <rPh sb="37" eb="39">
      <t>セイチョウ</t>
    </rPh>
    <rPh sb="40" eb="42">
      <t>コウケン</t>
    </rPh>
    <phoneticPr fontId="24"/>
  </si>
  <si>
    <t>熟練・専門分野について有する高度な専門性を活かして、後進を育成した</t>
    <rPh sb="29" eb="31">
      <t>イクセイ</t>
    </rPh>
    <phoneticPr fontId="24"/>
  </si>
  <si>
    <t>自らが範となり下位者を指導・教育した
または、率先して新しい技能を修得する姿勢を下位者に示した　</t>
    <phoneticPr fontId="24"/>
  </si>
  <si>
    <t>周囲のメンバが業務を通して共に成長できるよう、育成・指導・サポートに積極的に関わった</t>
    <phoneticPr fontId="24"/>
  </si>
  <si>
    <t>上位者の指導を積極的に理解し、学んだことを業務に活かしたり、行動改善したりした</t>
    <rPh sb="15" eb="16">
      <t>マナ</t>
    </rPh>
    <rPh sb="21" eb="23">
      <t>ギョウム</t>
    </rPh>
    <rPh sb="24" eb="25">
      <t>イ</t>
    </rPh>
    <rPh sb="30" eb="32">
      <t>コウドウ</t>
    </rPh>
    <rPh sb="32" eb="34">
      <t>カイゼン</t>
    </rPh>
    <phoneticPr fontId="24"/>
  </si>
  <si>
    <t>責任感
（×０．５）</t>
    <rPh sb="0" eb="3">
      <t>セキニンカン</t>
    </rPh>
    <phoneticPr fontId="24"/>
  </si>
  <si>
    <t>経営参画の意識で仕事に取り組む</t>
    <rPh sb="0" eb="2">
      <t>ケイエイ</t>
    </rPh>
    <rPh sb="2" eb="4">
      <t>サンカク</t>
    </rPh>
    <rPh sb="5" eb="7">
      <t>イシキ</t>
    </rPh>
    <rPh sb="8" eb="10">
      <t>シゴト</t>
    </rPh>
    <rPh sb="11" eb="12">
      <t>ト</t>
    </rPh>
    <rPh sb="13" eb="14">
      <t>ク</t>
    </rPh>
    <phoneticPr fontId="24"/>
  </si>
  <si>
    <t>共通</t>
    <rPh sb="0" eb="2">
      <t>キョウツウ</t>
    </rPh>
    <phoneticPr fontId="24"/>
  </si>
  <si>
    <t>部や課の目標を達成するために、自らの仕事や課題を「必ずやりとげる」気持ちで行動した</t>
    <rPh sb="7" eb="9">
      <t>タッセイ</t>
    </rPh>
    <rPh sb="15" eb="16">
      <t>ミズカ</t>
    </rPh>
    <phoneticPr fontId="24"/>
  </si>
  <si>
    <t>積極性
（×０．５）</t>
    <rPh sb="0" eb="3">
      <t>セッキョクセイ</t>
    </rPh>
    <phoneticPr fontId="24"/>
  </si>
  <si>
    <t>自ら進んで行う「チャレンジ」の気持ちがある</t>
    <rPh sb="0" eb="1">
      <t>ミズカ</t>
    </rPh>
    <rPh sb="2" eb="3">
      <t>スス</t>
    </rPh>
    <rPh sb="5" eb="6">
      <t>オコナ</t>
    </rPh>
    <rPh sb="15" eb="17">
      <t>キモ</t>
    </rPh>
    <phoneticPr fontId="24"/>
  </si>
  <si>
    <t>指示されたことだけでなく、新たな業務・難易度の高い業務にも臆せず挑戦し、自らの幅を広げようと行動した</t>
    <rPh sb="19" eb="22">
      <t>ナンイド</t>
    </rPh>
    <rPh sb="23" eb="24">
      <t>タカ</t>
    </rPh>
    <rPh sb="25" eb="27">
      <t>ギョウム</t>
    </rPh>
    <rPh sb="29" eb="30">
      <t>オク</t>
    </rPh>
    <rPh sb="32" eb="34">
      <t>チョウセン</t>
    </rPh>
    <phoneticPr fontId="24"/>
  </si>
  <si>
    <t>80点満点</t>
    <rPh sb="2" eb="3">
      <t>テン</t>
    </rPh>
    <rPh sb="3" eb="5">
      <t>マンテン</t>
    </rPh>
    <phoneticPr fontId="26"/>
  </si>
  <si>
    <r>
      <t>【事業計画目標の達成結果】</t>
    </r>
    <r>
      <rPr>
        <b/>
        <sz val="10"/>
        <rFont val="ＭＳ Ｐゴシック"/>
        <family val="3"/>
        <charset val="128"/>
      </rPr>
      <t>　</t>
    </r>
    <r>
      <rPr>
        <sz val="10"/>
        <rFont val="ＭＳ Ｐゴシック"/>
        <family val="3"/>
        <charset val="128"/>
      </rPr>
      <t>組織の目標を理解し、目標達成に向けて行動した結果、業績への貢献度を見る</t>
    </r>
    <rPh sb="1" eb="3">
      <t>ジギョウ</t>
    </rPh>
    <rPh sb="3" eb="5">
      <t>ケイカク</t>
    </rPh>
    <rPh sb="5" eb="7">
      <t>モクヒョウ</t>
    </rPh>
    <rPh sb="8" eb="10">
      <t>タッセイ</t>
    </rPh>
    <rPh sb="10" eb="12">
      <t>ケッカ</t>
    </rPh>
    <phoneticPr fontId="24"/>
  </si>
  <si>
    <t>今期目標</t>
    <rPh sb="0" eb="2">
      <t>コンキ</t>
    </rPh>
    <rPh sb="2" eb="4">
      <t>モクヒョウ</t>
    </rPh>
    <phoneticPr fontId="24"/>
  </si>
  <si>
    <t>達成結果</t>
    <rPh sb="0" eb="2">
      <t>タッセイ</t>
    </rPh>
    <rPh sb="2" eb="4">
      <t>ケッカ</t>
    </rPh>
    <phoneticPr fontId="24"/>
  </si>
  <si>
    <t>今期目標</t>
    <phoneticPr fontId="24"/>
  </si>
  <si>
    <t>15点満点</t>
    <rPh sb="2" eb="3">
      <t>テン</t>
    </rPh>
    <rPh sb="3" eb="5">
      <t>マンテン</t>
    </rPh>
    <phoneticPr fontId="26"/>
  </si>
  <si>
    <r>
      <t>【事業計画目標の達成結果への調整加点】　</t>
    </r>
    <r>
      <rPr>
        <sz val="10"/>
        <rFont val="ＭＳ Ｐゴシック"/>
        <family val="3"/>
        <charset val="128"/>
      </rPr>
      <t>考課者記入欄　　５点以上＋＠の成果があった場合に、１～５点の範囲で加点</t>
    </r>
    <rPh sb="1" eb="3">
      <t>ジギョウ</t>
    </rPh>
    <rPh sb="3" eb="5">
      <t>ケイカク</t>
    </rPh>
    <rPh sb="5" eb="7">
      <t>モクヒョウ</t>
    </rPh>
    <rPh sb="8" eb="10">
      <t>タッセイ</t>
    </rPh>
    <rPh sb="10" eb="12">
      <t>ケッカ</t>
    </rPh>
    <rPh sb="14" eb="16">
      <t>チョウセイ</t>
    </rPh>
    <rPh sb="16" eb="18">
      <t>カテン</t>
    </rPh>
    <phoneticPr fontId="24"/>
  </si>
  <si>
    <t>調整加点と
コメント</t>
    <rPh sb="0" eb="2">
      <t>チョウセイ</t>
    </rPh>
    <rPh sb="2" eb="4">
      <t>カテン</t>
    </rPh>
    <phoneticPr fontId="24"/>
  </si>
  <si>
    <t>※考課者にプラス５点の調整加点を認める　（必ず理由コメントを記載する）。５点以上＋＠の成果があった場合、１～５点の範囲で加点できる。
　　加点の場合は、ただ「がんばったから」という理由ではなく、具体的にとった行動や、業績向上に役立った成果を記入する。　　</t>
    <rPh sb="1" eb="3">
      <t>コウカ</t>
    </rPh>
    <rPh sb="3" eb="4">
      <t>シャ</t>
    </rPh>
    <rPh sb="9" eb="10">
      <t>テン</t>
    </rPh>
    <rPh sb="11" eb="13">
      <t>チョウセイ</t>
    </rPh>
    <rPh sb="13" eb="15">
      <t>カテン</t>
    </rPh>
    <rPh sb="16" eb="17">
      <t>ミト</t>
    </rPh>
    <rPh sb="21" eb="22">
      <t>カナラ</t>
    </rPh>
    <rPh sb="23" eb="25">
      <t>リユウ</t>
    </rPh>
    <rPh sb="30" eb="32">
      <t>キサイ</t>
    </rPh>
    <rPh sb="37" eb="38">
      <t>テン</t>
    </rPh>
    <rPh sb="38" eb="40">
      <t>イジョウ</t>
    </rPh>
    <rPh sb="43" eb="45">
      <t>セイカ</t>
    </rPh>
    <rPh sb="49" eb="51">
      <t>バアイ</t>
    </rPh>
    <rPh sb="55" eb="56">
      <t>テン</t>
    </rPh>
    <rPh sb="57" eb="59">
      <t>ハンイ</t>
    </rPh>
    <rPh sb="60" eb="62">
      <t>カテン</t>
    </rPh>
    <rPh sb="69" eb="71">
      <t>カテン</t>
    </rPh>
    <rPh sb="72" eb="74">
      <t>バアイ</t>
    </rPh>
    <rPh sb="90" eb="92">
      <t>リユウ</t>
    </rPh>
    <rPh sb="97" eb="100">
      <t>グタイテキ</t>
    </rPh>
    <rPh sb="104" eb="106">
      <t>コウドウ</t>
    </rPh>
    <rPh sb="108" eb="110">
      <t>ギョウセキ</t>
    </rPh>
    <rPh sb="110" eb="112">
      <t>コウジョウ</t>
    </rPh>
    <rPh sb="113" eb="115">
      <t>ヤクダ</t>
    </rPh>
    <rPh sb="117" eb="119">
      <t>セイカ</t>
    </rPh>
    <rPh sb="120" eb="122">
      <t>キニュウ</t>
    </rPh>
    <phoneticPr fontId="24"/>
  </si>
  <si>
    <t>5点満点</t>
    <phoneticPr fontId="24"/>
  </si>
  <si>
    <t>【評価コメント】</t>
    <rPh sb="1" eb="3">
      <t>ヒョウカ</t>
    </rPh>
    <phoneticPr fontId="24"/>
  </si>
  <si>
    <t>合計100点満点</t>
    <rPh sb="0" eb="2">
      <t>ゴウケイ</t>
    </rPh>
    <rPh sb="5" eb="6">
      <t>テン</t>
    </rPh>
    <rPh sb="6" eb="8">
      <t>マンテン</t>
    </rPh>
    <phoneticPr fontId="26"/>
  </si>
  <si>
    <t>自己評価</t>
    <phoneticPr fontId="24"/>
  </si>
  <si>
    <t>一次考課者</t>
    <phoneticPr fontId="24"/>
  </si>
  <si>
    <t>二次考課者</t>
    <phoneticPr fontId="24"/>
  </si>
  <si>
    <t>５段階評価（Ａ、Ｂ、Ｃ、Ｄ、E）⇒</t>
    <rPh sb="0" eb="3">
      <t>ゴダンカイ</t>
    </rPh>
    <rPh sb="3" eb="5">
      <t>ヒョウカ</t>
    </rPh>
    <phoneticPr fontId="24"/>
  </si>
  <si>
    <t>　</t>
  </si>
  <si>
    <t>「5段階評価」の欄は、下記の５段階で評価点を記入する</t>
    <rPh sb="2" eb="4">
      <t>ダンカイ</t>
    </rPh>
    <rPh sb="4" eb="6">
      <t>ヒョウカ</t>
    </rPh>
    <rPh sb="8" eb="9">
      <t>ラン</t>
    </rPh>
    <rPh sb="11" eb="13">
      <t>カキ</t>
    </rPh>
    <rPh sb="15" eb="17">
      <t>ダンカイ</t>
    </rPh>
    <rPh sb="18" eb="20">
      <t>ヒョウカ</t>
    </rPh>
    <rPh sb="20" eb="21">
      <t>テン</t>
    </rPh>
    <rPh sb="22" eb="24">
      <t>キニュウ</t>
    </rPh>
    <phoneticPr fontId="24"/>
  </si>
  <si>
    <t>Ａ</t>
    <phoneticPr fontId="24"/>
  </si>
  <si>
    <t>上位資格・職務の期待水準の行動がとれ、全く申し分ないレベル</t>
    <phoneticPr fontId="24"/>
  </si>
  <si>
    <t>Ｂ</t>
    <phoneticPr fontId="24"/>
  </si>
  <si>
    <t>現資格・職務の期待水準を上回る行動がとれ、申し分ないレベル</t>
    <rPh sb="0" eb="1">
      <t>ウツツ</t>
    </rPh>
    <rPh sb="1" eb="3">
      <t>シカク</t>
    </rPh>
    <rPh sb="4" eb="6">
      <t>ショクム</t>
    </rPh>
    <rPh sb="7" eb="9">
      <t>キタイ</t>
    </rPh>
    <rPh sb="9" eb="11">
      <t>スイジュン</t>
    </rPh>
    <rPh sb="12" eb="14">
      <t>ウワマワ</t>
    </rPh>
    <rPh sb="15" eb="17">
      <t>コウドウ</t>
    </rPh>
    <rPh sb="21" eb="22">
      <t>モウ</t>
    </rPh>
    <rPh sb="23" eb="24">
      <t>ブン</t>
    </rPh>
    <phoneticPr fontId="26"/>
  </si>
  <si>
    <t>ここが資格相当の標準点⇒</t>
    <rPh sb="3" eb="5">
      <t>シカク</t>
    </rPh>
    <rPh sb="5" eb="7">
      <t>ソウトウ</t>
    </rPh>
    <rPh sb="8" eb="10">
      <t>ヒョウジュン</t>
    </rPh>
    <rPh sb="10" eb="11">
      <t>テン</t>
    </rPh>
    <phoneticPr fontId="24"/>
  </si>
  <si>
    <t>Ｃ</t>
    <phoneticPr fontId="24"/>
  </si>
  <si>
    <t>現資格・職務の期待水準どおりであり、支障が全くないレベル</t>
    <rPh sb="0" eb="1">
      <t>ウツツ</t>
    </rPh>
    <rPh sb="1" eb="3">
      <t>シカク</t>
    </rPh>
    <rPh sb="4" eb="6">
      <t>ショクム</t>
    </rPh>
    <rPh sb="7" eb="9">
      <t>キタイ</t>
    </rPh>
    <rPh sb="9" eb="11">
      <t>スイジュン</t>
    </rPh>
    <rPh sb="18" eb="20">
      <t>シショウ</t>
    </rPh>
    <rPh sb="21" eb="22">
      <t>マッタ</t>
    </rPh>
    <phoneticPr fontId="26"/>
  </si>
  <si>
    <t>Ｄ</t>
    <phoneticPr fontId="24"/>
  </si>
  <si>
    <t>現資格・職務の期待水準を下回り、不十分なところがあって支障が一部ある</t>
    <rPh sb="0" eb="1">
      <t>ウツツ</t>
    </rPh>
    <rPh sb="1" eb="3">
      <t>シカク</t>
    </rPh>
    <rPh sb="4" eb="6">
      <t>ショクム</t>
    </rPh>
    <rPh sb="7" eb="9">
      <t>キタイ</t>
    </rPh>
    <rPh sb="9" eb="11">
      <t>スイジュン</t>
    </rPh>
    <rPh sb="12" eb="14">
      <t>シタマワ</t>
    </rPh>
    <rPh sb="16" eb="19">
      <t>フジュウブン</t>
    </rPh>
    <rPh sb="27" eb="29">
      <t>シショウ</t>
    </rPh>
    <rPh sb="30" eb="32">
      <t>イチブ</t>
    </rPh>
    <phoneticPr fontId="26"/>
  </si>
  <si>
    <t>E</t>
    <phoneticPr fontId="24"/>
  </si>
  <si>
    <t>現資格・職務の期待水準を大幅に下回り、業務上の支障がある</t>
    <rPh sb="0" eb="1">
      <t>ウツツ</t>
    </rPh>
    <rPh sb="1" eb="3">
      <t>シカク</t>
    </rPh>
    <rPh sb="4" eb="6">
      <t>ショクム</t>
    </rPh>
    <rPh sb="7" eb="9">
      <t>キタイ</t>
    </rPh>
    <rPh sb="9" eb="11">
      <t>スイジュン</t>
    </rPh>
    <rPh sb="12" eb="14">
      <t>オオハバ</t>
    </rPh>
    <rPh sb="15" eb="17">
      <t>シタマワ</t>
    </rPh>
    <rPh sb="19" eb="22">
      <t>ギョウムジョウ</t>
    </rPh>
    <rPh sb="23" eb="25">
      <t>シショウ</t>
    </rPh>
    <phoneticPr fontId="26"/>
  </si>
  <si>
    <t>　評価職</t>
    <rPh sb="1" eb="3">
      <t>ヒョウカ</t>
    </rPh>
    <phoneticPr fontId="24"/>
  </si>
  <si>
    <t>●●事業三部　ｱｳﾄｿｰｼﾝｸﾞ課</t>
    <rPh sb="4" eb="5">
      <t>サン</t>
    </rPh>
    <rPh sb="16" eb="17">
      <t>カ</t>
    </rPh>
    <phoneticPr fontId="24"/>
  </si>
  <si>
    <t>高度な専門技術をもつメンバとしての役割を持って、プロジェクトに参画した</t>
    <phoneticPr fontId="24"/>
  </si>
  <si>
    <t>専門分野の技術をもつメンバとしての役割を持って、プロジェクトに参画した</t>
    <phoneticPr fontId="24"/>
  </si>
  <si>
    <r>
      <t>常に行動として顕われていた
　</t>
    </r>
    <r>
      <rPr>
        <b/>
        <sz val="10"/>
        <color indexed="10"/>
        <rFont val="ＭＳ Ｐゴシック"/>
        <family val="3"/>
        <charset val="128"/>
      </rPr>
      <t>－資格相当と言える行動を行った　</t>
    </r>
    <rPh sb="0" eb="1">
      <t>ツネ</t>
    </rPh>
    <rPh sb="2" eb="4">
      <t>コウドウ</t>
    </rPh>
    <rPh sb="7" eb="8">
      <t>アラ</t>
    </rPh>
    <phoneticPr fontId="26"/>
  </si>
  <si>
    <t>　運用職</t>
    <rPh sb="1" eb="3">
      <t>ウンヨウ</t>
    </rPh>
    <phoneticPr fontId="24"/>
  </si>
  <si>
    <t>●●事業一部　システム管理課</t>
    <rPh sb="2" eb="4">
      <t>ジギョウ</t>
    </rPh>
    <rPh sb="4" eb="6">
      <t>イチブ</t>
    </rPh>
    <rPh sb="11" eb="13">
      <t>カンリ</t>
    </rPh>
    <rPh sb="13" eb="14">
      <t>カ</t>
    </rPh>
    <phoneticPr fontId="24"/>
  </si>
  <si>
    <t>チーム全体のサービスレベルの向上、顧客満足の向上に努めた
専門性を生かして、ＩＴＳＭを実践し、ＩＴＳＭ推進状況を評価した</t>
    <phoneticPr fontId="24"/>
  </si>
  <si>
    <t>サービスレベルを維持し、業務を安定稼動させた
電算機室のフィジカルセキュリティ（物理的空間を的確に管理）を維持した</t>
    <phoneticPr fontId="24"/>
  </si>
  <si>
    <t>担当業務を独力で遂行した。また、ITSMおよび情報セキュリティに関する基本的な知識修得をはかり、積極的に業務への反映を提案した</t>
    <phoneticPr fontId="24"/>
  </si>
  <si>
    <t>部や課の利益目標にそって、生産性を高めるために、日々の業務の中に課題を発見し、業務改善を行い、効果を出したか</t>
    <phoneticPr fontId="24"/>
  </si>
  <si>
    <t>業務・サービスの品質を確保するための努力と工夫を行い、品質向上に寄与したか</t>
    <rPh sb="0" eb="2">
      <t>ギョウム</t>
    </rPh>
    <rPh sb="27" eb="29">
      <t>ヒンシツ</t>
    </rPh>
    <rPh sb="29" eb="31">
      <t>コウジョウ</t>
    </rPh>
    <rPh sb="32" eb="34">
      <t>キヨ</t>
    </rPh>
    <phoneticPr fontId="24"/>
  </si>
  <si>
    <t>正確に業務を行い、品質の良いサービス・成果物を提供した</t>
    <rPh sb="9" eb="11">
      <t>ヒンシツ</t>
    </rPh>
    <rPh sb="12" eb="13">
      <t>ヨ</t>
    </rPh>
    <rPh sb="19" eb="22">
      <t>セイカブツ</t>
    </rPh>
    <rPh sb="23" eb="25">
      <t>テイキョウ</t>
    </rPh>
    <phoneticPr fontId="24"/>
  </si>
  <si>
    <t>上位者の指導の下、正確に業務を行い、品質の良いサービス・成果物を提供した</t>
    <rPh sb="18" eb="20">
      <t>ヒンシツ</t>
    </rPh>
    <rPh sb="21" eb="22">
      <t>ヨ</t>
    </rPh>
    <rPh sb="28" eb="31">
      <t>セイカブツ</t>
    </rPh>
    <rPh sb="32" eb="34">
      <t>テイキョウ</t>
    </rPh>
    <phoneticPr fontId="24"/>
  </si>
  <si>
    <t>顧客のニーズを理解し、付加価値ある提案をした</t>
    <phoneticPr fontId="24"/>
  </si>
  <si>
    <t>リーダーとして、サービス品質に責任を持ち、業務目標を達成した</t>
    <rPh sb="12" eb="14">
      <t>ヒンシツ</t>
    </rPh>
    <phoneticPr fontId="24"/>
  </si>
  <si>
    <t>※考課者にプラス５点の調整加点を認める　（必ず理由コメントを記載する）。５点以上＋＠の成果があった場合、１～５点の範囲で加点できる。
　　加点の場合は、ただ「がんばったから」という理由ではなく、具体的にとった行動や、業績向上に役立った成果を記入する。　　</t>
    <rPh sb="1" eb="3">
      <t>コウカ</t>
    </rPh>
    <rPh sb="3" eb="4">
      <t>シャ</t>
    </rPh>
    <rPh sb="9" eb="10">
      <t>テン</t>
    </rPh>
    <rPh sb="11" eb="13">
      <t>チョウセイ</t>
    </rPh>
    <rPh sb="13" eb="15">
      <t>カテン</t>
    </rPh>
    <rPh sb="16" eb="17">
      <t>ミト</t>
    </rPh>
    <rPh sb="21" eb="22">
      <t>カナラ</t>
    </rPh>
    <rPh sb="23" eb="25">
      <t>リユウ</t>
    </rPh>
    <rPh sb="37" eb="38">
      <t>テン</t>
    </rPh>
    <rPh sb="38" eb="40">
      <t>イジョウ</t>
    </rPh>
    <rPh sb="43" eb="45">
      <t>セイカ</t>
    </rPh>
    <rPh sb="49" eb="51">
      <t>バアイ</t>
    </rPh>
    <rPh sb="55" eb="56">
      <t>テン</t>
    </rPh>
    <rPh sb="57" eb="59">
      <t>ハンイ</t>
    </rPh>
    <rPh sb="60" eb="62">
      <t>カテン</t>
    </rPh>
    <rPh sb="69" eb="71">
      <t>カテン</t>
    </rPh>
    <rPh sb="72" eb="74">
      <t>バアイ</t>
    </rPh>
    <rPh sb="90" eb="92">
      <t>リユウ</t>
    </rPh>
    <rPh sb="97" eb="100">
      <t>グタイテキ</t>
    </rPh>
    <rPh sb="104" eb="106">
      <t>コウドウ</t>
    </rPh>
    <rPh sb="108" eb="110">
      <t>ギョウセキ</t>
    </rPh>
    <rPh sb="110" eb="112">
      <t>コウジョウ</t>
    </rPh>
    <rPh sb="113" eb="115">
      <t>ヤクダ</t>
    </rPh>
    <rPh sb="117" eb="119">
      <t>セイカ</t>
    </rPh>
    <rPh sb="120" eb="122">
      <t>キニュウ</t>
    </rPh>
    <phoneticPr fontId="24"/>
  </si>
  <si>
    <t>　営業職</t>
    <rPh sb="1" eb="3">
      <t>エイギョウ</t>
    </rPh>
    <phoneticPr fontId="24"/>
  </si>
  <si>
    <t>●●営業部</t>
    <rPh sb="2" eb="4">
      <t>エイギョウ</t>
    </rPh>
    <rPh sb="4" eb="5">
      <t>ブ</t>
    </rPh>
    <phoneticPr fontId="24"/>
  </si>
  <si>
    <t>広範な業務に精通し、専門性を発揮しつつ提案型の営業活動を推進した</t>
    <rPh sb="0" eb="2">
      <t>コウハン</t>
    </rPh>
    <rPh sb="10" eb="13">
      <t>センモンセイ</t>
    </rPh>
    <rPh sb="14" eb="16">
      <t>ハッキ</t>
    </rPh>
    <rPh sb="19" eb="22">
      <t>テイアンガタ</t>
    </rPh>
    <rPh sb="23" eb="25">
      <t>エイギョウ</t>
    </rPh>
    <rPh sb="25" eb="27">
      <t>カツドウ</t>
    </rPh>
    <rPh sb="28" eb="30">
      <t>スイシン</t>
    </rPh>
    <phoneticPr fontId="24"/>
  </si>
  <si>
    <t>顧客独自の複雑な個別要件や例外的な契約条件、非常に厳しい競合状況等の営業活動を主体的に進めた</t>
    <rPh sb="0" eb="2">
      <t>コキャク</t>
    </rPh>
    <rPh sb="2" eb="4">
      <t>ドクジ</t>
    </rPh>
    <rPh sb="5" eb="7">
      <t>フクザツ</t>
    </rPh>
    <rPh sb="8" eb="10">
      <t>コベツ</t>
    </rPh>
    <rPh sb="10" eb="12">
      <t>ヨウケン</t>
    </rPh>
    <rPh sb="13" eb="16">
      <t>レイガイテキ</t>
    </rPh>
    <rPh sb="17" eb="19">
      <t>ケイヤク</t>
    </rPh>
    <rPh sb="19" eb="21">
      <t>ジョウケン</t>
    </rPh>
    <rPh sb="22" eb="24">
      <t>ヒジョウ</t>
    </rPh>
    <rPh sb="25" eb="26">
      <t>キビ</t>
    </rPh>
    <rPh sb="28" eb="33">
      <t>キョウゴウジョウキョウナド</t>
    </rPh>
    <rPh sb="34" eb="36">
      <t>エイギョウ</t>
    </rPh>
    <rPh sb="36" eb="38">
      <t>カツドウ</t>
    </rPh>
    <rPh sb="39" eb="42">
      <t>シュタイテキ</t>
    </rPh>
    <rPh sb="43" eb="44">
      <t>スス</t>
    </rPh>
    <phoneticPr fontId="24"/>
  </si>
  <si>
    <t>特定顧客に対して良好なリレーションを維持、向上し、継続的に営業活動を行った</t>
    <rPh sb="0" eb="2">
      <t>トクテイ</t>
    </rPh>
    <rPh sb="2" eb="4">
      <t>コキャク</t>
    </rPh>
    <rPh sb="5" eb="6">
      <t>タイ</t>
    </rPh>
    <rPh sb="8" eb="10">
      <t>リョウコウ</t>
    </rPh>
    <rPh sb="18" eb="20">
      <t>イジ</t>
    </rPh>
    <rPh sb="21" eb="23">
      <t>コウジョウ</t>
    </rPh>
    <rPh sb="25" eb="28">
      <t>ケイゾクテキ</t>
    </rPh>
    <rPh sb="29" eb="31">
      <t>エイギョウ</t>
    </rPh>
    <rPh sb="31" eb="33">
      <t>カツドウ</t>
    </rPh>
    <rPh sb="34" eb="35">
      <t>オコナ</t>
    </rPh>
    <phoneticPr fontId="24"/>
  </si>
  <si>
    <t>上位者の指導の下、担当顧客との良好な関係を維持し、要求された業務を確実に実施した</t>
    <rPh sb="11" eb="13">
      <t>コキャク</t>
    </rPh>
    <rPh sb="15" eb="17">
      <t>リョウコウ</t>
    </rPh>
    <rPh sb="18" eb="20">
      <t>カンケイ</t>
    </rPh>
    <rPh sb="21" eb="23">
      <t>イジ</t>
    </rPh>
    <phoneticPr fontId="24"/>
  </si>
  <si>
    <t>【R3・R4】
部や課の目標にそって、創意工夫を凝らした企画立案や、提案を行ったか
【R1・R2】
独力で創意工夫を凝らして担当業務を改善したか</t>
    <rPh sb="19" eb="21">
      <t>ソウイ</t>
    </rPh>
    <rPh sb="21" eb="23">
      <t>クフウ</t>
    </rPh>
    <rPh sb="24" eb="25">
      <t>コ</t>
    </rPh>
    <rPh sb="28" eb="30">
      <t>キカク</t>
    </rPh>
    <rPh sb="30" eb="32">
      <t>リツアン</t>
    </rPh>
    <rPh sb="34" eb="36">
      <t>テイアン</t>
    </rPh>
    <rPh sb="37" eb="38">
      <t>オコナ</t>
    </rPh>
    <rPh sb="62" eb="64">
      <t>タントウ</t>
    </rPh>
    <phoneticPr fontId="24"/>
  </si>
  <si>
    <t>同一顧客の新しい部門から案件を受注するために、既存先の深耕を行ったか</t>
    <rPh sb="23" eb="25">
      <t>キソン</t>
    </rPh>
    <rPh sb="25" eb="26">
      <t>サキ</t>
    </rPh>
    <rPh sb="27" eb="29">
      <t>シンコウ</t>
    </rPh>
    <rPh sb="30" eb="31">
      <t>オコナ</t>
    </rPh>
    <phoneticPr fontId="24"/>
  </si>
  <si>
    <t>商談の質、顧客サービスの質を向上させる活動に主体的に取り組み、成果を出した</t>
    <rPh sb="0" eb="2">
      <t>ショウダン</t>
    </rPh>
    <rPh sb="3" eb="4">
      <t>シツ</t>
    </rPh>
    <rPh sb="5" eb="7">
      <t>コキャク</t>
    </rPh>
    <rPh sb="12" eb="13">
      <t>シツ</t>
    </rPh>
    <rPh sb="14" eb="16">
      <t>コウジョウ</t>
    </rPh>
    <rPh sb="22" eb="25">
      <t>シュタイテキ</t>
    </rPh>
    <rPh sb="31" eb="33">
      <t>セイカ</t>
    </rPh>
    <rPh sb="34" eb="35">
      <t>ダ</t>
    </rPh>
    <phoneticPr fontId="24"/>
  </si>
  <si>
    <t>商談の質、顧客サービスの質を向上させる取り組みを行った</t>
    <rPh sb="0" eb="2">
      <t>ショウダン</t>
    </rPh>
    <rPh sb="3" eb="4">
      <t>シツ</t>
    </rPh>
    <rPh sb="5" eb="7">
      <t>コキャク</t>
    </rPh>
    <rPh sb="12" eb="13">
      <t>シツ</t>
    </rPh>
    <rPh sb="14" eb="16">
      <t>コウジョウ</t>
    </rPh>
    <rPh sb="19" eb="20">
      <t>ト</t>
    </rPh>
    <rPh sb="21" eb="22">
      <t>ク</t>
    </rPh>
    <rPh sb="24" eb="25">
      <t>オコナ</t>
    </rPh>
    <phoneticPr fontId="24"/>
  </si>
  <si>
    <t>商談の質、顧客サービスの質を意識して、主体的に業務を遂行した</t>
    <rPh sb="0" eb="2">
      <t>ショウダン</t>
    </rPh>
    <rPh sb="3" eb="4">
      <t>シツ</t>
    </rPh>
    <rPh sb="5" eb="7">
      <t>コキャク</t>
    </rPh>
    <rPh sb="12" eb="13">
      <t>シツ</t>
    </rPh>
    <rPh sb="14" eb="16">
      <t>イシキ</t>
    </rPh>
    <rPh sb="19" eb="22">
      <t>シュタイテキ</t>
    </rPh>
    <rPh sb="23" eb="25">
      <t>ギョウム</t>
    </rPh>
    <rPh sb="26" eb="28">
      <t>スイコウ</t>
    </rPh>
    <phoneticPr fontId="24"/>
  </si>
  <si>
    <t>上位者の指導の下、商談の質、顧客サービスの質を意識して業務を遂行した</t>
    <rPh sb="9" eb="11">
      <t>ショウダン</t>
    </rPh>
    <rPh sb="12" eb="13">
      <t>シツ</t>
    </rPh>
    <rPh sb="14" eb="16">
      <t>コキャク</t>
    </rPh>
    <rPh sb="21" eb="22">
      <t>シツ</t>
    </rPh>
    <rPh sb="23" eb="25">
      <t>イシキ</t>
    </rPh>
    <rPh sb="27" eb="29">
      <t>ギョウム</t>
    </rPh>
    <rPh sb="30" eb="32">
      <t>スイコウ</t>
    </rPh>
    <phoneticPr fontId="24"/>
  </si>
  <si>
    <t>顧客や取引先からリピートオーダーを得るために、顧客・取引先に誠意をもって対応し、信頼を得られたか</t>
    <rPh sb="0" eb="2">
      <t>コキャク</t>
    </rPh>
    <rPh sb="3" eb="5">
      <t>トリヒキ</t>
    </rPh>
    <rPh sb="5" eb="6">
      <t>サキ</t>
    </rPh>
    <rPh sb="17" eb="18">
      <t>エ</t>
    </rPh>
    <rPh sb="23" eb="25">
      <t>コキャク</t>
    </rPh>
    <rPh sb="26" eb="28">
      <t>トリヒキ</t>
    </rPh>
    <rPh sb="28" eb="29">
      <t>サキ</t>
    </rPh>
    <rPh sb="30" eb="32">
      <t>セイイ</t>
    </rPh>
    <rPh sb="36" eb="38">
      <t>タイオウ</t>
    </rPh>
    <rPh sb="40" eb="42">
      <t>シンライ</t>
    </rPh>
    <rPh sb="43" eb="44">
      <t>エ</t>
    </rPh>
    <phoneticPr fontId="24"/>
  </si>
  <si>
    <t>顧客・取引先の要求や立場を理解し、提案を行ったり、顧客にとって、価値ある対応をした</t>
    <rPh sb="3" eb="5">
      <t>トリヒキ</t>
    </rPh>
    <rPh sb="5" eb="6">
      <t>サキ</t>
    </rPh>
    <phoneticPr fontId="24"/>
  </si>
  <si>
    <t>顧客・取引先の要求や立場を理解し、誠意をもって対応し、信頼を得た</t>
    <rPh sb="3" eb="5">
      <t>トリヒキ</t>
    </rPh>
    <rPh sb="5" eb="6">
      <t>サキ</t>
    </rPh>
    <rPh sb="27" eb="29">
      <t>シンライ</t>
    </rPh>
    <rPh sb="30" eb="31">
      <t>エ</t>
    </rPh>
    <phoneticPr fontId="24"/>
  </si>
  <si>
    <t>顧客・取引先には誠意をもって対応し、信頼関係を築こうと働きかけた</t>
    <rPh sb="3" eb="5">
      <t>トリヒキ</t>
    </rPh>
    <rPh sb="5" eb="6">
      <t>サキ</t>
    </rPh>
    <rPh sb="27" eb="28">
      <t>ハタラ</t>
    </rPh>
    <phoneticPr fontId="24"/>
  </si>
  <si>
    <t>渉外・折衝
（×２）</t>
    <rPh sb="0" eb="2">
      <t>ショウガイ</t>
    </rPh>
    <rPh sb="3" eb="5">
      <t>セッショウ</t>
    </rPh>
    <phoneticPr fontId="24"/>
  </si>
  <si>
    <t>顧客や取引先に対して、交渉・調整し、有利な結果を導いたり、信頼関係を強めたりしたか</t>
    <rPh sb="0" eb="2">
      <t>コキャク</t>
    </rPh>
    <rPh sb="3" eb="5">
      <t>トリヒキ</t>
    </rPh>
    <rPh sb="5" eb="6">
      <t>サキ</t>
    </rPh>
    <rPh sb="7" eb="8">
      <t>タイ</t>
    </rPh>
    <rPh sb="11" eb="13">
      <t>コウショウ</t>
    </rPh>
    <rPh sb="14" eb="16">
      <t>チョウセイ</t>
    </rPh>
    <rPh sb="18" eb="20">
      <t>ユウリ</t>
    </rPh>
    <rPh sb="21" eb="23">
      <t>ケッカ</t>
    </rPh>
    <rPh sb="24" eb="25">
      <t>ミチビ</t>
    </rPh>
    <rPh sb="29" eb="31">
      <t>シンライ</t>
    </rPh>
    <rPh sb="31" eb="33">
      <t>カンケイ</t>
    </rPh>
    <rPh sb="34" eb="35">
      <t>ツヨ</t>
    </rPh>
    <phoneticPr fontId="24"/>
  </si>
  <si>
    <t>顧客や取引先と、主体的に円滑かつ有利に協議・交渉を行った</t>
    <rPh sb="25" eb="26">
      <t>オコナ</t>
    </rPh>
    <phoneticPr fontId="24"/>
  </si>
  <si>
    <t>顧客や取引先と、主体的に交渉・調整を独力で行った</t>
    <rPh sb="0" eb="2">
      <t>コキャク</t>
    </rPh>
    <rPh sb="3" eb="5">
      <t>トリヒキ</t>
    </rPh>
    <rPh sb="5" eb="6">
      <t>サキ</t>
    </rPh>
    <rPh sb="8" eb="11">
      <t>シュタイテキ</t>
    </rPh>
    <rPh sb="12" eb="14">
      <t>コウショウ</t>
    </rPh>
    <rPh sb="15" eb="17">
      <t>チョウセイ</t>
    </rPh>
    <phoneticPr fontId="24"/>
  </si>
  <si>
    <t>上位者の指導の下、またはある程度決まった手続きに従って、折衝した</t>
    <rPh sb="14" eb="16">
      <t>テイド</t>
    </rPh>
    <rPh sb="16" eb="17">
      <t>キ</t>
    </rPh>
    <rPh sb="20" eb="22">
      <t>テツヅ</t>
    </rPh>
    <rPh sb="24" eb="25">
      <t>シタガ</t>
    </rPh>
    <rPh sb="28" eb="30">
      <t>セッショウ</t>
    </rPh>
    <phoneticPr fontId="24"/>
  </si>
  <si>
    <t>【R3・R4】
部や課の業務目標を達成するために、周囲を牽引したか
【R1・R2】
チームメンバとして、周囲が気持ちよく協業できる関係づくりに貢献したか</t>
    <rPh sb="8" eb="9">
      <t>ブ</t>
    </rPh>
    <rPh sb="10" eb="11">
      <t>カ</t>
    </rPh>
    <rPh sb="12" eb="14">
      <t>ギョウム</t>
    </rPh>
    <rPh sb="14" eb="16">
      <t>モクヒョウ</t>
    </rPh>
    <rPh sb="17" eb="19">
      <t>タッセイ</t>
    </rPh>
    <rPh sb="25" eb="27">
      <t>シュウイ</t>
    </rPh>
    <rPh sb="28" eb="30">
      <t>ケンイン</t>
    </rPh>
    <phoneticPr fontId="24"/>
  </si>
  <si>
    <t>部や課の業務目標を達成するために、周囲を牽引した</t>
    <rPh sb="17" eb="19">
      <t>シュウイ</t>
    </rPh>
    <rPh sb="20" eb="22">
      <t>ケンイン</t>
    </rPh>
    <phoneticPr fontId="24"/>
  </si>
  <si>
    <t>部や課の業務目標を達成するために、周囲のモチベーションをあげる働きかけを行った</t>
    <rPh sb="31" eb="32">
      <t>ハタラ</t>
    </rPh>
    <rPh sb="36" eb="37">
      <t>オコナ</t>
    </rPh>
    <phoneticPr fontId="24"/>
  </si>
  <si>
    <t>人材育成
（×１）</t>
    <rPh sb="0" eb="2">
      <t>ジンザイ</t>
    </rPh>
    <rPh sb="2" eb="4">
      <t>イクセイ</t>
    </rPh>
    <phoneticPr fontId="24"/>
  </si>
  <si>
    <t>自らが有する専門知識を活かして、下位者を育成・指導した</t>
    <phoneticPr fontId="24"/>
  </si>
  <si>
    <t>自らが範となり下位者に指導・教育した
または、自らが範となり職務に邁進し、周囲のメンバに「気づき」を与えた</t>
    <rPh sb="30" eb="32">
      <t>ショクム</t>
    </rPh>
    <rPh sb="33" eb="35">
      <t>マイシン</t>
    </rPh>
    <rPh sb="37" eb="39">
      <t>シュウイ</t>
    </rPh>
    <rPh sb="45" eb="46">
      <t>キ</t>
    </rPh>
    <rPh sb="50" eb="51">
      <t>アタ</t>
    </rPh>
    <phoneticPr fontId="24"/>
  </si>
  <si>
    <t>業務を通して共に成長できるよう周囲のメンバを積極的に支援した</t>
    <rPh sb="15" eb="17">
      <t>シュウイ</t>
    </rPh>
    <rPh sb="22" eb="25">
      <t>セッキョクテキ</t>
    </rPh>
    <rPh sb="26" eb="28">
      <t>シエン</t>
    </rPh>
    <phoneticPr fontId="24"/>
  </si>
  <si>
    <t>　事務職</t>
    <rPh sb="1" eb="3">
      <t>ジム</t>
    </rPh>
    <rPh sb="3" eb="4">
      <t>ショク</t>
    </rPh>
    <phoneticPr fontId="24"/>
  </si>
  <si>
    <t>●●部　▲課</t>
    <rPh sb="2" eb="3">
      <t>ブ</t>
    </rPh>
    <rPh sb="5" eb="6">
      <t>カ</t>
    </rPh>
    <phoneticPr fontId="24"/>
  </si>
  <si>
    <t>所属部門の広範な業務に精通し、専門性を発揮しつつ主体的に業務を推進した</t>
    <rPh sb="5" eb="7">
      <t>コウハン</t>
    </rPh>
    <rPh sb="15" eb="18">
      <t>センモンセイ</t>
    </rPh>
    <rPh sb="19" eb="21">
      <t>ハッキ</t>
    </rPh>
    <rPh sb="24" eb="27">
      <t>シュタイテキ</t>
    </rPh>
    <rPh sb="28" eb="30">
      <t>ギョウム</t>
    </rPh>
    <rPh sb="31" eb="33">
      <t>スイシン</t>
    </rPh>
    <phoneticPr fontId="24"/>
  </si>
  <si>
    <t>所属部門の業務に精通し、具体的な目標と推進計画を策定し、業務を独力で遂行した</t>
    <rPh sb="0" eb="2">
      <t>ショゾク</t>
    </rPh>
    <rPh sb="2" eb="4">
      <t>ブモン</t>
    </rPh>
    <rPh sb="5" eb="7">
      <t>ギョウム</t>
    </rPh>
    <rPh sb="8" eb="10">
      <t>セイツウ</t>
    </rPh>
    <rPh sb="12" eb="15">
      <t>グタイテキ</t>
    </rPh>
    <rPh sb="16" eb="18">
      <t>モクヒョウ</t>
    </rPh>
    <rPh sb="19" eb="21">
      <t>スイシン</t>
    </rPh>
    <rPh sb="21" eb="23">
      <t>ケイカク</t>
    </rPh>
    <rPh sb="24" eb="26">
      <t>サクテイ</t>
    </rPh>
    <rPh sb="28" eb="30">
      <t>ギョウム</t>
    </rPh>
    <rPh sb="31" eb="33">
      <t>ドクリョク</t>
    </rPh>
    <rPh sb="34" eb="36">
      <t>スイコウ</t>
    </rPh>
    <phoneticPr fontId="24"/>
  </si>
  <si>
    <t>上位者の指示・指導の元、一定の知識や熟練を要する業務を正しく遂行した</t>
    <rPh sb="0" eb="3">
      <t>ジョウイシャ</t>
    </rPh>
    <rPh sb="4" eb="6">
      <t>シジ</t>
    </rPh>
    <rPh sb="7" eb="9">
      <t>シドウ</t>
    </rPh>
    <rPh sb="10" eb="11">
      <t>モト</t>
    </rPh>
    <rPh sb="12" eb="14">
      <t>イッテイ</t>
    </rPh>
    <rPh sb="15" eb="17">
      <t>チシキ</t>
    </rPh>
    <rPh sb="18" eb="20">
      <t>ジュクレン</t>
    </rPh>
    <rPh sb="21" eb="22">
      <t>ヨウ</t>
    </rPh>
    <rPh sb="24" eb="26">
      <t>ギョウム</t>
    </rPh>
    <rPh sb="27" eb="28">
      <t>タダ</t>
    </rPh>
    <rPh sb="30" eb="32">
      <t>スイコウ</t>
    </rPh>
    <phoneticPr fontId="24"/>
  </si>
  <si>
    <t>上位者の指示の下、または定められた手続きに基づき、要求された業務を確実に実施した</t>
    <phoneticPr fontId="24"/>
  </si>
  <si>
    <t>【R3・R4】
部や課の目標にそって、日々の業務の中に課題を発見し、業務改善を行い、効果を出したか
【R1・R2】
予定時間内に予定した業務を効率よく行ったか</t>
    <phoneticPr fontId="24"/>
  </si>
  <si>
    <t>成果物・サービス品質を確保するための努力と工夫を行い、品質向上に寄与したか</t>
    <rPh sb="27" eb="29">
      <t>ヒンシツ</t>
    </rPh>
    <rPh sb="29" eb="31">
      <t>コウジョウ</t>
    </rPh>
    <rPh sb="32" eb="34">
      <t>キヨ</t>
    </rPh>
    <phoneticPr fontId="24"/>
  </si>
  <si>
    <t>担当業務の課題を発見し、改善し、より良い成果物やサービスを提供した</t>
    <rPh sb="0" eb="2">
      <t>タントウ</t>
    </rPh>
    <rPh sb="2" eb="4">
      <t>ギョウム</t>
    </rPh>
    <rPh sb="5" eb="7">
      <t>カダイ</t>
    </rPh>
    <rPh sb="8" eb="10">
      <t>ハッケン</t>
    </rPh>
    <rPh sb="12" eb="14">
      <t>カイゼン</t>
    </rPh>
    <rPh sb="18" eb="19">
      <t>ヨ</t>
    </rPh>
    <rPh sb="20" eb="23">
      <t>セイカブツ</t>
    </rPh>
    <rPh sb="29" eb="31">
      <t>テイキョウ</t>
    </rPh>
    <phoneticPr fontId="24"/>
  </si>
  <si>
    <t>独力で正確に業務を行い、品質の良い成果物やサービスを提供した</t>
    <rPh sb="0" eb="2">
      <t>ドクリョク</t>
    </rPh>
    <rPh sb="12" eb="14">
      <t>ヒンシツ</t>
    </rPh>
    <rPh sb="15" eb="16">
      <t>ヨ</t>
    </rPh>
    <rPh sb="17" eb="20">
      <t>セイカブツ</t>
    </rPh>
    <rPh sb="26" eb="28">
      <t>テイキョウ</t>
    </rPh>
    <phoneticPr fontId="24"/>
  </si>
  <si>
    <t>上位者の指導の下、正確に業務を行い、品質の良い成果物やサービスを提供した</t>
    <rPh sb="18" eb="20">
      <t>ヒンシツ</t>
    </rPh>
    <rPh sb="21" eb="22">
      <t>ヨ</t>
    </rPh>
    <rPh sb="23" eb="26">
      <t>セイカブツ</t>
    </rPh>
    <rPh sb="32" eb="34">
      <t>テイキョウ</t>
    </rPh>
    <phoneticPr fontId="24"/>
  </si>
  <si>
    <t>顧客・関係者（社員・取引先）に誠意をもって対応し、信頼を得られたか</t>
    <rPh sb="0" eb="2">
      <t>コキャク</t>
    </rPh>
    <rPh sb="3" eb="6">
      <t>カンケイシャ</t>
    </rPh>
    <rPh sb="7" eb="9">
      <t>シャイン</t>
    </rPh>
    <rPh sb="10" eb="12">
      <t>トリヒキ</t>
    </rPh>
    <rPh sb="12" eb="13">
      <t>サキ</t>
    </rPh>
    <rPh sb="15" eb="17">
      <t>セイイ</t>
    </rPh>
    <rPh sb="21" eb="23">
      <t>タイオウ</t>
    </rPh>
    <rPh sb="25" eb="27">
      <t>シンライ</t>
    </rPh>
    <rPh sb="28" eb="29">
      <t>エ</t>
    </rPh>
    <phoneticPr fontId="24"/>
  </si>
  <si>
    <t>相手のニーズを理解し、付加価値ある提案をした</t>
    <phoneticPr fontId="24"/>
  </si>
  <si>
    <t>相手のニーズを理解し、相手にとって価値ある対応をした</t>
    <rPh sb="0" eb="2">
      <t>アイテ</t>
    </rPh>
    <rPh sb="11" eb="13">
      <t>アイテ</t>
    </rPh>
    <phoneticPr fontId="24"/>
  </si>
  <si>
    <t>顧客・関係者の要求や立場を理解し、誠意をもって対応し、信頼を得た</t>
    <rPh sb="27" eb="29">
      <t>シンライ</t>
    </rPh>
    <rPh sb="30" eb="31">
      <t>エ</t>
    </rPh>
    <phoneticPr fontId="24"/>
  </si>
  <si>
    <t>社内関係者や取引先に対して、交渉・調整し、有利な結果を導いたり、信頼関係を強めたりしたか</t>
    <rPh sb="0" eb="2">
      <t>シャナイ</t>
    </rPh>
    <rPh sb="2" eb="5">
      <t>カンケイシャ</t>
    </rPh>
    <rPh sb="6" eb="8">
      <t>トリヒキ</t>
    </rPh>
    <rPh sb="8" eb="9">
      <t>サキ</t>
    </rPh>
    <rPh sb="10" eb="11">
      <t>タイ</t>
    </rPh>
    <rPh sb="14" eb="16">
      <t>コウショウ</t>
    </rPh>
    <rPh sb="17" eb="19">
      <t>チョウセイ</t>
    </rPh>
    <rPh sb="21" eb="23">
      <t>ユウリ</t>
    </rPh>
    <rPh sb="24" eb="26">
      <t>ケッカ</t>
    </rPh>
    <rPh sb="27" eb="28">
      <t>ミチビ</t>
    </rPh>
    <rPh sb="32" eb="34">
      <t>シンライ</t>
    </rPh>
    <rPh sb="34" eb="36">
      <t>カンケイ</t>
    </rPh>
    <rPh sb="37" eb="38">
      <t>ツヨ</t>
    </rPh>
    <phoneticPr fontId="24"/>
  </si>
  <si>
    <t>主体的に内外関係者と円滑かつ有利に協議・交渉を行った</t>
    <rPh sb="23" eb="24">
      <t>オコナ</t>
    </rPh>
    <phoneticPr fontId="24"/>
  </si>
  <si>
    <t>主体的に内外関係者と交渉・調整を独力で行った</t>
    <rPh sb="0" eb="3">
      <t>シュタイテキ</t>
    </rPh>
    <rPh sb="10" eb="12">
      <t>コウショウ</t>
    </rPh>
    <rPh sb="13" eb="15">
      <t>チョウセイ</t>
    </rPh>
    <phoneticPr fontId="24"/>
  </si>
  <si>
    <t>　パンチャー職</t>
    <rPh sb="6" eb="7">
      <t>ショク</t>
    </rPh>
    <phoneticPr fontId="24"/>
  </si>
  <si>
    <t>Ｒ３</t>
  </si>
  <si>
    <t>大阪事業三部　データエントリ課</t>
    <rPh sb="0" eb="2">
      <t>オオサカ</t>
    </rPh>
    <rPh sb="2" eb="4">
      <t>ジギョウ</t>
    </rPh>
    <rPh sb="4" eb="5">
      <t>サン</t>
    </rPh>
    <rPh sb="5" eb="6">
      <t>ブ</t>
    </rPh>
    <rPh sb="14" eb="15">
      <t>カ</t>
    </rPh>
    <phoneticPr fontId="24"/>
  </si>
  <si>
    <t>【R3】
部や課の目標にそって、日々の業務の中に課題を発見し、業務改善を行い、効果を出したか
【R1・R2】
予定時間内に予定した業務を効率よく行ったか</t>
    <phoneticPr fontId="24"/>
  </si>
  <si>
    <t>【R3】
部や課の業務目標を達成するために、周囲を牽引したか
【R1・R2】
チームメンバとして、周囲が気持ちよく協業できる関係づくりに貢献したか</t>
    <rPh sb="5" eb="6">
      <t>ブ</t>
    </rPh>
    <rPh sb="7" eb="8">
      <t>カ</t>
    </rPh>
    <rPh sb="9" eb="11">
      <t>ギョウム</t>
    </rPh>
    <rPh sb="11" eb="13">
      <t>モクヒョウ</t>
    </rPh>
    <rPh sb="14" eb="16">
      <t>タッセイ</t>
    </rPh>
    <rPh sb="22" eb="24">
      <t>シュウイ</t>
    </rPh>
    <rPh sb="25" eb="27">
      <t>ケンイン</t>
    </rPh>
    <phoneticPr fontId="24"/>
  </si>
  <si>
    <t>　管理職</t>
    <rPh sb="1" eb="3">
      <t>カンリ</t>
    </rPh>
    <phoneticPr fontId="24"/>
  </si>
  <si>
    <t>Ｍ２</t>
    <phoneticPr fontId="24"/>
  </si>
  <si>
    <t>考課者</t>
    <rPh sb="0" eb="2">
      <t>コウカ</t>
    </rPh>
    <rPh sb="2" eb="3">
      <t>シャ</t>
    </rPh>
    <phoneticPr fontId="24"/>
  </si>
  <si>
    <t>考課
者</t>
    <rPh sb="0" eb="2">
      <t>コウカ</t>
    </rPh>
    <rPh sb="3" eb="4">
      <t>シャ</t>
    </rPh>
    <phoneticPr fontId="24"/>
  </si>
  <si>
    <t>経営参画
Ｍ３（×２）</t>
    <rPh sb="0" eb="2">
      <t>ケイエイ</t>
    </rPh>
    <rPh sb="2" eb="4">
      <t>サンカク</t>
    </rPh>
    <phoneticPr fontId="24"/>
  </si>
  <si>
    <t>事業計画にそって、部員一丸となって行動している</t>
    <phoneticPr fontId="24"/>
  </si>
  <si>
    <t>Ｍ３</t>
    <phoneticPr fontId="24"/>
  </si>
  <si>
    <t>全社の目標・方針を理解し、部の目標達成に向けて、部全体を牽引した</t>
    <rPh sb="0" eb="2">
      <t>ゼンシャ</t>
    </rPh>
    <rPh sb="3" eb="5">
      <t>モクヒョウ</t>
    </rPh>
    <rPh sb="6" eb="8">
      <t>ホウシン</t>
    </rPh>
    <rPh sb="9" eb="11">
      <t>リカイ</t>
    </rPh>
    <rPh sb="13" eb="14">
      <t>ブ</t>
    </rPh>
    <rPh sb="15" eb="17">
      <t>モクヒョウ</t>
    </rPh>
    <rPh sb="17" eb="19">
      <t>タッセイ</t>
    </rPh>
    <rPh sb="20" eb="21">
      <t>ム</t>
    </rPh>
    <rPh sb="25" eb="27">
      <t>ゼンタイ</t>
    </rPh>
    <phoneticPr fontId="24"/>
  </si>
  <si>
    <t>部の目標・方針を理解し、課の目標達成に向けて、課を牽引した</t>
    <rPh sb="16" eb="18">
      <t>タッセイ</t>
    </rPh>
    <rPh sb="19" eb="20">
      <t>ム</t>
    </rPh>
    <rPh sb="23" eb="24">
      <t>カ</t>
    </rPh>
    <rPh sb="25" eb="27">
      <t>ケンイン</t>
    </rPh>
    <phoneticPr fontId="24"/>
  </si>
  <si>
    <t>Ｍ１</t>
    <phoneticPr fontId="24"/>
  </si>
  <si>
    <t>部の目標・方針を理解し、課の目標達成に向けて行動し、部下にもその意義を伝えるなどして、上位者を支援した</t>
    <rPh sb="16" eb="18">
      <t>タッセイ</t>
    </rPh>
    <rPh sb="19" eb="20">
      <t>ム</t>
    </rPh>
    <rPh sb="22" eb="24">
      <t>コウドウ</t>
    </rPh>
    <rPh sb="43" eb="46">
      <t>ジョウイシャ</t>
    </rPh>
    <rPh sb="47" eb="49">
      <t>シエン</t>
    </rPh>
    <phoneticPr fontId="24"/>
  </si>
  <si>
    <t>決断・判断
業務改善
Ｍ３（×２）</t>
    <rPh sb="0" eb="2">
      <t>ケツダン</t>
    </rPh>
    <rPh sb="3" eb="5">
      <t>ハンダン</t>
    </rPh>
    <rPh sb="6" eb="8">
      <t>ギョウム</t>
    </rPh>
    <rPh sb="8" eb="10">
      <t>カイゼン</t>
    </rPh>
    <phoneticPr fontId="24"/>
  </si>
  <si>
    <t>【Ｍ３】重要な課題の解決方向を的確に示すことができる
【Ｍ１・２】複雑な案件の諸問題を分析し、問題解決につながる実行可能な提案ができる</t>
    <rPh sb="4" eb="6">
      <t>ジュウヨウ</t>
    </rPh>
    <rPh sb="7" eb="9">
      <t>カダイ</t>
    </rPh>
    <rPh sb="10" eb="12">
      <t>カイケツ</t>
    </rPh>
    <rPh sb="12" eb="14">
      <t>ホウコウ</t>
    </rPh>
    <rPh sb="15" eb="17">
      <t>テキカク</t>
    </rPh>
    <rPh sb="18" eb="19">
      <t>シメ</t>
    </rPh>
    <rPh sb="34" eb="36">
      <t>フクザツ</t>
    </rPh>
    <rPh sb="37" eb="39">
      <t>アンケン</t>
    </rPh>
    <rPh sb="40" eb="43">
      <t>ショモンダイ</t>
    </rPh>
    <rPh sb="44" eb="46">
      <t>ブンセキ</t>
    </rPh>
    <rPh sb="48" eb="50">
      <t>モンダイ</t>
    </rPh>
    <rPh sb="50" eb="52">
      <t>カイケツ</t>
    </rPh>
    <rPh sb="57" eb="59">
      <t>ジッコウ</t>
    </rPh>
    <rPh sb="59" eb="61">
      <t>カノウ</t>
    </rPh>
    <rPh sb="62" eb="64">
      <t>テイアン</t>
    </rPh>
    <phoneticPr fontId="24"/>
  </si>
  <si>
    <t>経営上重要な問題の解決方向を的確に示し、適切な手段・方法を選択した</t>
    <rPh sb="6" eb="8">
      <t>モンダイ</t>
    </rPh>
    <rPh sb="9" eb="11">
      <t>カイケツ</t>
    </rPh>
    <rPh sb="11" eb="13">
      <t>ホウコウ</t>
    </rPh>
    <rPh sb="14" eb="16">
      <t>テキカク</t>
    </rPh>
    <rPh sb="17" eb="18">
      <t>シメ</t>
    </rPh>
    <rPh sb="20" eb="22">
      <t>テキセツ</t>
    </rPh>
    <rPh sb="23" eb="25">
      <t>シュダン</t>
    </rPh>
    <rPh sb="26" eb="28">
      <t>ホウホウ</t>
    </rPh>
    <rPh sb="29" eb="31">
      <t>センタク</t>
    </rPh>
    <phoneticPr fontId="24"/>
  </si>
  <si>
    <t>担当業務の将来の課題を洗い出し、業務の仕組みを見直したり予防措置をとった</t>
    <rPh sb="0" eb="2">
      <t>タントウ</t>
    </rPh>
    <rPh sb="2" eb="4">
      <t>ギョウム</t>
    </rPh>
    <rPh sb="5" eb="7">
      <t>ショウライ</t>
    </rPh>
    <rPh sb="8" eb="10">
      <t>カダイ</t>
    </rPh>
    <rPh sb="11" eb="12">
      <t>アラ</t>
    </rPh>
    <rPh sb="13" eb="14">
      <t>ダ</t>
    </rPh>
    <rPh sb="16" eb="18">
      <t>ギョウム</t>
    </rPh>
    <rPh sb="19" eb="21">
      <t>シク</t>
    </rPh>
    <rPh sb="23" eb="25">
      <t>ミナオ</t>
    </rPh>
    <rPh sb="28" eb="30">
      <t>ヨボウ</t>
    </rPh>
    <rPh sb="30" eb="32">
      <t>ソチ</t>
    </rPh>
    <phoneticPr fontId="24"/>
  </si>
  <si>
    <t>担当業務の問題を分析し、適切な手段・方法を選択した</t>
    <rPh sb="0" eb="2">
      <t>タントウ</t>
    </rPh>
    <rPh sb="2" eb="4">
      <t>ギョウム</t>
    </rPh>
    <rPh sb="5" eb="7">
      <t>モンダイ</t>
    </rPh>
    <rPh sb="8" eb="10">
      <t>ブンセキ</t>
    </rPh>
    <rPh sb="12" eb="14">
      <t>テキセツ</t>
    </rPh>
    <rPh sb="15" eb="17">
      <t>シュダン</t>
    </rPh>
    <rPh sb="18" eb="20">
      <t>ホウホウ</t>
    </rPh>
    <rPh sb="21" eb="23">
      <t>センタク</t>
    </rPh>
    <phoneticPr fontId="24"/>
  </si>
  <si>
    <t>顧客・関係者
からの信頼</t>
    <rPh sb="0" eb="1">
      <t>カエリミ</t>
    </rPh>
    <rPh sb="1" eb="2">
      <t>キャク</t>
    </rPh>
    <rPh sb="3" eb="6">
      <t>カンケイシャ</t>
    </rPh>
    <rPh sb="10" eb="12">
      <t>シンライ</t>
    </rPh>
    <phoneticPr fontId="24"/>
  </si>
  <si>
    <t>顧客と良好な関係づくりができる</t>
    <phoneticPr fontId="24"/>
  </si>
  <si>
    <t>関係先の交渉権をもつ役職者と信頼・協力関係が築けた</t>
    <rPh sb="14" eb="16">
      <t>シンライ</t>
    </rPh>
    <rPh sb="17" eb="19">
      <t>キョウリョク</t>
    </rPh>
    <rPh sb="19" eb="21">
      <t>カンケイ</t>
    </rPh>
    <phoneticPr fontId="24"/>
  </si>
  <si>
    <t>顧客や取引先と良好な関係を作り、関係先マネージャーと信頼・協力関係が築けた</t>
    <phoneticPr fontId="24"/>
  </si>
  <si>
    <t>関係先マネージャーまたは現場リーダーと信頼・協力関係が築けた</t>
    <rPh sb="12" eb="14">
      <t>ゲンバ</t>
    </rPh>
    <phoneticPr fontId="24"/>
  </si>
  <si>
    <t>渉外・折衝</t>
    <phoneticPr fontId="24"/>
  </si>
  <si>
    <t>顧客や取引先に対して、折衝や交渉ができる</t>
    <rPh sb="3" eb="5">
      <t>トリヒキ</t>
    </rPh>
    <rPh sb="5" eb="6">
      <t>サキ</t>
    </rPh>
    <phoneticPr fontId="24"/>
  </si>
  <si>
    <t>経営上重要な業務について社外関係者と交渉し、会社方針に沿って解決した
または、顧客や取引先と交渉し、改善・有益な結果をもたらした</t>
    <phoneticPr fontId="24"/>
  </si>
  <si>
    <t>顧客との契約内容を熟知し、相互に有益となる働きかけができた
困難な状況でも対外交渉を有利に導くことができた</t>
    <rPh sb="13" eb="15">
      <t>ソウゴ</t>
    </rPh>
    <phoneticPr fontId="24"/>
  </si>
  <si>
    <t>相手の立場やパワーバランスを考慮し、担当分野における交渉ごとを有利に導くことができた</t>
    <phoneticPr fontId="24"/>
  </si>
  <si>
    <t>リーダーシップ</t>
    <phoneticPr fontId="24"/>
  </si>
  <si>
    <t>【Ｍ３】会社全体の目標、あるいは部の事業計画達成に向けて、リーダーシップを発揮できる
【Ｍ１・２】部や課の課題解決に向けて、あるいはパートナーとの協業の場面などで、リーダーシップを発揮できる</t>
    <phoneticPr fontId="24"/>
  </si>
  <si>
    <t>全社または部の目標達成や課題解決のために、リーダーシップを発揮した
または、部門全体を目標に向かって結束することができた</t>
    <rPh sb="0" eb="2">
      <t>ゼンシャ</t>
    </rPh>
    <rPh sb="7" eb="9">
      <t>モクヒョウ</t>
    </rPh>
    <rPh sb="9" eb="11">
      <t>タッセイ</t>
    </rPh>
    <rPh sb="12" eb="14">
      <t>カダイ</t>
    </rPh>
    <rPh sb="14" eb="16">
      <t>カイケツ</t>
    </rPh>
    <rPh sb="38" eb="39">
      <t>ブ</t>
    </rPh>
    <rPh sb="39" eb="40">
      <t>モン</t>
    </rPh>
    <rPh sb="40" eb="42">
      <t>ゼンタイ</t>
    </rPh>
    <rPh sb="43" eb="45">
      <t>モクヒョウ</t>
    </rPh>
    <rPh sb="46" eb="47">
      <t>ム</t>
    </rPh>
    <rPh sb="50" eb="52">
      <t>ケッソク</t>
    </rPh>
    <phoneticPr fontId="24"/>
  </si>
  <si>
    <t>部または課の目標達成や課題解決のために、リーダーシップを発揮した
または、課のチームワークを高めることができた</t>
    <rPh sb="0" eb="1">
      <t>ブ</t>
    </rPh>
    <rPh sb="4" eb="5">
      <t>カ</t>
    </rPh>
    <rPh sb="37" eb="38">
      <t>カ</t>
    </rPh>
    <rPh sb="46" eb="47">
      <t>タカ</t>
    </rPh>
    <phoneticPr fontId="24"/>
  </si>
  <si>
    <t>課またはプロジェクトの目標達成や課題解決のために、リーダーシップを発揮した
または、課員のモチベーションを維持・向上させることができた</t>
    <rPh sb="0" eb="1">
      <t>カ</t>
    </rPh>
    <rPh sb="42" eb="44">
      <t>カイン</t>
    </rPh>
    <rPh sb="53" eb="55">
      <t>イジ</t>
    </rPh>
    <rPh sb="56" eb="58">
      <t>コウジョウ</t>
    </rPh>
    <phoneticPr fontId="24"/>
  </si>
  <si>
    <t>人材育成</t>
    <rPh sb="0" eb="2">
      <t>ジンザイ</t>
    </rPh>
    <phoneticPr fontId="24"/>
  </si>
  <si>
    <t>部下に「気づき」を与え、仕事を通して部下を成長させている
または、適切な目標を設定し、アドバイスしながら目標達成に向けて支援している</t>
    <phoneticPr fontId="24"/>
  </si>
  <si>
    <t>管理職や次世代管理職の指導・育成をした
または、部員（役職者含む）の課題を明確にし、改善行動のきっかけを作った</t>
    <rPh sb="0" eb="2">
      <t>カンリ</t>
    </rPh>
    <rPh sb="2" eb="3">
      <t>ショク</t>
    </rPh>
    <rPh sb="4" eb="7">
      <t>ジセダイ</t>
    </rPh>
    <rPh sb="7" eb="9">
      <t>カンリ</t>
    </rPh>
    <rPh sb="9" eb="10">
      <t>ショク</t>
    </rPh>
    <rPh sb="11" eb="13">
      <t>シドウ</t>
    </rPh>
    <rPh sb="14" eb="16">
      <t>イクセイ</t>
    </rPh>
    <rPh sb="24" eb="26">
      <t>ブイン</t>
    </rPh>
    <rPh sb="27" eb="30">
      <t>ヤクショクシャ</t>
    </rPh>
    <rPh sb="30" eb="31">
      <t>フク</t>
    </rPh>
    <rPh sb="34" eb="36">
      <t>カダイ</t>
    </rPh>
    <rPh sb="37" eb="39">
      <t>メイカク</t>
    </rPh>
    <rPh sb="42" eb="44">
      <t>カイゼン</t>
    </rPh>
    <rPh sb="44" eb="46">
      <t>コウドウ</t>
    </rPh>
    <rPh sb="52" eb="53">
      <t>ツク</t>
    </rPh>
    <phoneticPr fontId="24"/>
  </si>
  <si>
    <t>課員の能力、適性を把握し、適切な育成・指導をした
または、アドバイスしながら、目標達成に向けて支援できた</t>
    <rPh sb="0" eb="2">
      <t>カイン</t>
    </rPh>
    <rPh sb="3" eb="5">
      <t>ノウリョク</t>
    </rPh>
    <rPh sb="6" eb="8">
      <t>テキセイ</t>
    </rPh>
    <rPh sb="9" eb="11">
      <t>ハアク</t>
    </rPh>
    <rPh sb="13" eb="15">
      <t>テキセツ</t>
    </rPh>
    <phoneticPr fontId="24"/>
  </si>
  <si>
    <t>メンバの育成・指導、目標達成に向けて支援する上位者の代行やサポートをした
または、メンバの仕事の状況を把握し、課題解決に向けた指導・援助を行った</t>
    <rPh sb="18" eb="20">
      <t>シエン</t>
    </rPh>
    <rPh sb="22" eb="25">
      <t>ジョウイシャ</t>
    </rPh>
    <rPh sb="26" eb="28">
      <t>ダイコウ</t>
    </rPh>
    <rPh sb="45" eb="47">
      <t>シゴト</t>
    </rPh>
    <rPh sb="48" eb="50">
      <t>ジョウキョウ</t>
    </rPh>
    <rPh sb="51" eb="53">
      <t>ハアク</t>
    </rPh>
    <rPh sb="55" eb="57">
      <t>カダイ</t>
    </rPh>
    <rPh sb="57" eb="59">
      <t>カイケツ</t>
    </rPh>
    <rPh sb="60" eb="61">
      <t>ム</t>
    </rPh>
    <rPh sb="63" eb="65">
      <t>シドウ</t>
    </rPh>
    <rPh sb="66" eb="68">
      <t>エンジョ</t>
    </rPh>
    <rPh sb="69" eb="70">
      <t>オコナ</t>
    </rPh>
    <phoneticPr fontId="24"/>
  </si>
  <si>
    <t>M1・M2は60点満点（各項目×２）／M3は40点満点</t>
    <rPh sb="12" eb="15">
      <t>カクコウモク</t>
    </rPh>
    <phoneticPr fontId="26"/>
  </si>
  <si>
    <t>M1・M2は40点満点／M3は60点満点</t>
    <rPh sb="8" eb="9">
      <t>テン</t>
    </rPh>
    <rPh sb="9" eb="11">
      <t>マンテン</t>
    </rPh>
    <rPh sb="17" eb="18">
      <t>テン</t>
    </rPh>
    <rPh sb="18" eb="20">
      <t>マンテン</t>
    </rPh>
    <phoneticPr fontId="26"/>
  </si>
  <si>
    <t>考課者</t>
    <phoneticPr fontId="24"/>
  </si>
  <si>
    <r>
      <t>常に行動として顕われていた
　</t>
    </r>
    <r>
      <rPr>
        <b/>
        <sz val="10"/>
        <rFont val="ＭＳ Ｐゴシック"/>
        <family val="3"/>
        <charset val="128"/>
      </rPr>
      <t>－資格相当と言える行動を行った</t>
    </r>
    <r>
      <rPr>
        <sz val="10"/>
        <rFont val="ＭＳ Ｐゴシック"/>
        <family val="3"/>
        <charset val="128"/>
      </rPr>
      <t>　</t>
    </r>
    <rPh sb="0" eb="1">
      <t>ツネ</t>
    </rPh>
    <rPh sb="2" eb="4">
      <t>コウドウ</t>
    </rPh>
    <rPh sb="7" eb="8">
      <t>アラ</t>
    </rPh>
    <phoneticPr fontId="26"/>
  </si>
  <si>
    <t>　スペシャリスト職</t>
    <phoneticPr fontId="24"/>
  </si>
  <si>
    <t>Ｓ１</t>
  </si>
  <si>
    <t xml:space="preserve">専門性発揮
案件遂行
・Ｓ２、Ｓ１
Ｘ（３）
</t>
    <rPh sb="0" eb="2">
      <t>ジンザイ</t>
    </rPh>
    <rPh sb="6" eb="8">
      <t>アンケン</t>
    </rPh>
    <rPh sb="8" eb="10">
      <t>スイコウ</t>
    </rPh>
    <phoneticPr fontId="24"/>
  </si>
  <si>
    <t xml:space="preserve">高度な技術、専門知識による業務遂行し、案件を成功裏に完遂する
</t>
    <rPh sb="3" eb="5">
      <t>ギジュツ</t>
    </rPh>
    <rPh sb="6" eb="8">
      <t>センモン</t>
    </rPh>
    <rPh sb="8" eb="10">
      <t>チシキ</t>
    </rPh>
    <rPh sb="26" eb="28">
      <t>カンスイ</t>
    </rPh>
    <phoneticPr fontId="24"/>
  </si>
  <si>
    <t>Ｓ４</t>
    <phoneticPr fontId="24"/>
  </si>
  <si>
    <t>特命プロジェクトを主体的に推進した</t>
    <rPh sb="0" eb="2">
      <t>トクメイ</t>
    </rPh>
    <rPh sb="9" eb="12">
      <t>シュタイテキ</t>
    </rPh>
    <rPh sb="13" eb="15">
      <t>スイシン</t>
    </rPh>
    <phoneticPr fontId="24"/>
  </si>
  <si>
    <t>Ｓ３</t>
    <phoneticPr fontId="24"/>
  </si>
  <si>
    <t>全社横断プロジェクト、新規事業、商品開発などに専門性を活かして参画した</t>
    <rPh sb="0" eb="2">
      <t>ゼンシャ</t>
    </rPh>
    <rPh sb="2" eb="4">
      <t>オウダン</t>
    </rPh>
    <rPh sb="11" eb="13">
      <t>シンキ</t>
    </rPh>
    <rPh sb="13" eb="15">
      <t>ジギョウ</t>
    </rPh>
    <rPh sb="16" eb="18">
      <t>ショウヒン</t>
    </rPh>
    <rPh sb="18" eb="20">
      <t>カイハツ</t>
    </rPh>
    <rPh sb="23" eb="26">
      <t>センモンセイ</t>
    </rPh>
    <rPh sb="27" eb="28">
      <t>イ</t>
    </rPh>
    <rPh sb="31" eb="33">
      <t>サンカク</t>
    </rPh>
    <phoneticPr fontId="24"/>
  </si>
  <si>
    <t>Ｓ２</t>
    <phoneticPr fontId="26"/>
  </si>
  <si>
    <t>社内の特命テーマやプロジェクトを推進した</t>
    <rPh sb="0" eb="2">
      <t>シャナイ</t>
    </rPh>
    <rPh sb="3" eb="5">
      <t>トクメイ</t>
    </rPh>
    <rPh sb="16" eb="18">
      <t>スイシン</t>
    </rPh>
    <phoneticPr fontId="24"/>
  </si>
  <si>
    <t>Ｓ１</t>
    <phoneticPr fontId="26"/>
  </si>
  <si>
    <t>高い専門性を有するメンバとして、プロジェクトに参画・貢献した</t>
    <rPh sb="0" eb="1">
      <t>タカ</t>
    </rPh>
    <rPh sb="2" eb="5">
      <t>センモンセイ</t>
    </rPh>
    <rPh sb="6" eb="7">
      <t>ユウ</t>
    </rPh>
    <rPh sb="23" eb="25">
      <t>サンカク</t>
    </rPh>
    <rPh sb="26" eb="28">
      <t>コウケン</t>
    </rPh>
    <phoneticPr fontId="24"/>
  </si>
  <si>
    <t>人材育成
・Ｓ２、Ｓ１
Ｘ（３）</t>
    <rPh sb="0" eb="2">
      <t>ジンザイ</t>
    </rPh>
    <phoneticPr fontId="24"/>
  </si>
  <si>
    <t>次世代の人材を育成するために、高度な専門スキルを伝播すること</t>
    <phoneticPr fontId="24"/>
  </si>
  <si>
    <t>経営に好影響を与えるようなIT技術を駆使した行動をおこなった</t>
    <rPh sb="0" eb="2">
      <t>ケイエイ</t>
    </rPh>
    <rPh sb="3" eb="6">
      <t>コウエイキョウ</t>
    </rPh>
    <rPh sb="7" eb="8">
      <t>アタ</t>
    </rPh>
    <rPh sb="18" eb="20">
      <t>クシ</t>
    </rPh>
    <rPh sb="22" eb="24">
      <t>コウドウ</t>
    </rPh>
    <phoneticPr fontId="24"/>
  </si>
  <si>
    <t>次世代リーダー、次世代ＤＸ人材を育成する活動を行った</t>
    <rPh sb="0" eb="3">
      <t>ジセダイ</t>
    </rPh>
    <rPh sb="8" eb="11">
      <t>ジセダイ</t>
    </rPh>
    <rPh sb="13" eb="15">
      <t>ジンザイ</t>
    </rPh>
    <rPh sb="16" eb="18">
      <t>イクセイ</t>
    </rPh>
    <rPh sb="20" eb="22">
      <t>カツドウ</t>
    </rPh>
    <rPh sb="23" eb="24">
      <t>オコナ</t>
    </rPh>
    <phoneticPr fontId="24"/>
  </si>
  <si>
    <t>社外の専門ノウハウを社内へ知識伝承する活動をおこなった</t>
    <phoneticPr fontId="24"/>
  </si>
  <si>
    <t>熟練分野で有する高度な専門性を活かして後進を指導した</t>
    <rPh sb="0" eb="2">
      <t>ジュクレン</t>
    </rPh>
    <rPh sb="2" eb="4">
      <t>ブンヤ</t>
    </rPh>
    <rPh sb="5" eb="6">
      <t>ユウ</t>
    </rPh>
    <rPh sb="8" eb="10">
      <t>コウド</t>
    </rPh>
    <rPh sb="11" eb="13">
      <t>センモン</t>
    </rPh>
    <rPh sb="13" eb="14">
      <t>セイ</t>
    </rPh>
    <rPh sb="15" eb="16">
      <t>イ</t>
    </rPh>
    <rPh sb="19" eb="21">
      <t>コウシン</t>
    </rPh>
    <rPh sb="22" eb="24">
      <t>シドウ</t>
    </rPh>
    <phoneticPr fontId="24"/>
  </si>
  <si>
    <t xml:space="preserve">ユーザーニーズへの対応
</t>
    <phoneticPr fontId="24"/>
  </si>
  <si>
    <t>顧客ファーストで行動し、顧客を満足させること</t>
    <phoneticPr fontId="24"/>
  </si>
  <si>
    <t>先見思考で未来を捉え、何をすべきかのビジョンを顧客に示した
既存事業にとらわれず新たなビジネスモデル構築を顧客に示した</t>
    <rPh sb="0" eb="2">
      <t>センケン</t>
    </rPh>
    <rPh sb="2" eb="4">
      <t>シコウ</t>
    </rPh>
    <rPh sb="5" eb="7">
      <t>ミライ</t>
    </rPh>
    <rPh sb="8" eb="9">
      <t>トラ</t>
    </rPh>
    <rPh sb="11" eb="12">
      <t>ナニ</t>
    </rPh>
    <rPh sb="23" eb="25">
      <t>コキャク</t>
    </rPh>
    <rPh sb="26" eb="27">
      <t>シメ</t>
    </rPh>
    <rPh sb="30" eb="32">
      <t>キゾン</t>
    </rPh>
    <rPh sb="32" eb="34">
      <t>ジギョウ</t>
    </rPh>
    <rPh sb="40" eb="41">
      <t>アラ</t>
    </rPh>
    <rPh sb="50" eb="52">
      <t>コウチク</t>
    </rPh>
    <rPh sb="53" eb="55">
      <t>コキャク</t>
    </rPh>
    <rPh sb="56" eb="57">
      <t>シメ</t>
    </rPh>
    <phoneticPr fontId="24"/>
  </si>
  <si>
    <t>顧客の心理・行動を深く洞察し、顕在ニーズのみならず潜在ニーズを見出した
顧客対応をおこなった</t>
    <rPh sb="15" eb="17">
      <t>ケンザイ</t>
    </rPh>
    <rPh sb="25" eb="27">
      <t>センザイ</t>
    </rPh>
    <rPh sb="31" eb="33">
      <t>ミイダ</t>
    </rPh>
    <rPh sb="36" eb="38">
      <t>コキャク</t>
    </rPh>
    <rPh sb="38" eb="40">
      <t>タイオウ</t>
    </rPh>
    <phoneticPr fontId="24"/>
  </si>
  <si>
    <t>自社の強みを活用し、顧客にとって付加価値ある提案をおこなった</t>
    <rPh sb="0" eb="2">
      <t>ジシャ</t>
    </rPh>
    <rPh sb="3" eb="4">
      <t>ツヨ</t>
    </rPh>
    <rPh sb="6" eb="8">
      <t>カツヨウ</t>
    </rPh>
    <rPh sb="10" eb="12">
      <t>コキャク</t>
    </rPh>
    <phoneticPr fontId="24"/>
  </si>
  <si>
    <t>顧客の課題に対し、専門性を活かした効果的な提案をおこなった</t>
    <rPh sb="0" eb="2">
      <t>コキャク</t>
    </rPh>
    <rPh sb="11" eb="12">
      <t>セイ</t>
    </rPh>
    <rPh sb="13" eb="14">
      <t>イ</t>
    </rPh>
    <phoneticPr fontId="24"/>
  </si>
  <si>
    <t>人材交流
（営業活動）</t>
    <rPh sb="0" eb="2">
      <t>ジンザイ</t>
    </rPh>
    <rPh sb="2" eb="4">
      <t>コウリュウ</t>
    </rPh>
    <phoneticPr fontId="24"/>
  </si>
  <si>
    <t xml:space="preserve">
受注につながる活動（営業活動や顧客フォロー）を行うこと
</t>
    <rPh sb="14" eb="16">
      <t>カツドウ</t>
    </rPh>
    <phoneticPr fontId="24"/>
  </si>
  <si>
    <t>専門分野から新規分野に繋がる人材交流（営業活動）をおこなった
社外専門家ネットワークの形成や、他社とのコラボ活動をおこなった</t>
    <rPh sb="6" eb="8">
      <t>シンキ</t>
    </rPh>
    <rPh sb="8" eb="10">
      <t>ブンヤ</t>
    </rPh>
    <rPh sb="19" eb="21">
      <t>エイギョウ</t>
    </rPh>
    <rPh sb="21" eb="23">
      <t>カツドウ</t>
    </rPh>
    <rPh sb="47" eb="49">
      <t>タシャ</t>
    </rPh>
    <rPh sb="54" eb="56">
      <t>カツドウ</t>
    </rPh>
    <phoneticPr fontId="24"/>
  </si>
  <si>
    <t>専門分野からビジネスチャンスに繋がる人材交流（営業活動）をおこなった
共創関係構築に向けたターゲット人脈との関係づくりを行った</t>
    <rPh sb="35" eb="37">
      <t>キョウソウ</t>
    </rPh>
    <rPh sb="37" eb="39">
      <t>カンケイ</t>
    </rPh>
    <rPh sb="39" eb="41">
      <t>コウチク</t>
    </rPh>
    <rPh sb="42" eb="43">
      <t>ム</t>
    </rPh>
    <rPh sb="50" eb="52">
      <t>ジンミャク</t>
    </rPh>
    <rPh sb="54" eb="56">
      <t>カンケイ</t>
    </rPh>
    <rPh sb="60" eb="61">
      <t>オコナ</t>
    </rPh>
    <phoneticPr fontId="24"/>
  </si>
  <si>
    <t>新たな顧客と自社をつなぐ人脈つくりをおこなった</t>
    <rPh sb="0" eb="1">
      <t>アラ</t>
    </rPh>
    <rPh sb="3" eb="5">
      <t>コキャク</t>
    </rPh>
    <rPh sb="6" eb="8">
      <t>ジシャ</t>
    </rPh>
    <rPh sb="12" eb="14">
      <t>ジンミャク</t>
    </rPh>
    <phoneticPr fontId="24"/>
  </si>
  <si>
    <t>顧客担当者やリーダーに対して、利益につながる人材交流（営業活動）をおこなった</t>
    <rPh sb="0" eb="2">
      <t>コキャク</t>
    </rPh>
    <rPh sb="2" eb="5">
      <t>タントウシャ</t>
    </rPh>
    <rPh sb="11" eb="12">
      <t>タイ</t>
    </rPh>
    <rPh sb="15" eb="17">
      <t>リエキ</t>
    </rPh>
    <rPh sb="22" eb="24">
      <t>ジンザイ</t>
    </rPh>
    <rPh sb="24" eb="26">
      <t>コウリュウ</t>
    </rPh>
    <phoneticPr fontId="24"/>
  </si>
  <si>
    <r>
      <t>Ｓ1・Ｓ2は</t>
    </r>
    <r>
      <rPr>
        <b/>
        <sz val="10"/>
        <color rgb="FFFF0000"/>
        <rFont val="ＭＳ Ｐゴシック"/>
        <family val="3"/>
        <charset val="128"/>
      </rPr>
      <t>40点満点</t>
    </r>
    <r>
      <rPr>
        <sz val="10"/>
        <rFont val="ＭＳ Ｐゴシック"/>
        <family val="3"/>
        <charset val="128"/>
      </rPr>
      <t>／Ｓ3・S4は</t>
    </r>
    <r>
      <rPr>
        <b/>
        <sz val="10"/>
        <color rgb="FFFF0000"/>
        <rFont val="ＭＳ Ｐゴシック"/>
        <family val="3"/>
        <charset val="128"/>
      </rPr>
      <t>20点満点</t>
    </r>
    <phoneticPr fontId="26"/>
  </si>
  <si>
    <r>
      <t>【実績目標の達成結果】</t>
    </r>
    <r>
      <rPr>
        <b/>
        <sz val="10"/>
        <rFont val="ＭＳ Ｐゴシック"/>
        <family val="3"/>
        <charset val="128"/>
      </rPr>
      <t>　</t>
    </r>
    <r>
      <rPr>
        <sz val="10"/>
        <rFont val="ＭＳ Ｐゴシック"/>
        <family val="3"/>
        <charset val="128"/>
      </rPr>
      <t>目標達成に向けて行動した結果、業績への貢献度を見る</t>
    </r>
    <rPh sb="1" eb="3">
      <t>ジッセキ</t>
    </rPh>
    <rPh sb="3" eb="5">
      <t>モクヒョウ</t>
    </rPh>
    <rPh sb="6" eb="8">
      <t>タッセイ</t>
    </rPh>
    <rPh sb="8" eb="10">
      <t>ケッカ</t>
    </rPh>
    <phoneticPr fontId="24"/>
  </si>
  <si>
    <r>
      <rPr>
        <sz val="10"/>
        <rFont val="ＭＳ Ｐゴシック"/>
        <family val="3"/>
        <charset val="128"/>
      </rPr>
      <t>Ｓ1・Ｓ2は</t>
    </r>
    <r>
      <rPr>
        <b/>
        <sz val="10"/>
        <color rgb="FFFF0000"/>
        <rFont val="ＭＳ Ｐゴシック"/>
        <family val="3"/>
        <charset val="128"/>
      </rPr>
      <t>60点満</t>
    </r>
    <r>
      <rPr>
        <sz val="10"/>
        <color rgb="FFFF0000"/>
        <rFont val="ＭＳ Ｐゴシック"/>
        <family val="3"/>
        <charset val="128"/>
      </rPr>
      <t>点</t>
    </r>
    <r>
      <rPr>
        <sz val="10"/>
        <rFont val="ＭＳ Ｐゴシック"/>
        <family val="3"/>
        <charset val="128"/>
      </rPr>
      <t>／Ｓ3・Ｓ4は</t>
    </r>
    <r>
      <rPr>
        <b/>
        <sz val="10"/>
        <color rgb="FFFF0000"/>
        <rFont val="ＭＳ Ｐゴシック"/>
        <family val="3"/>
        <charset val="128"/>
      </rPr>
      <t>80点満点</t>
    </r>
    <rPh sb="8" eb="9">
      <t>テン</t>
    </rPh>
    <rPh sb="9" eb="11">
      <t>マンテン</t>
    </rPh>
    <rPh sb="20" eb="21">
      <t>テン</t>
    </rPh>
    <rPh sb="21" eb="23">
      <t>マンテン</t>
    </rPh>
    <phoneticPr fontId="26"/>
  </si>
  <si>
    <t>２０２５年４～５月実施</t>
    <rPh sb="4" eb="5">
      <t>ネン</t>
    </rPh>
    <rPh sb="8" eb="9">
      <t>ガツ</t>
    </rPh>
    <rPh sb="9" eb="11">
      <t>ジッシ</t>
    </rPh>
    <phoneticPr fontId="24"/>
  </si>
  <si>
    <t>人材育成
・Ｓ２、Ｓ１</t>
    <rPh sb="0" eb="2">
      <t>ジンザイ</t>
    </rPh>
    <phoneticPr fontId="24"/>
  </si>
  <si>
    <t xml:space="preserve">ユーザーニーズへの対応
Ｘ（３）
</t>
    <phoneticPr fontId="24"/>
  </si>
  <si>
    <t>●●事業●部　●●課　目標</t>
    <rPh sb="2" eb="4">
      <t>ジギョウ</t>
    </rPh>
    <rPh sb="5" eb="6">
      <t>ブ</t>
    </rPh>
    <rPh sb="9" eb="10">
      <t>カ</t>
    </rPh>
    <rPh sb="11" eb="13">
      <t>モクヒョウ</t>
    </rPh>
    <phoneticPr fontId="24"/>
  </si>
  <si>
    <t>全社のＶ４０(5か年)</t>
    <rPh sb="0" eb="2">
      <t>ゼンシャ</t>
    </rPh>
    <rPh sb="9" eb="10">
      <t>ネン</t>
    </rPh>
    <phoneticPr fontId="26"/>
  </si>
  <si>
    <t>部門のE２４（２か年）</t>
    <rPh sb="0" eb="2">
      <t>ブモン</t>
    </rPh>
    <rPh sb="9" eb="10">
      <t>ネン</t>
    </rPh>
    <phoneticPr fontId="26"/>
  </si>
  <si>
    <t>部の目標</t>
    <rPh sb="0" eb="1">
      <t>ブ</t>
    </rPh>
    <rPh sb="2" eb="4">
      <t>モクヒョウ</t>
    </rPh>
    <phoneticPr fontId="26"/>
  </si>
  <si>
    <t>課の目標</t>
    <rPh sb="0" eb="1">
      <t>カ</t>
    </rPh>
    <rPh sb="2" eb="4">
      <t>モクヒョウ</t>
    </rPh>
    <phoneticPr fontId="26"/>
  </si>
  <si>
    <t>✔　</t>
    <phoneticPr fontId="26"/>
  </si>
  <si>
    <t>社員400人企業への拡大</t>
    <phoneticPr fontId="26"/>
  </si>
  <si>
    <t>売上の40％をDX技術で構成</t>
    <phoneticPr fontId="26"/>
  </si>
  <si>
    <t>4億円規模の受託開発獲得</t>
    <phoneticPr fontId="26"/>
  </si>
  <si>
    <t>社員平均年齢40歳未満へ引き下げ</t>
    <phoneticPr fontId="26"/>
  </si>
  <si>
    <t>社員平均年収40％アップ</t>
    <phoneticPr fontId="26"/>
  </si>
  <si>
    <t>個人目標を立てる前に上長は上位目標を明示しましょう！！</t>
    <rPh sb="0" eb="2">
      <t>コジン</t>
    </rPh>
    <rPh sb="2" eb="4">
      <t>モクヒョウ</t>
    </rPh>
    <rPh sb="5" eb="6">
      <t>タ</t>
    </rPh>
    <rPh sb="8" eb="9">
      <t>マエ</t>
    </rPh>
    <rPh sb="10" eb="12">
      <t>ジョウチョウ</t>
    </rPh>
    <rPh sb="13" eb="15">
      <t>ジョウイ</t>
    </rPh>
    <rPh sb="15" eb="17">
      <t>モクヒョウ</t>
    </rPh>
    <rPh sb="18" eb="20">
      <t>メイジ</t>
    </rPh>
    <phoneticPr fontId="26"/>
  </si>
  <si>
    <t>目標管理の個人目標は、必ず上位目標とリンクしている必要があります。</t>
    <rPh sb="0" eb="2">
      <t>モクヒョウ</t>
    </rPh>
    <rPh sb="2" eb="4">
      <t>カンリ</t>
    </rPh>
    <rPh sb="5" eb="7">
      <t>コジン</t>
    </rPh>
    <rPh sb="7" eb="9">
      <t>モクヒョウ</t>
    </rPh>
    <rPh sb="11" eb="12">
      <t>カナラ</t>
    </rPh>
    <rPh sb="13" eb="15">
      <t>ジョウイ</t>
    </rPh>
    <rPh sb="15" eb="17">
      <t>モクヒョウ</t>
    </rPh>
    <rPh sb="25" eb="27">
      <t>ヒツヨウ</t>
    </rPh>
    <phoneticPr fontId="26"/>
  </si>
  <si>
    <t>リンクしていない目標を各社員が達成しても、事業計画は達成できないからです。</t>
    <rPh sb="8" eb="10">
      <t>モクヒョウ</t>
    </rPh>
    <rPh sb="11" eb="14">
      <t>カクシャイン</t>
    </rPh>
    <rPh sb="15" eb="17">
      <t>タッセイ</t>
    </rPh>
    <rPh sb="21" eb="23">
      <t>ジギョウ</t>
    </rPh>
    <rPh sb="23" eb="25">
      <t>ケイカク</t>
    </rPh>
    <rPh sb="26" eb="28">
      <t>タッセイ</t>
    </rPh>
    <phoneticPr fontId="26"/>
  </si>
  <si>
    <t>上位目標とは、「Ｖ４０」「Ｅ２４」「各部の目標」「各課の目標」の目標を指します。</t>
    <rPh sb="0" eb="2">
      <t>ジョウイ</t>
    </rPh>
    <rPh sb="2" eb="4">
      <t>モクヒョウ</t>
    </rPh>
    <rPh sb="18" eb="20">
      <t>カクブ</t>
    </rPh>
    <rPh sb="21" eb="23">
      <t>モクヒョウ</t>
    </rPh>
    <rPh sb="25" eb="27">
      <t>カクカ</t>
    </rPh>
    <rPh sb="28" eb="30">
      <t>モクヒョウ</t>
    </rPh>
    <rPh sb="32" eb="34">
      <t>モクヒョウ</t>
    </rPh>
    <rPh sb="35" eb="36">
      <t>サ</t>
    </rPh>
    <phoneticPr fontId="26"/>
  </si>
  <si>
    <t>上長はメンバが個人目標を立てる前に、このシートを作成し、配布してください。</t>
    <rPh sb="0" eb="2">
      <t>ジョウチョウ</t>
    </rPh>
    <rPh sb="7" eb="9">
      <t>コジン</t>
    </rPh>
    <rPh sb="9" eb="11">
      <t>モクヒョウ</t>
    </rPh>
    <rPh sb="12" eb="13">
      <t>タ</t>
    </rPh>
    <rPh sb="15" eb="16">
      <t>マエ</t>
    </rPh>
    <rPh sb="24" eb="26">
      <t>サクセイ</t>
    </rPh>
    <rPh sb="28" eb="30">
      <t>ハイフ</t>
    </rPh>
    <phoneticPr fontId="26"/>
  </si>
  <si>
    <t>★目標管理シートの「上位目標欄」には、「Ｖ４０」「Ｅ２４」「各部の目標」「各課の目標」のいずれかの目標を記載してください。</t>
    <rPh sb="1" eb="3">
      <t>モクヒョウ</t>
    </rPh>
    <rPh sb="3" eb="5">
      <t>カンリ</t>
    </rPh>
    <rPh sb="10" eb="12">
      <t>ジョウイ</t>
    </rPh>
    <rPh sb="12" eb="14">
      <t>モクヒョウ</t>
    </rPh>
    <rPh sb="14" eb="15">
      <t>ラン</t>
    </rPh>
    <rPh sb="49" eb="51">
      <t>モクヒョウ</t>
    </rPh>
    <rPh sb="52" eb="54">
      <t>キサイ</t>
    </rPh>
    <phoneticPr fontId="26"/>
  </si>
  <si>
    <t>目標管理・キャリアプランシート</t>
    <rPh sb="0" eb="2">
      <t>モクヒョウ</t>
    </rPh>
    <rPh sb="2" eb="4">
      <t>カンリ</t>
    </rPh>
    <phoneticPr fontId="24"/>
  </si>
  <si>
    <t>資　格：</t>
    <rPh sb="0" eb="1">
      <t>シ</t>
    </rPh>
    <rPh sb="2" eb="3">
      <t>カク</t>
    </rPh>
    <phoneticPr fontId="24"/>
  </si>
  <si>
    <t>Ｒ１</t>
    <phoneticPr fontId="26"/>
  </si>
  <si>
    <t>対象期間：</t>
    <rPh sb="0" eb="2">
      <t>タイショウ</t>
    </rPh>
    <rPh sb="2" eb="4">
      <t>キカン</t>
    </rPh>
    <phoneticPr fontId="24"/>
  </si>
  <si>
    <t>2024/4/1　～　2024/9/30</t>
    <phoneticPr fontId="24"/>
  </si>
  <si>
    <t>所　属：</t>
    <phoneticPr fontId="24"/>
  </si>
  <si>
    <t>氏　名：</t>
    <phoneticPr fontId="24"/>
  </si>
  <si>
    <t>中間進捗確認日：</t>
    <rPh sb="0" eb="2">
      <t>チュウカン</t>
    </rPh>
    <rPh sb="2" eb="4">
      <t>シンチョク</t>
    </rPh>
    <rPh sb="4" eb="6">
      <t>カクニン</t>
    </rPh>
    <rPh sb="6" eb="7">
      <t>：</t>
    </rPh>
    <phoneticPr fontId="24"/>
  </si>
  <si>
    <t>確認者氏名：</t>
    <rPh sb="0" eb="2">
      <t>カクニン</t>
    </rPh>
    <rPh sb="2" eb="3">
      <t>シャ</t>
    </rPh>
    <rPh sb="3" eb="5">
      <t>シメイ</t>
    </rPh>
    <phoneticPr fontId="24"/>
  </si>
  <si>
    <t>◆目標管理</t>
    <rPh sb="1" eb="3">
      <t>モクヒョウ</t>
    </rPh>
    <rPh sb="3" eb="5">
      <t>カンリ</t>
    </rPh>
    <phoneticPr fontId="44"/>
  </si>
  <si>
    <t>計画時に本人が記入</t>
    <rPh sb="0" eb="2">
      <t>ケイカク</t>
    </rPh>
    <rPh sb="2" eb="3">
      <t>ジ</t>
    </rPh>
    <rPh sb="4" eb="6">
      <t>ホンニン</t>
    </rPh>
    <rPh sb="7" eb="9">
      <t>キニュウ</t>
    </rPh>
    <phoneticPr fontId="24"/>
  </si>
  <si>
    <t>中間進捗確認時に本人が記入</t>
    <rPh sb="0" eb="2">
      <t>チュウカン</t>
    </rPh>
    <rPh sb="2" eb="4">
      <t>シンチョク</t>
    </rPh>
    <rPh sb="4" eb="6">
      <t>カクニン</t>
    </rPh>
    <rPh sb="6" eb="7">
      <t>ジ</t>
    </rPh>
    <rPh sb="8" eb="10">
      <t>ホンニン</t>
    </rPh>
    <rPh sb="11" eb="13">
      <t>キニュウ</t>
    </rPh>
    <phoneticPr fontId="26"/>
  </si>
  <si>
    <t>評価時に本人が記入</t>
    <rPh sb="0" eb="2">
      <t>ヒョウカ</t>
    </rPh>
    <rPh sb="2" eb="3">
      <t>ジ</t>
    </rPh>
    <rPh sb="4" eb="6">
      <t>ホンニン</t>
    </rPh>
    <rPh sb="7" eb="9">
      <t>キニュウ</t>
    </rPh>
    <phoneticPr fontId="24"/>
  </si>
  <si>
    <t>一次
考課者
評定</t>
    <rPh sb="0" eb="2">
      <t>イチジ</t>
    </rPh>
    <rPh sb="3" eb="5">
      <t>コウカ</t>
    </rPh>
    <rPh sb="5" eb="6">
      <t>シャ</t>
    </rPh>
    <rPh sb="7" eb="8">
      <t>ヒョウ</t>
    </rPh>
    <rPh sb="8" eb="9">
      <t>サダム</t>
    </rPh>
    <phoneticPr fontId="24"/>
  </si>
  <si>
    <t>No</t>
    <phoneticPr fontId="24"/>
  </si>
  <si>
    <t>課題</t>
    <rPh sb="0" eb="2">
      <t>カダイ</t>
    </rPh>
    <phoneticPr fontId="24"/>
  </si>
  <si>
    <t>方法・プロセス</t>
    <phoneticPr fontId="24"/>
  </si>
  <si>
    <t>目標とする「達成水準」</t>
    <rPh sb="0" eb="2">
      <t>モクヒョウ</t>
    </rPh>
    <rPh sb="6" eb="8">
      <t>タッセイ</t>
    </rPh>
    <rPh sb="8" eb="9">
      <t>ミズ</t>
    </rPh>
    <rPh sb="9" eb="10">
      <t>ジュン</t>
    </rPh>
    <phoneticPr fontId="24"/>
  </si>
  <si>
    <t>ウェイト</t>
    <phoneticPr fontId="24"/>
  </si>
  <si>
    <t>四半期の進捗</t>
    <rPh sb="0" eb="3">
      <t>シハンキ</t>
    </rPh>
    <rPh sb="4" eb="6">
      <t>シンチョク</t>
    </rPh>
    <phoneticPr fontId="26"/>
  </si>
  <si>
    <t>実　績</t>
    <rPh sb="0" eb="1">
      <t>ジツ</t>
    </rPh>
    <rPh sb="2" eb="3">
      <t>ツムギ</t>
    </rPh>
    <phoneticPr fontId="24"/>
  </si>
  <si>
    <t>どのような成果をあげるか
どのように貢献するか</t>
    <phoneticPr fontId="24"/>
  </si>
  <si>
    <t>どんなやり方・計画で実行するか</t>
    <phoneticPr fontId="24"/>
  </si>
  <si>
    <t>どれだけやるか・どのレベルまでやるか</t>
    <phoneticPr fontId="24"/>
  </si>
  <si>
    <t>半期で達成するための改善点なども</t>
    <rPh sb="0" eb="2">
      <t>ハンキ</t>
    </rPh>
    <rPh sb="3" eb="5">
      <t>タッセイ</t>
    </rPh>
    <rPh sb="10" eb="13">
      <t>カイゼンテン</t>
    </rPh>
    <phoneticPr fontId="26"/>
  </si>
  <si>
    <t>※特に定性目標に対する実績は、考課者が達成水準を判断できる詳細さで記入する</t>
    <rPh sb="1" eb="2">
      <t>トク</t>
    </rPh>
    <rPh sb="15" eb="17">
      <t>コウカ</t>
    </rPh>
    <rPh sb="17" eb="18">
      <t>シャ</t>
    </rPh>
    <phoneticPr fontId="24"/>
  </si>
  <si>
    <t>【上位目標】</t>
    <rPh sb="1" eb="3">
      <t>ジョウイ</t>
    </rPh>
    <rPh sb="3" eb="5">
      <t>モクヒョウ</t>
    </rPh>
    <phoneticPr fontId="26"/>
  </si>
  <si>
    <t>５：</t>
    <phoneticPr fontId="24"/>
  </si>
  <si>
    <t>達成水準</t>
    <rPh sb="0" eb="2">
      <t>タッセイ</t>
    </rPh>
    <rPh sb="2" eb="4">
      <t>スイジュン</t>
    </rPh>
    <phoneticPr fontId="24"/>
  </si>
  <si>
    <t>４：</t>
    <phoneticPr fontId="24"/>
  </si>
  <si>
    <t>３：</t>
  </si>
  <si>
    <t>２：</t>
  </si>
  <si>
    <t>【個人目標】</t>
    <rPh sb="1" eb="3">
      <t>コジン</t>
    </rPh>
    <rPh sb="3" eb="5">
      <t>モクヒョウ</t>
    </rPh>
    <phoneticPr fontId="26"/>
  </si>
  <si>
    <t>１：</t>
  </si>
  <si>
    <t>０：</t>
  </si>
  <si>
    <t>◆キャリアプラン</t>
    <phoneticPr fontId="44"/>
  </si>
  <si>
    <t>5年後のキャリア目標：</t>
    <rPh sb="1" eb="3">
      <t>ネンゴ</t>
    </rPh>
    <rPh sb="8" eb="10">
      <t>モクヒョウ</t>
    </rPh>
    <phoneticPr fontId="26"/>
  </si>
  <si>
    <t>中間進捗確認時に本人が記入</t>
    <phoneticPr fontId="26"/>
  </si>
  <si>
    <t>実行完了時に本人が記入</t>
    <rPh sb="0" eb="2">
      <t>ジッコウ</t>
    </rPh>
    <rPh sb="2" eb="4">
      <t>カンリョウ</t>
    </rPh>
    <rPh sb="4" eb="5">
      <t>ジ</t>
    </rPh>
    <rPh sb="6" eb="8">
      <t>ホンニン</t>
    </rPh>
    <rPh sb="9" eb="11">
      <t>キニュウ</t>
    </rPh>
    <phoneticPr fontId="24"/>
  </si>
  <si>
    <t>自己啓発目標</t>
    <rPh sb="0" eb="2">
      <t>ジコ</t>
    </rPh>
    <rPh sb="2" eb="4">
      <t>ケイハツ</t>
    </rPh>
    <rPh sb="4" eb="6">
      <t>モクヒョウ</t>
    </rPh>
    <phoneticPr fontId="24"/>
  </si>
  <si>
    <t>行動した実績</t>
    <rPh sb="0" eb="2">
      <t>コウドウ</t>
    </rPh>
    <rPh sb="4" eb="5">
      <t>ジツ</t>
    </rPh>
    <rPh sb="5" eb="6">
      <t>ツムギ</t>
    </rPh>
    <phoneticPr fontId="24"/>
  </si>
  <si>
    <t>どんなやり方・計画で実行するか／どれだけやるか・どのレベルまでやるか</t>
    <phoneticPr fontId="24"/>
  </si>
  <si>
    <t>半期で達成するための改善点なども</t>
    <phoneticPr fontId="26"/>
  </si>
  <si>
    <t>※上長が行動実績や育成による変化を判断できる詳細さで記入する</t>
    <rPh sb="1" eb="3">
      <t>ジョウチョウ</t>
    </rPh>
    <rPh sb="4" eb="6">
      <t>コウドウ</t>
    </rPh>
    <rPh sb="6" eb="8">
      <t>ジッセキ</t>
    </rPh>
    <rPh sb="9" eb="11">
      <t>イクセイ</t>
    </rPh>
    <rPh sb="14" eb="16">
      <t>ヘンカ</t>
    </rPh>
    <phoneticPr fontId="24"/>
  </si>
  <si>
    <t>仕事の幅を広げるために、スキルの幅を広げる取組み</t>
    <phoneticPr fontId="44"/>
  </si>
  <si>
    <t>上位の役割・責任を引き受けるための取組み</t>
    <phoneticPr fontId="44"/>
  </si>
  <si>
    <t>Ｓ１（ジュニアスペシャリスト）</t>
  </si>
  <si>
    <t>達成水準</t>
  </si>
  <si>
    <t>【上位目標】　</t>
    <rPh sb="1" eb="3">
      <t>ジョウイ</t>
    </rPh>
    <rPh sb="3" eb="5">
      <t>モクヒョウ</t>
    </rPh>
    <phoneticPr fontId="26"/>
  </si>
  <si>
    <t>Ｒ４</t>
  </si>
  <si>
    <t>2023/10/1　～　2024/3/31</t>
    <phoneticPr fontId="24"/>
  </si>
  <si>
    <t>●●部●●課</t>
    <rPh sb="2" eb="3">
      <t>ブ</t>
    </rPh>
    <rPh sb="5" eb="6">
      <t>カ</t>
    </rPh>
    <phoneticPr fontId="26"/>
  </si>
  <si>
    <t>田中　新之助</t>
    <rPh sb="0" eb="2">
      <t>タナカ</t>
    </rPh>
    <rPh sb="3" eb="6">
      <t>シンノスケ</t>
    </rPh>
    <phoneticPr fontId="26"/>
  </si>
  <si>
    <t>山田　太郎</t>
    <rPh sb="0" eb="2">
      <t>ヤマダ</t>
    </rPh>
    <rPh sb="3" eb="5">
      <t>タロウ</t>
    </rPh>
    <phoneticPr fontId="26"/>
  </si>
  <si>
    <t>◆目標管理の参考情報</t>
    <rPh sb="1" eb="3">
      <t>モクヒョウ</t>
    </rPh>
    <rPh sb="3" eb="5">
      <t>カンリ</t>
    </rPh>
    <rPh sb="6" eb="8">
      <t>サンコウ</t>
    </rPh>
    <rPh sb="8" eb="10">
      <t>ジョウホウ</t>
    </rPh>
    <phoneticPr fontId="24"/>
  </si>
  <si>
    <t>達成水準のレベル感</t>
    <rPh sb="0" eb="2">
      <t>タッセイ</t>
    </rPh>
    <rPh sb="2" eb="4">
      <t>スイジュン</t>
    </rPh>
    <rPh sb="8" eb="9">
      <t>カン</t>
    </rPh>
    <phoneticPr fontId="24"/>
  </si>
  <si>
    <t>目標の目安</t>
    <phoneticPr fontId="24"/>
  </si>
  <si>
    <t>①WBS作成ができるようにする
②メンバの進捗確認ができるようにする
③見積もり作業の補助ができるようにする
④リーダーとして顧客と調整できるようにする
⑤チームの品質維持計画が立てられる</t>
    <rPh sb="4" eb="6">
      <t>サクセイ</t>
    </rPh>
    <rPh sb="21" eb="23">
      <t>シンチョク</t>
    </rPh>
    <rPh sb="23" eb="25">
      <t>カクニン</t>
    </rPh>
    <rPh sb="36" eb="38">
      <t>ミツ</t>
    </rPh>
    <rPh sb="40" eb="42">
      <t>サギョウ</t>
    </rPh>
    <rPh sb="43" eb="45">
      <t>ホジョ</t>
    </rPh>
    <rPh sb="63" eb="65">
      <t>コキャク</t>
    </rPh>
    <rPh sb="66" eb="68">
      <t>チョウセイ</t>
    </rPh>
    <rPh sb="86" eb="88">
      <t>ケイカク</t>
    </rPh>
    <rPh sb="89" eb="90">
      <t>タ</t>
    </rPh>
    <phoneticPr fontId="26"/>
  </si>
  <si>
    <t>リーダーとして顧客のクレームに対応できる</t>
    <rPh sb="7" eb="9">
      <t>コキャク</t>
    </rPh>
    <rPh sb="15" eb="17">
      <t>タイオウ</t>
    </rPh>
    <phoneticPr fontId="26"/>
  </si>
  <si>
    <t xml:space="preserve">12/15時点で品質計画策定までは指導できた
見積もり作業はマニュアル化を先に行ってからと考えているので、その期間にクレーム対応研修を受講してもらう予定
</t>
    <rPh sb="5" eb="7">
      <t>ジテン</t>
    </rPh>
    <rPh sb="24" eb="26">
      <t>ミツ</t>
    </rPh>
    <rPh sb="28" eb="30">
      <t>サギョウ</t>
    </rPh>
    <rPh sb="36" eb="37">
      <t>カ</t>
    </rPh>
    <rPh sb="38" eb="39">
      <t>サキ</t>
    </rPh>
    <rPh sb="40" eb="41">
      <t>オコナ</t>
    </rPh>
    <rPh sb="46" eb="47">
      <t>カンガ</t>
    </rPh>
    <rPh sb="56" eb="58">
      <t>キカン</t>
    </rPh>
    <rPh sb="63" eb="65">
      <t>タイオウ</t>
    </rPh>
    <rPh sb="65" eb="67">
      <t>ケンシュウ</t>
    </rPh>
    <rPh sb="68" eb="70">
      <t>ジュコウ</t>
    </rPh>
    <rPh sb="75" eb="77">
      <t>ヨテイ</t>
    </rPh>
    <phoneticPr fontId="26"/>
  </si>
  <si>
    <t>見積もり作業は２件のＰＪで補助する実績ができた
顧客調整とクレーム対応は研修受講で終わってしまったため、実績なし</t>
    <rPh sb="0" eb="2">
      <t>ミツ</t>
    </rPh>
    <rPh sb="4" eb="6">
      <t>サギョウ</t>
    </rPh>
    <rPh sb="8" eb="9">
      <t>ケン</t>
    </rPh>
    <rPh sb="13" eb="15">
      <t>ホジョ</t>
    </rPh>
    <rPh sb="17" eb="19">
      <t>ジッセキ</t>
    </rPh>
    <rPh sb="25" eb="27">
      <t>コキャク</t>
    </rPh>
    <rPh sb="27" eb="29">
      <t>チョウセイ</t>
    </rPh>
    <rPh sb="34" eb="36">
      <t>タイオウ</t>
    </rPh>
    <rPh sb="37" eb="39">
      <t>ケンシュウ</t>
    </rPh>
    <rPh sb="39" eb="41">
      <t>ジュコウ</t>
    </rPh>
    <rPh sb="42" eb="43">
      <t>オ</t>
    </rPh>
    <rPh sb="53" eb="55">
      <t>ジッセキ</t>
    </rPh>
    <phoneticPr fontId="26"/>
  </si>
  <si>
    <t>水準</t>
    <rPh sb="0" eb="2">
      <t>スイジュン</t>
    </rPh>
    <phoneticPr fontId="24"/>
  </si>
  <si>
    <t>実行結果</t>
    <rPh sb="0" eb="2">
      <t>ジッコウ</t>
    </rPh>
    <rPh sb="2" eb="4">
      <t>ケッカ</t>
    </rPh>
    <phoneticPr fontId="24"/>
  </si>
  <si>
    <t>業績</t>
    <rPh sb="0" eb="2">
      <t>ギョウセキ</t>
    </rPh>
    <phoneticPr fontId="24"/>
  </si>
  <si>
    <t>残業</t>
    <rPh sb="0" eb="2">
      <t>ザンギョウ</t>
    </rPh>
    <phoneticPr fontId="24"/>
  </si>
  <si>
    <t>改善/育成</t>
    <rPh sb="0" eb="2">
      <t>カイゼン</t>
    </rPh>
    <rPh sb="3" eb="5">
      <t>イクセイ</t>
    </rPh>
    <phoneticPr fontId="24"/>
  </si>
  <si>
    <t>受託案件獲得のためリーダー人材の育成</t>
    <rPh sb="0" eb="2">
      <t>ジュタク</t>
    </rPh>
    <rPh sb="2" eb="4">
      <t>アンケン</t>
    </rPh>
    <rPh sb="4" eb="6">
      <t>カクトク</t>
    </rPh>
    <rPh sb="13" eb="15">
      <t>ジンザイ</t>
    </rPh>
    <rPh sb="16" eb="18">
      <t>イクセイ</t>
    </rPh>
    <phoneticPr fontId="26"/>
  </si>
  <si>
    <t>リーダーとして顧客と調整できる</t>
    <rPh sb="7" eb="9">
      <t>コキャク</t>
    </rPh>
    <rPh sb="10" eb="12">
      <t>チョウセイ</t>
    </rPh>
    <phoneticPr fontId="26"/>
  </si>
  <si>
    <t>努力目標を達成し、十分な成果を出した</t>
    <rPh sb="0" eb="2">
      <t>ドリョク</t>
    </rPh>
    <rPh sb="2" eb="4">
      <t>モクヒョウ</t>
    </rPh>
    <rPh sb="5" eb="7">
      <t>タッセイ</t>
    </rPh>
    <rPh sb="9" eb="11">
      <t>ジュウブン</t>
    </rPh>
    <rPh sb="12" eb="14">
      <t>セイカ</t>
    </rPh>
    <rPh sb="15" eb="16">
      <t>ダ</t>
    </rPh>
    <phoneticPr fontId="24"/>
  </si>
  <si>
    <t>105%以上</t>
    <rPh sb="4" eb="6">
      <t>イジョウ</t>
    </rPh>
    <phoneticPr fontId="24"/>
  </si>
  <si>
    <t>100%以上</t>
    <rPh sb="4" eb="6">
      <t>イジョウ</t>
    </rPh>
    <phoneticPr fontId="24"/>
  </si>
  <si>
    <t>⇒ここが資格相当の</t>
    <rPh sb="4" eb="6">
      <t>シカク</t>
    </rPh>
    <rPh sb="6" eb="8">
      <t>ソウトウ</t>
    </rPh>
    <phoneticPr fontId="24"/>
  </si>
  <si>
    <t>見積もり作業の補助ができる</t>
    <rPh sb="0" eb="2">
      <t>ミツ</t>
    </rPh>
    <rPh sb="4" eb="6">
      <t>サギョウ</t>
    </rPh>
    <rPh sb="7" eb="9">
      <t>ホジョ</t>
    </rPh>
    <phoneticPr fontId="26"/>
  </si>
  <si>
    <t>達成目標に到達し、成果を出した</t>
    <rPh sb="0" eb="2">
      <t>タッセイ</t>
    </rPh>
    <rPh sb="2" eb="4">
      <t>モクヒョウ</t>
    </rPh>
    <rPh sb="5" eb="7">
      <t>トウタツ</t>
    </rPh>
    <rPh sb="9" eb="11">
      <t>セイカ</t>
    </rPh>
    <rPh sb="12" eb="13">
      <t>ダ</t>
    </rPh>
    <phoneticPr fontId="24"/>
  </si>
  <si>
    <t>90%以上</t>
    <rPh sb="3" eb="5">
      <t>イジョウ</t>
    </rPh>
    <phoneticPr fontId="24"/>
  </si>
  <si>
    <t>　　目標の到達点</t>
    <phoneticPr fontId="24"/>
  </si>
  <si>
    <t>チームの品質維持計画が立てられる</t>
    <rPh sb="4" eb="6">
      <t>ヒンシツ</t>
    </rPh>
    <rPh sb="6" eb="8">
      <t>イジ</t>
    </rPh>
    <rPh sb="8" eb="10">
      <t>ケイカク</t>
    </rPh>
    <rPh sb="11" eb="12">
      <t>タ</t>
    </rPh>
    <phoneticPr fontId="26"/>
  </si>
  <si>
    <t>ほぼ実行したが、達成目標に一歩届かなかった</t>
    <rPh sb="2" eb="4">
      <t>ジッコウ</t>
    </rPh>
    <rPh sb="13" eb="15">
      <t>イッポ</t>
    </rPh>
    <rPh sb="15" eb="16">
      <t>トド</t>
    </rPh>
    <phoneticPr fontId="24"/>
  </si>
  <si>
    <t>95%以上</t>
    <rPh sb="3" eb="5">
      <t>イジョウ</t>
    </rPh>
    <phoneticPr fontId="24"/>
  </si>
  <si>
    <t>80%以上</t>
    <rPh sb="3" eb="5">
      <t>イジョウ</t>
    </rPh>
    <phoneticPr fontId="24"/>
  </si>
  <si>
    <t>WBS作成ができる</t>
    <rPh sb="3" eb="5">
      <t>サクセイ</t>
    </rPh>
    <phoneticPr fontId="26"/>
  </si>
  <si>
    <t>ほぼ実行したが、貢献は不十分だった</t>
    <rPh sb="2" eb="4">
      <t>ジッコウ</t>
    </rPh>
    <phoneticPr fontId="24"/>
  </si>
  <si>
    <t>70%以上</t>
    <rPh sb="3" eb="5">
      <t>イジョウ</t>
    </rPh>
    <phoneticPr fontId="24"/>
  </si>
  <si>
    <t>社員Ａさんの育成</t>
    <phoneticPr fontId="26"/>
  </si>
  <si>
    <t>メンバの進捗確認ができる</t>
    <rPh sb="4" eb="6">
      <t>シンチョク</t>
    </rPh>
    <rPh sb="6" eb="8">
      <t>カクニン</t>
    </rPh>
    <phoneticPr fontId="26"/>
  </si>
  <si>
    <t>半分は実行したが、貢献は不十分だった</t>
    <rPh sb="0" eb="2">
      <t>ハンブン</t>
    </rPh>
    <rPh sb="3" eb="5">
      <t>ジッコウ</t>
    </rPh>
    <rPh sb="9" eb="11">
      <t>コウケン</t>
    </rPh>
    <rPh sb="12" eb="15">
      <t>フジュウブン</t>
    </rPh>
    <phoneticPr fontId="24"/>
  </si>
  <si>
    <t>85%以上</t>
    <rPh sb="3" eb="5">
      <t>イジョウ</t>
    </rPh>
    <phoneticPr fontId="24"/>
  </si>
  <si>
    <t>60%以上</t>
    <rPh sb="3" eb="5">
      <t>イジョウ</t>
    </rPh>
    <phoneticPr fontId="24"/>
  </si>
  <si>
    <t>70%未満</t>
    <rPh sb="3" eb="5">
      <t>ミマン</t>
    </rPh>
    <phoneticPr fontId="24"/>
  </si>
  <si>
    <t>実行の程度は半分以下で、貢献は不十分だった</t>
    <phoneticPr fontId="24"/>
  </si>
  <si>
    <t>85%未満</t>
    <rPh sb="3" eb="5">
      <t>ミマン</t>
    </rPh>
    <phoneticPr fontId="24"/>
  </si>
  <si>
    <t>60%未満</t>
    <rPh sb="3" eb="5">
      <t>ミマン</t>
    </rPh>
    <phoneticPr fontId="24"/>
  </si>
  <si>
    <t>未着手</t>
    <rPh sb="0" eb="3">
      <t>ミチャクシュ</t>
    </rPh>
    <phoneticPr fontId="24"/>
  </si>
  <si>
    <t>ウェイトの掛け方</t>
    <rPh sb="5" eb="6">
      <t>カ</t>
    </rPh>
    <rPh sb="7" eb="8">
      <t>カタ</t>
    </rPh>
    <phoneticPr fontId="24"/>
  </si>
  <si>
    <t>ウェイトの合計</t>
    <rPh sb="5" eb="7">
      <t>ゴウケイ</t>
    </rPh>
    <phoneticPr fontId="24"/>
  </si>
  <si>
    <t>Ｒ１～４</t>
    <phoneticPr fontId="24"/>
  </si>
  <si>
    <t>ウェイトはかけない</t>
    <phoneticPr fontId="24"/>
  </si>
  <si>
    <t>評価点を計算するため、ウェイトは１と入力する(合計は3になる)</t>
    <rPh sb="18" eb="20">
      <t>ニュウリョク</t>
    </rPh>
    <rPh sb="23" eb="25">
      <t>ゴウケイ</t>
    </rPh>
    <phoneticPr fontId="24"/>
  </si>
  <si>
    <t>Ｍ１～２</t>
    <phoneticPr fontId="24"/>
  </si>
  <si>
    <t>３つの目標のウェイト合計が８になるよう設定する</t>
    <phoneticPr fontId="24"/>
  </si>
  <si>
    <t>最低２、最高４のウェイトがかけられる</t>
    <phoneticPr fontId="24"/>
  </si>
  <si>
    <t>３つの目標のウェイト合計が１２になるよう設定する</t>
    <phoneticPr fontId="24"/>
  </si>
  <si>
    <t>最低３、最高６のウェイトがかけられる</t>
    <phoneticPr fontId="24"/>
  </si>
  <si>
    <t>※評価点は、「達成水準」と「ウェイト」を乗算して算出します。</t>
    <rPh sb="1" eb="3">
      <t>ヒョウカ</t>
    </rPh>
    <rPh sb="3" eb="4">
      <t>テン</t>
    </rPh>
    <rPh sb="7" eb="9">
      <t>タッセイ</t>
    </rPh>
    <rPh sb="9" eb="11">
      <t>スイジュン</t>
    </rPh>
    <rPh sb="20" eb="22">
      <t>ジョウザン</t>
    </rPh>
    <rPh sb="24" eb="26">
      <t>サンシュツ</t>
    </rPh>
    <phoneticPr fontId="24"/>
  </si>
  <si>
    <t>データベースに強みのあるスペシャリストを目指す</t>
    <rPh sb="7" eb="8">
      <t>ツヨ</t>
    </rPh>
    <rPh sb="20" eb="22">
      <t>メザ</t>
    </rPh>
    <phoneticPr fontId="26"/>
  </si>
  <si>
    <t>◆キャリアプランの参考情報</t>
    <rPh sb="9" eb="11">
      <t>サンコウ</t>
    </rPh>
    <rPh sb="11" eb="13">
      <t>ジョウホウ</t>
    </rPh>
    <phoneticPr fontId="24"/>
  </si>
  <si>
    <t>キャリアプランの目的　⇒　「５年後の飯のタネ」のための種まき活動をする</t>
    <phoneticPr fontId="24"/>
  </si>
  <si>
    <t>未来は予想できないので、変化に対応できる柔軟な自分をキープすることが必要</t>
    <phoneticPr fontId="24"/>
  </si>
  <si>
    <t>いつも学び、挑戦する／好奇心を持つ／多様性を受け入れる／目と心をオープンにする</t>
    <phoneticPr fontId="24"/>
  </si>
  <si>
    <t>自己啓発の手段</t>
    <phoneticPr fontId="24"/>
  </si>
  <si>
    <t>研修を受講する／本を読む　⇒　レポートにまとめる／行動計画を立てる／人前で発表する</t>
    <rPh sb="25" eb="27">
      <t>コウドウ</t>
    </rPh>
    <rPh sb="27" eb="29">
      <t>ケイカク</t>
    </rPh>
    <rPh sb="30" eb="31">
      <t>タ</t>
    </rPh>
    <rPh sb="34" eb="36">
      <t>ヒトマエ</t>
    </rPh>
    <rPh sb="37" eb="39">
      <t>ハッピョウ</t>
    </rPh>
    <phoneticPr fontId="24"/>
  </si>
  <si>
    <t>社内外の勉強会やｻｰｸﾙに参加する／知人を増やす／上司の仕事を奪う／人を手伝う・ﾌｫﾛｰする</t>
    <phoneticPr fontId="24"/>
  </si>
  <si>
    <t>目標設定のための参考キーワード</t>
    <phoneticPr fontId="24"/>
  </si>
  <si>
    <t>①仕事の幅を広げるために、スキルの幅を広げる取組み</t>
    <rPh sb="1" eb="3">
      <t>シゴト</t>
    </rPh>
    <rPh sb="4" eb="5">
      <t>ハバ</t>
    </rPh>
    <rPh sb="6" eb="7">
      <t>ヒロ</t>
    </rPh>
    <rPh sb="17" eb="18">
      <t>ハバ</t>
    </rPh>
    <rPh sb="19" eb="20">
      <t>ヒロ</t>
    </rPh>
    <rPh sb="22" eb="24">
      <t>トリク</t>
    </rPh>
    <phoneticPr fontId="24"/>
  </si>
  <si>
    <t>複数技術・複数スキルの獲得／知見を広げる／専門性を磨く／資格取得</t>
    <phoneticPr fontId="24"/>
  </si>
  <si>
    <t>②上位の役割・責任を引き受けるための取組み</t>
    <phoneticPr fontId="24"/>
  </si>
  <si>
    <t>伝える力／プレゼン力／交渉力／育成スキル／対人力／共感力／課題設定力／解決スキル</t>
    <phoneticPr fontId="24"/>
  </si>
  <si>
    <t>Ｓ２（スペシャリスト）</t>
  </si>
  <si>
    <t>◆目標管理の参考情報</t>
    <rPh sb="1" eb="3">
      <t>モクヒョウ</t>
    </rPh>
    <rPh sb="3" eb="5">
      <t>カンリ</t>
    </rPh>
    <rPh sb="6" eb="8">
      <t>サンコウ</t>
    </rPh>
    <rPh sb="8" eb="10">
      <t>ジョウホウ</t>
    </rPh>
    <phoneticPr fontId="44"/>
  </si>
  <si>
    <t>半期売上計画：\\,\\\万円
　○顧客への体制提案
　　　・チーム体制
　　　・要員調達</t>
    <phoneticPr fontId="26"/>
  </si>
  <si>
    <t>半期計画売上\\\％達成（\\,\\\万）</t>
    <rPh sb="0" eb="2">
      <t>ハンキ</t>
    </rPh>
    <rPh sb="2" eb="4">
      <t>ケイカク</t>
    </rPh>
    <rPh sb="4" eb="6">
      <t>ウリアゲ</t>
    </rPh>
    <rPh sb="10" eb="12">
      <t>タッセイ</t>
    </rPh>
    <rPh sb="19" eb="20">
      <t>マン</t>
    </rPh>
    <phoneticPr fontId="24"/>
  </si>
  <si>
    <t>半期計画売上\\\％達成（\\,\\\万）</t>
  </si>
  <si>
    <t>半期計画売上\\％（\\,\\\万）</t>
  </si>
  <si>
    <t>半期計画売上\\％達成（\\,\\\万）</t>
  </si>
  <si>
    <t>〇固定項目全員共通（具体数値）
売上計画達成</t>
    <phoneticPr fontId="26"/>
  </si>
  <si>
    <t>半期計画売上\\％未達（\\,\\\万未満）</t>
    <rPh sb="9" eb="11">
      <t>ミタツ</t>
    </rPh>
    <rPh sb="19" eb="21">
      <t>ミマン</t>
    </rPh>
    <phoneticPr fontId="24"/>
  </si>
  <si>
    <t>半期粗利益計画：\\，\\\万円
　○コスト管理
　　　・作業の効率化
　　　・品質確保</t>
    <phoneticPr fontId="26"/>
  </si>
  <si>
    <t>半期計画粗利益\\\％達成（\\,\\\万円）</t>
    <rPh sb="0" eb="2">
      <t>ハンキ</t>
    </rPh>
    <rPh sb="2" eb="4">
      <t>ケイカク</t>
    </rPh>
    <rPh sb="11" eb="13">
      <t>タッセイ</t>
    </rPh>
    <rPh sb="20" eb="22">
      <t>マンエン</t>
    </rPh>
    <phoneticPr fontId="24"/>
  </si>
  <si>
    <t>半期計画粗利益\\％達成（\\,\\\万円）</t>
    <rPh sb="0" eb="2">
      <t>ハンキ</t>
    </rPh>
    <rPh sb="2" eb="4">
      <t>ケイカク</t>
    </rPh>
    <rPh sb="10" eb="12">
      <t>タッセイ</t>
    </rPh>
    <rPh sb="19" eb="21">
      <t>マンエン</t>
    </rPh>
    <phoneticPr fontId="24"/>
  </si>
  <si>
    <t>Ｓ１～２</t>
    <phoneticPr fontId="24"/>
  </si>
  <si>
    <t>３～4つの目標のウェイト合計が12になるよう設定する</t>
    <phoneticPr fontId="24"/>
  </si>
  <si>
    <t>最低2、最高4のウェイトがかけられる</t>
    <phoneticPr fontId="24"/>
  </si>
  <si>
    <t>S3～S4</t>
    <phoneticPr fontId="24"/>
  </si>
  <si>
    <t>３～４つの目標のウェイト合計が16になるよう設定する</t>
    <phoneticPr fontId="24"/>
  </si>
  <si>
    <t>最低2、最高6のウェイトがかけられる</t>
    <phoneticPr fontId="24"/>
  </si>
  <si>
    <t>〇固定項目全員共通（具体数値）
利益計画達成</t>
    <phoneticPr fontId="26"/>
  </si>
  <si>
    <t>半期計画粗利益\\％未満達成（\\,\\\万円未満）</t>
    <rPh sb="0" eb="2">
      <t>ハンキ</t>
    </rPh>
    <rPh sb="2" eb="4">
      <t>ケイカク</t>
    </rPh>
    <rPh sb="10" eb="12">
      <t>ミマン</t>
    </rPh>
    <rPh sb="12" eb="14">
      <t>タッセイ</t>
    </rPh>
    <rPh sb="21" eb="23">
      <t>マンエン</t>
    </rPh>
    <rPh sb="23" eb="25">
      <t>ミマン</t>
    </rPh>
    <phoneticPr fontId="24"/>
  </si>
  <si>
    <t>他案件への参画
　　　・複数案件の参画</t>
    <phoneticPr fontId="26"/>
  </si>
  <si>
    <t>３案件以上の参画（管理含む）</t>
    <rPh sb="1" eb="3">
      <t>アンケン</t>
    </rPh>
    <rPh sb="3" eb="5">
      <t>イジョウ</t>
    </rPh>
    <rPh sb="6" eb="8">
      <t>サンカク</t>
    </rPh>
    <rPh sb="9" eb="11">
      <t>カンリ</t>
    </rPh>
    <rPh sb="11" eb="12">
      <t>フク</t>
    </rPh>
    <phoneticPr fontId="24"/>
  </si>
  <si>
    <t>他案件の参画</t>
    <rPh sb="0" eb="1">
      <t>タ</t>
    </rPh>
    <phoneticPr fontId="24"/>
  </si>
  <si>
    <t>他案件の参画（管理のみ）</t>
    <rPh sb="0" eb="1">
      <t>タ</t>
    </rPh>
    <phoneticPr fontId="24"/>
  </si>
  <si>
    <t>◆キャリアプランの参考情報</t>
    <rPh sb="9" eb="11">
      <t>サンコウ</t>
    </rPh>
    <rPh sb="11" eb="13">
      <t>ジョウホウ</t>
    </rPh>
    <phoneticPr fontId="44"/>
  </si>
  <si>
    <t>他案件への支援（貢献できた）</t>
    <rPh sb="0" eb="1">
      <t>タ</t>
    </rPh>
    <rPh sb="1" eb="3">
      <t>アンケン</t>
    </rPh>
    <rPh sb="5" eb="7">
      <t>シエン</t>
    </rPh>
    <rPh sb="8" eb="10">
      <t>コウケン</t>
    </rPh>
    <phoneticPr fontId="24"/>
  </si>
  <si>
    <t>他案件への支援（貢献が十分でなかった</t>
    <rPh sb="0" eb="1">
      <t>タ</t>
    </rPh>
    <rPh sb="1" eb="3">
      <t>アンケン</t>
    </rPh>
    <rPh sb="5" eb="7">
      <t>シエン</t>
    </rPh>
    <rPh sb="8" eb="10">
      <t>コウケン</t>
    </rPh>
    <rPh sb="11" eb="13">
      <t>ジュウブン</t>
    </rPh>
    <phoneticPr fontId="24"/>
  </si>
  <si>
    <t>キャリアプランの目的　⇒　「５年後の飯のタネ」のための種まき活動をする</t>
    <phoneticPr fontId="44"/>
  </si>
  <si>
    <t>〇任意項目※
他案件への支援活動</t>
    <phoneticPr fontId="26"/>
  </si>
  <si>
    <t>行動なし</t>
    <rPh sb="0" eb="2">
      <t>コウドウ</t>
    </rPh>
    <phoneticPr fontId="24"/>
  </si>
  <si>
    <t>未来は予想できないので、変化に対応できる柔軟な自分をキープすることが必要</t>
    <phoneticPr fontId="44"/>
  </si>
  <si>
    <t>いつも学び、挑戦する／好奇心を持つ／多様性を受け入れる／目と心をオープンにする</t>
    <phoneticPr fontId="44"/>
  </si>
  <si>
    <t>・ＩＴ業界の動向、生保業界の動向の調査
・ニーズの把握
・必要技術の分析
・必要な人材の確保
・新規プロジェクトの立ち上げ</t>
    <phoneticPr fontId="26"/>
  </si>
  <si>
    <t>新規プロジェクトの立ち上げを実現</t>
    <rPh sb="0" eb="2">
      <t>シンキ</t>
    </rPh>
    <rPh sb="9" eb="10">
      <t>タ</t>
    </rPh>
    <rPh sb="11" eb="12">
      <t>ア</t>
    </rPh>
    <rPh sb="14" eb="16">
      <t>ジツゲン</t>
    </rPh>
    <phoneticPr fontId="24"/>
  </si>
  <si>
    <t>必要な人材の確保まで実現</t>
    <rPh sb="0" eb="2">
      <t>ヒツヨウ</t>
    </rPh>
    <rPh sb="3" eb="5">
      <t>ジンザイ</t>
    </rPh>
    <rPh sb="6" eb="8">
      <t>カクホ</t>
    </rPh>
    <rPh sb="10" eb="12">
      <t>ジツゲン</t>
    </rPh>
    <phoneticPr fontId="24"/>
  </si>
  <si>
    <t>自己啓発の手段</t>
  </si>
  <si>
    <t>必要な人材を確保する具体的な準備まで実施</t>
    <rPh sb="0" eb="2">
      <t>ヒツヨウ</t>
    </rPh>
    <rPh sb="3" eb="5">
      <t>ジンザイ</t>
    </rPh>
    <rPh sb="6" eb="8">
      <t>カクホ</t>
    </rPh>
    <rPh sb="10" eb="13">
      <t>グタイテキ</t>
    </rPh>
    <rPh sb="14" eb="16">
      <t>ジュンビ</t>
    </rPh>
    <rPh sb="18" eb="20">
      <t>ジッシ</t>
    </rPh>
    <phoneticPr fontId="24"/>
  </si>
  <si>
    <t>研修を受講する／本を読む　⇒　レポートにまとめる／行動計画を立てる／人前で発表する</t>
    <rPh sb="25" eb="27">
      <t>コウドウ</t>
    </rPh>
    <rPh sb="27" eb="29">
      <t>ケイカク</t>
    </rPh>
    <rPh sb="30" eb="31">
      <t>タ</t>
    </rPh>
    <rPh sb="34" eb="36">
      <t>ヒトマエ</t>
    </rPh>
    <rPh sb="37" eb="39">
      <t>ハッピョウ</t>
    </rPh>
    <phoneticPr fontId="44"/>
  </si>
  <si>
    <t>調査・分析まで実施</t>
    <rPh sb="0" eb="2">
      <t>チョウサ</t>
    </rPh>
    <rPh sb="3" eb="5">
      <t>ブンセキ</t>
    </rPh>
    <rPh sb="7" eb="9">
      <t>ジッシ</t>
    </rPh>
    <phoneticPr fontId="24"/>
  </si>
  <si>
    <t>調査のみ実施</t>
    <rPh sb="0" eb="2">
      <t>チョウサ</t>
    </rPh>
    <rPh sb="4" eb="6">
      <t>ジッシ</t>
    </rPh>
    <phoneticPr fontId="24"/>
  </si>
  <si>
    <t>〇任意項目※
新規プロジェクトの立ち上げ提案</t>
    <phoneticPr fontId="26"/>
  </si>
  <si>
    <t>目標設定のための参考キーワード</t>
    <phoneticPr fontId="44"/>
  </si>
  <si>
    <t>①仕事の幅を広げるために、スキルの幅を広げる取組み</t>
    <rPh sb="1" eb="3">
      <t>シゴト</t>
    </rPh>
    <rPh sb="4" eb="5">
      <t>ハバ</t>
    </rPh>
    <rPh sb="6" eb="7">
      <t>ヒロ</t>
    </rPh>
    <rPh sb="17" eb="18">
      <t>ハバ</t>
    </rPh>
    <rPh sb="19" eb="20">
      <t>ヒロ</t>
    </rPh>
    <rPh sb="22" eb="24">
      <t>トリク</t>
    </rPh>
    <phoneticPr fontId="44"/>
  </si>
  <si>
    <t>複数技術・複数スキルの獲得／知見を広げる／専門性を磨く／資格取得</t>
    <phoneticPr fontId="44"/>
  </si>
  <si>
    <t>②上位の役割・責任を引き受けるための取組み</t>
    <phoneticPr fontId="4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</si>
</sst>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0_ "/>
    <numFmt numFmtId="177" formatCode="yyyy&quot;年&quot;m&quot;月&quot;d&quot;日&quot;;@"/>
    <numFmt numFmtId="178" formatCode="yyyy/m/d;@"/>
  </numFmts>
  <fonts count="60">
    <font>
      <sz val="9"/>
      <name val="ＭＳ 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9"/>
      <name val="ＭＳ ゴシック"/>
      <family val="3"/>
      <charset val="128"/>
    </font>
    <font>
      <u/>
      <sz val="9"/>
      <color indexed="12"/>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name val="ＭＳ Ｐゴシック"/>
      <family val="3"/>
      <charset val="128"/>
    </font>
    <font>
      <sz val="11"/>
      <color indexed="17"/>
      <name val="ＭＳ Ｐゴシック"/>
      <family val="3"/>
      <charset val="128"/>
    </font>
    <font>
      <sz val="6"/>
      <name val="ＭＳ Ｐゴシック"/>
      <family val="3"/>
      <charset val="128"/>
    </font>
    <font>
      <sz val="10"/>
      <name val="ＭＳ Ｐゴシック"/>
      <family val="3"/>
      <charset val="128"/>
    </font>
    <font>
      <sz val="6"/>
      <name val="ＭＳ ゴシック"/>
      <family val="3"/>
      <charset val="128"/>
    </font>
    <font>
      <sz val="10"/>
      <color indexed="10"/>
      <name val="ＭＳ Ｐゴシック"/>
      <family val="3"/>
      <charset val="128"/>
    </font>
    <font>
      <b/>
      <sz val="24"/>
      <name val="ＭＳ Ｐゴシック"/>
      <family val="3"/>
      <charset val="128"/>
    </font>
    <font>
      <b/>
      <sz val="20"/>
      <name val="ＭＳ Ｐゴシック"/>
      <family val="3"/>
      <charset val="128"/>
    </font>
    <font>
      <sz val="14"/>
      <name val="ＭＳ Ｐゴシック"/>
      <family val="3"/>
      <charset val="128"/>
    </font>
    <font>
      <sz val="9"/>
      <name val="ＭＳ Ｐゴシック"/>
      <family val="3"/>
      <charset val="128"/>
    </font>
    <font>
      <b/>
      <sz val="10"/>
      <name val="ＭＳ Ｐゴシック"/>
      <family val="3"/>
      <charset val="128"/>
    </font>
    <font>
      <b/>
      <sz val="14"/>
      <name val="ＭＳ Ｐゴシック"/>
      <family val="3"/>
      <charset val="128"/>
    </font>
    <font>
      <sz val="18"/>
      <name val="ＭＳ Ｐゴシック"/>
      <family val="3"/>
      <charset val="128"/>
    </font>
    <font>
      <b/>
      <sz val="26"/>
      <name val="ＭＳ Ｐゴシック"/>
      <family val="3"/>
      <charset val="128"/>
    </font>
    <font>
      <sz val="12"/>
      <name val="ＭＳ Ｐゴシック"/>
      <family val="3"/>
      <charset val="128"/>
    </font>
    <font>
      <b/>
      <sz val="10"/>
      <color indexed="10"/>
      <name val="ＭＳ Ｐゴシック"/>
      <family val="3"/>
      <charset val="128"/>
    </font>
    <font>
      <b/>
      <sz val="12"/>
      <name val="ＭＳ Ｐゴシック"/>
      <family val="3"/>
      <charset val="128"/>
    </font>
    <font>
      <sz val="9"/>
      <color indexed="81"/>
      <name val="ＭＳ Ｐゴシック"/>
      <family val="3"/>
      <charset val="128"/>
    </font>
    <font>
      <b/>
      <sz val="9"/>
      <color indexed="81"/>
      <name val="ＭＳ Ｐゴシック"/>
      <family val="3"/>
      <charset val="128"/>
    </font>
    <font>
      <b/>
      <sz val="12"/>
      <color indexed="81"/>
      <name val="ＭＳ Ｐゴシック"/>
      <family val="3"/>
      <charset val="128"/>
    </font>
    <font>
      <sz val="12"/>
      <color indexed="81"/>
      <name val="ＭＳ Ｐゴシック"/>
      <family val="3"/>
      <charset val="128"/>
    </font>
    <font>
      <b/>
      <sz val="18"/>
      <name val="ＭＳ Ｐゴシック"/>
      <family val="3"/>
      <charset val="128"/>
    </font>
    <font>
      <sz val="6"/>
      <name val="ＭＳ Ｐゴシック"/>
      <family val="2"/>
      <charset val="128"/>
      <scheme val="minor"/>
    </font>
    <font>
      <sz val="16"/>
      <name val="ＭＳ Ｐゴシック"/>
      <family val="3"/>
      <charset val="128"/>
    </font>
    <font>
      <sz val="12"/>
      <color theme="1"/>
      <name val="ＭＳ Ｐゴシック"/>
      <family val="2"/>
      <charset val="128"/>
      <scheme val="minor"/>
    </font>
    <font>
      <sz val="10"/>
      <color rgb="FFFF0000"/>
      <name val="ＭＳ Ｐゴシック"/>
      <family val="3"/>
      <charset val="128"/>
    </font>
    <font>
      <b/>
      <sz val="10"/>
      <color rgb="FFFF0000"/>
      <name val="ＭＳ Ｐゴシック"/>
      <family val="3"/>
      <charset val="128"/>
    </font>
    <font>
      <sz val="12"/>
      <color theme="1"/>
      <name val="ＭＳ Ｐゴシック"/>
      <family val="3"/>
      <charset val="128"/>
      <scheme val="minor"/>
    </font>
    <font>
      <b/>
      <sz val="16"/>
      <name val="ＭＳ Ｐゴシック"/>
      <family val="3"/>
      <charset val="128"/>
    </font>
    <font>
      <b/>
      <sz val="12"/>
      <color indexed="81"/>
      <name val="MS P ゴシック"/>
      <family val="3"/>
      <charset val="128"/>
    </font>
    <font>
      <b/>
      <sz val="26"/>
      <color theme="0"/>
      <name val="ＭＳ Ｐゴシック"/>
      <family val="3"/>
      <charset val="128"/>
    </font>
    <font>
      <sz val="20"/>
      <name val="ＭＳ Ｐゴシック"/>
      <family val="3"/>
      <charset val="128"/>
    </font>
    <font>
      <b/>
      <sz val="16"/>
      <color indexed="81"/>
      <name val="MS P ゴシック"/>
      <family val="3"/>
      <charset val="128"/>
    </font>
    <font>
      <sz val="16"/>
      <color indexed="81"/>
      <name val="MS P ゴシック"/>
      <family val="3"/>
      <charset val="128"/>
    </font>
    <font>
      <b/>
      <sz val="14"/>
      <color indexed="81"/>
      <name val="MS P ゴシック"/>
      <family val="3"/>
      <charset val="128"/>
    </font>
    <font>
      <sz val="14"/>
      <color indexed="81"/>
      <name val="MS P ゴシック"/>
      <family val="3"/>
      <charset val="128"/>
    </font>
    <font>
      <b/>
      <sz val="18"/>
      <color indexed="81"/>
      <name val="ＭＳ Ｐゴシック"/>
      <family val="3"/>
      <charset val="128"/>
    </font>
    <font>
      <b/>
      <sz val="18"/>
      <color indexed="10"/>
      <name val="ＭＳ Ｐゴシック"/>
      <family val="3"/>
      <charset val="128"/>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7"/>
        <bgColor indexed="64"/>
      </patternFill>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FF99"/>
        <bgColor indexed="64"/>
      </patternFill>
    </fill>
    <fill>
      <patternFill patternType="solid">
        <fgColor rgb="FF002060"/>
        <bgColor indexed="64"/>
      </patternFill>
    </fill>
    <fill>
      <patternFill patternType="solid">
        <fgColor theme="8" tint="0.59999389629810485"/>
        <bgColor indexed="64"/>
      </patternFill>
    </fill>
    <fill>
      <patternFill patternType="solid">
        <fgColor rgb="FFFFFF00"/>
        <bgColor indexed="64"/>
      </patternFill>
    </fill>
  </fills>
  <borders count="11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auto="1"/>
      </left>
      <right/>
      <top style="hair">
        <color auto="1"/>
      </top>
      <bottom/>
      <diagonal/>
    </border>
    <border>
      <left/>
      <right style="hair">
        <color indexed="64"/>
      </right>
      <top/>
      <bottom/>
      <diagonal/>
    </border>
    <border>
      <left style="hair">
        <color indexed="64"/>
      </left>
      <right/>
      <top/>
      <bottom/>
      <diagonal/>
    </border>
    <border>
      <left style="hair">
        <color auto="1"/>
      </left>
      <right/>
      <top/>
      <bottom style="hair">
        <color auto="1"/>
      </bottom>
      <diagonal/>
    </border>
    <border>
      <left/>
      <right style="hair">
        <color auto="1"/>
      </right>
      <top/>
      <bottom style="hair">
        <color auto="1"/>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hair">
        <color auto="1"/>
      </right>
      <top style="hair">
        <color auto="1"/>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56">
    <xf numFmtId="0" fontId="0" fillId="0" borderId="0"/>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5" borderId="0" applyNumberFormat="0" applyBorder="0" applyAlignment="0" applyProtection="0">
      <alignment vertical="center"/>
    </xf>
    <xf numFmtId="0" fontId="4" fillId="8" borderId="0" applyNumberFormat="0" applyBorder="0" applyAlignment="0" applyProtection="0">
      <alignment vertical="center"/>
    </xf>
    <xf numFmtId="0" fontId="4" fillId="11" borderId="0" applyNumberFormat="0" applyBorder="0" applyAlignment="0" applyProtection="0">
      <alignment vertical="center"/>
    </xf>
    <xf numFmtId="0" fontId="5" fillId="12" borderId="0" applyNumberFormat="0" applyBorder="0" applyAlignment="0" applyProtection="0">
      <alignment vertical="center"/>
    </xf>
    <xf numFmtId="0" fontId="5" fillId="9"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3" borderId="0" applyNumberFormat="0" applyBorder="0" applyAlignment="0" applyProtection="0">
      <alignment vertical="center"/>
    </xf>
    <xf numFmtId="0" fontId="5" fillId="14" borderId="0" applyNumberFormat="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0" fontId="7" fillId="20" borderId="1" applyNumberFormat="0" applyAlignment="0" applyProtection="0">
      <alignment vertical="center"/>
    </xf>
    <xf numFmtId="0" fontId="8" fillId="21" borderId="0" applyNumberFormat="0" applyBorder="0" applyAlignment="0" applyProtection="0">
      <alignment vertical="center"/>
    </xf>
    <xf numFmtId="0" fontId="9" fillId="22" borderId="2" applyNumberFormat="0" applyFont="0" applyAlignment="0" applyProtection="0">
      <alignment vertical="center"/>
    </xf>
    <xf numFmtId="0" fontId="11" fillId="0" borderId="3" applyNumberFormat="0" applyFill="0" applyAlignment="0" applyProtection="0">
      <alignment vertical="center"/>
    </xf>
    <xf numFmtId="0" fontId="12" fillId="3" borderId="0" applyNumberFormat="0" applyBorder="0" applyAlignment="0" applyProtection="0">
      <alignment vertical="center"/>
    </xf>
    <xf numFmtId="0" fontId="13" fillId="23" borderId="4" applyNumberFormat="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23" borderId="9" applyNumberFormat="0" applyAlignment="0" applyProtection="0">
      <alignment vertical="center"/>
    </xf>
    <xf numFmtId="0" fontId="20" fillId="0" borderId="0" applyNumberFormat="0" applyFill="0" applyBorder="0" applyAlignment="0" applyProtection="0">
      <alignment vertical="center"/>
    </xf>
    <xf numFmtId="6" fontId="22" fillId="0" borderId="0" applyFont="0" applyFill="0" applyBorder="0" applyAlignment="0" applyProtection="0">
      <alignment vertical="center"/>
    </xf>
    <xf numFmtId="0" fontId="21" fillId="7" borderId="4" applyNumberFormat="0" applyAlignment="0" applyProtection="0">
      <alignment vertical="center"/>
    </xf>
    <xf numFmtId="0" fontId="22" fillId="0" borderId="0">
      <alignment vertical="center"/>
    </xf>
    <xf numFmtId="0" fontId="22" fillId="0" borderId="0"/>
    <xf numFmtId="0" fontId="22" fillId="0" borderId="0"/>
    <xf numFmtId="0" fontId="22" fillId="0" borderId="0"/>
    <xf numFmtId="0" fontId="22" fillId="0" borderId="0"/>
    <xf numFmtId="0" fontId="9" fillId="0" borderId="0"/>
    <xf numFmtId="0" fontId="22" fillId="0" borderId="0">
      <alignment vertical="center"/>
    </xf>
    <xf numFmtId="0" fontId="23" fillId="4" borderId="0" applyNumberFormat="0" applyBorder="0" applyAlignment="0" applyProtection="0">
      <alignment vertical="center"/>
    </xf>
    <xf numFmtId="0" fontId="3" fillId="0" borderId="0">
      <alignment vertical="center"/>
    </xf>
    <xf numFmtId="0" fontId="9" fillId="0" borderId="0"/>
    <xf numFmtId="0" fontId="22" fillId="0" borderId="0">
      <alignment vertical="center"/>
    </xf>
    <xf numFmtId="0" fontId="10" fillId="0" borderId="0" applyNumberFormat="0" applyFill="0" applyBorder="0" applyAlignment="0" applyProtection="0"/>
    <xf numFmtId="0" fontId="2" fillId="0" borderId="0">
      <alignment vertical="center"/>
    </xf>
    <xf numFmtId="0" fontId="1" fillId="0" borderId="0">
      <alignment vertical="center"/>
    </xf>
  </cellStyleXfs>
  <cellXfs count="654">
    <xf numFmtId="0" fontId="0" fillId="0" borderId="0" xfId="0"/>
    <xf numFmtId="0" fontId="25" fillId="0" borderId="0" xfId="46" applyFont="1" applyAlignment="1" applyProtection="1">
      <alignment horizontal="left" vertical="center"/>
      <protection locked="0"/>
    </xf>
    <xf numFmtId="0" fontId="22" fillId="0" borderId="0" xfId="46" applyAlignment="1" applyProtection="1">
      <alignment vertical="center"/>
      <protection locked="0"/>
    </xf>
    <xf numFmtId="0" fontId="22" fillId="24" borderId="10" xfId="46" applyFill="1" applyBorder="1" applyAlignment="1" applyProtection="1">
      <alignment horizontal="center" vertical="center"/>
      <protection locked="0"/>
    </xf>
    <xf numFmtId="0" fontId="22" fillId="25" borderId="11" xfId="0" applyFont="1" applyFill="1" applyBorder="1" applyAlignment="1">
      <alignment horizontal="center" vertical="center"/>
    </xf>
    <xf numFmtId="0" fontId="22" fillId="0" borderId="0" xfId="46" applyProtection="1">
      <protection locked="0"/>
    </xf>
    <xf numFmtId="0" fontId="22" fillId="0" borderId="10" xfId="46" applyBorder="1" applyAlignment="1" applyProtection="1">
      <alignment horizontal="center" vertical="center"/>
      <protection locked="0"/>
    </xf>
    <xf numFmtId="0" fontId="22" fillId="0" borderId="11" xfId="46" applyBorder="1" applyAlignment="1" applyProtection="1">
      <alignment vertical="center"/>
      <protection locked="0"/>
    </xf>
    <xf numFmtId="0" fontId="25" fillId="0" borderId="10"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2" xfId="46" applyFont="1" applyBorder="1" applyAlignment="1" applyProtection="1">
      <alignment horizontal="left" vertical="center" wrapText="1"/>
      <protection locked="0"/>
    </xf>
    <xf numFmtId="0" fontId="25" fillId="0" borderId="12" xfId="0" applyFont="1" applyBorder="1" applyAlignment="1">
      <alignment vertical="center" wrapText="1"/>
    </xf>
    <xf numFmtId="0" fontId="25" fillId="0" borderId="0" xfId="46" applyFont="1" applyAlignment="1" applyProtection="1">
      <alignment horizontal="left" vertical="center" wrapText="1"/>
      <protection locked="0"/>
    </xf>
    <xf numFmtId="0" fontId="27" fillId="0" borderId="0" xfId="46" applyFont="1" applyAlignment="1" applyProtection="1">
      <alignment horizontal="center" vertical="center"/>
      <protection locked="0"/>
    </xf>
    <xf numFmtId="0" fontId="29" fillId="0" borderId="0" xfId="46" applyFont="1" applyAlignment="1" applyProtection="1">
      <alignment vertical="center"/>
      <protection locked="0"/>
    </xf>
    <xf numFmtId="0" fontId="30" fillId="0" borderId="0" xfId="46" applyFont="1" applyAlignment="1" applyProtection="1">
      <alignment horizontal="right" vertical="center"/>
      <protection locked="0"/>
    </xf>
    <xf numFmtId="0" fontId="30" fillId="0" borderId="0" xfId="46" applyFont="1" applyAlignment="1" applyProtection="1">
      <alignment horizontal="center" vertical="center"/>
      <protection locked="0"/>
    </xf>
    <xf numFmtId="0" fontId="31" fillId="0" borderId="0" xfId="46" applyFont="1" applyAlignment="1" applyProtection="1">
      <alignment vertical="center"/>
      <protection locked="0"/>
    </xf>
    <xf numFmtId="0" fontId="31" fillId="0" borderId="0" xfId="0" applyFont="1" applyAlignment="1">
      <alignment vertical="center"/>
    </xf>
    <xf numFmtId="0" fontId="28" fillId="0" borderId="0" xfId="46" applyFont="1" applyAlignment="1" applyProtection="1">
      <alignment vertical="center"/>
      <protection locked="0"/>
    </xf>
    <xf numFmtId="0" fontId="25" fillId="0" borderId="0" xfId="46" applyFont="1" applyAlignment="1" applyProtection="1">
      <alignment vertical="center"/>
      <protection locked="0"/>
    </xf>
    <xf numFmtId="0" fontId="29" fillId="0" borderId="13" xfId="46" applyFont="1" applyBorder="1" applyAlignment="1" applyProtection="1">
      <alignment vertical="center" wrapText="1"/>
      <protection locked="0"/>
    </xf>
    <xf numFmtId="0" fontId="22" fillId="25" borderId="11" xfId="46" applyFill="1" applyBorder="1" applyAlignment="1" applyProtection="1">
      <alignment horizontal="center" vertical="center" wrapText="1"/>
      <protection locked="0"/>
    </xf>
    <xf numFmtId="0" fontId="32" fillId="0" borderId="10" xfId="46" applyFont="1" applyBorder="1" applyAlignment="1" applyProtection="1">
      <alignment horizontal="center" vertical="center" wrapText="1"/>
      <protection locked="0"/>
    </xf>
    <xf numFmtId="14" fontId="30" fillId="0" borderId="11" xfId="46" quotePrefix="1" applyNumberFormat="1" applyFont="1" applyBorder="1" applyAlignment="1" applyProtection="1">
      <alignment horizontal="right" vertical="center"/>
      <protection locked="0"/>
    </xf>
    <xf numFmtId="14" fontId="30" fillId="0" borderId="14" xfId="46" applyNumberFormat="1" applyFont="1" applyBorder="1" applyAlignment="1" applyProtection="1">
      <alignment horizontal="center" vertical="center"/>
      <protection locked="0"/>
    </xf>
    <xf numFmtId="14" fontId="30" fillId="0" borderId="15" xfId="46" applyNumberFormat="1" applyFont="1" applyBorder="1" applyAlignment="1" applyProtection="1">
      <alignment vertical="center"/>
      <protection locked="0"/>
    </xf>
    <xf numFmtId="0" fontId="25" fillId="0" borderId="0" xfId="0" applyFont="1" applyAlignment="1">
      <alignment vertical="center" wrapText="1"/>
    </xf>
    <xf numFmtId="0" fontId="22" fillId="24" borderId="11" xfId="46" applyFill="1" applyBorder="1" applyAlignment="1" applyProtection="1">
      <alignment horizontal="center" vertical="center" wrapText="1"/>
      <protection locked="0"/>
    </xf>
    <xf numFmtId="0" fontId="25" fillId="0" borderId="0" xfId="46" applyFont="1" applyAlignment="1" applyProtection="1">
      <alignment horizontal="center" vertical="center"/>
      <protection locked="0"/>
    </xf>
    <xf numFmtId="0" fontId="33" fillId="0" borderId="0" xfId="46" applyFont="1" applyProtection="1">
      <protection locked="0"/>
    </xf>
    <xf numFmtId="177" fontId="30" fillId="0" borderId="0" xfId="46" applyNumberFormat="1" applyFont="1" applyAlignment="1" applyProtection="1">
      <alignment horizontal="center" vertical="center" wrapText="1"/>
      <protection locked="0"/>
    </xf>
    <xf numFmtId="0" fontId="30" fillId="0" borderId="0" xfId="0" applyFont="1" applyAlignment="1">
      <alignment vertical="center" wrapText="1"/>
    </xf>
    <xf numFmtId="0" fontId="30" fillId="0" borderId="0" xfId="46" applyFont="1" applyAlignment="1" applyProtection="1">
      <alignment horizontal="center" vertical="center" wrapText="1"/>
      <protection locked="0"/>
    </xf>
    <xf numFmtId="0" fontId="30" fillId="0" borderId="0" xfId="0" applyFont="1" applyAlignment="1">
      <alignment horizontal="center" vertical="center" wrapText="1"/>
    </xf>
    <xf numFmtId="0" fontId="31" fillId="0" borderId="0" xfId="0" applyFont="1" applyAlignment="1">
      <alignment vertical="center" wrapText="1"/>
    </xf>
    <xf numFmtId="0" fontId="25" fillId="24" borderId="16" xfId="45" applyFont="1" applyFill="1" applyBorder="1" applyAlignment="1" applyProtection="1">
      <alignment horizontal="center" vertical="center"/>
      <protection locked="0"/>
    </xf>
    <xf numFmtId="0" fontId="25" fillId="24" borderId="17" xfId="45" applyFont="1" applyFill="1" applyBorder="1" applyAlignment="1" applyProtection="1">
      <alignment horizontal="center" vertical="center"/>
      <protection locked="0"/>
    </xf>
    <xf numFmtId="0" fontId="25" fillId="24" borderId="18" xfId="46" applyFont="1" applyFill="1" applyBorder="1" applyAlignment="1" applyProtection="1">
      <alignment horizontal="center" vertical="top" wrapText="1"/>
      <protection locked="0"/>
    </xf>
    <xf numFmtId="0" fontId="25" fillId="24" borderId="19" xfId="46" applyFont="1" applyFill="1" applyBorder="1" applyAlignment="1" applyProtection="1">
      <alignment horizontal="center" vertical="top" wrapText="1"/>
      <protection locked="0"/>
    </xf>
    <xf numFmtId="0" fontId="22" fillId="0" borderId="0" xfId="45" applyAlignment="1" applyProtection="1">
      <alignment vertical="center"/>
      <protection locked="0"/>
    </xf>
    <xf numFmtId="0" fontId="25" fillId="0" borderId="20" xfId="45" applyFont="1" applyBorder="1" applyAlignment="1" applyProtection="1">
      <alignment horizontal="center" vertical="center" wrapText="1"/>
      <protection locked="0"/>
    </xf>
    <xf numFmtId="0" fontId="30" fillId="0" borderId="20" xfId="45" applyFont="1" applyBorder="1" applyAlignment="1" applyProtection="1">
      <alignment horizontal="center" vertical="center" wrapText="1"/>
      <protection locked="0"/>
    </xf>
    <xf numFmtId="0" fontId="30" fillId="0" borderId="21" xfId="45" applyFont="1" applyBorder="1" applyAlignment="1" applyProtection="1">
      <alignment horizontal="center" vertical="center" wrapText="1"/>
      <protection locked="0"/>
    </xf>
    <xf numFmtId="0" fontId="25" fillId="0" borderId="22" xfId="45" applyFont="1" applyBorder="1" applyAlignment="1" applyProtection="1">
      <alignment horizontal="center" vertical="center" wrapText="1"/>
      <protection locked="0"/>
    </xf>
    <xf numFmtId="0" fontId="30" fillId="0" borderId="22" xfId="45" applyFont="1" applyBorder="1" applyAlignment="1" applyProtection="1">
      <alignment horizontal="center" vertical="center" wrapText="1"/>
      <protection locked="0"/>
    </xf>
    <xf numFmtId="0" fontId="30" fillId="0" borderId="23" xfId="45" applyFont="1" applyBorder="1" applyAlignment="1" applyProtection="1">
      <alignment horizontal="center" vertical="center" wrapText="1"/>
      <protection locked="0"/>
    </xf>
    <xf numFmtId="0" fontId="25" fillId="0" borderId="24" xfId="45" applyFont="1" applyBorder="1" applyAlignment="1" applyProtection="1">
      <alignment horizontal="center" vertical="center" wrapText="1"/>
      <protection locked="0"/>
    </xf>
    <xf numFmtId="0" fontId="30" fillId="0" borderId="24" xfId="45" applyFont="1" applyBorder="1" applyAlignment="1" applyProtection="1">
      <alignment horizontal="center" vertical="center" wrapText="1"/>
      <protection locked="0"/>
    </xf>
    <xf numFmtId="0" fontId="30" fillId="0" borderId="25" xfId="45" applyFont="1" applyBorder="1" applyAlignment="1" applyProtection="1">
      <alignment horizontal="center" vertical="center" wrapText="1"/>
      <protection locked="0"/>
    </xf>
    <xf numFmtId="0" fontId="22" fillId="0" borderId="26" xfId="46" applyBorder="1" applyAlignment="1" applyProtection="1">
      <alignment horizontal="center" vertical="center" wrapText="1"/>
      <protection locked="0"/>
    </xf>
    <xf numFmtId="0" fontId="30" fillId="0" borderId="27" xfId="46" applyFont="1" applyBorder="1" applyAlignment="1" applyProtection="1">
      <alignment horizontal="center" vertical="center" wrapText="1"/>
      <protection locked="0"/>
    </xf>
    <xf numFmtId="0" fontId="30" fillId="0" borderId="28" xfId="46" applyFont="1" applyBorder="1" applyAlignment="1" applyProtection="1">
      <alignment horizontal="center" vertical="center" wrapText="1"/>
      <protection locked="0"/>
    </xf>
    <xf numFmtId="0" fontId="30" fillId="0" borderId="29" xfId="46" applyFont="1" applyBorder="1" applyAlignment="1" applyProtection="1">
      <alignment horizontal="center" vertical="center" wrapText="1"/>
      <protection locked="0"/>
    </xf>
    <xf numFmtId="0" fontId="22" fillId="0" borderId="30" xfId="46" applyBorder="1" applyAlignment="1" applyProtection="1">
      <alignment horizontal="center" vertical="center" wrapText="1"/>
      <protection locked="0"/>
    </xf>
    <xf numFmtId="176" fontId="33" fillId="26" borderId="31" xfId="45" applyNumberFormat="1" applyFont="1" applyFill="1" applyBorder="1" applyAlignment="1">
      <alignment horizontal="center" vertical="center"/>
    </xf>
    <xf numFmtId="176" fontId="33" fillId="26" borderId="32" xfId="45" applyNumberFormat="1" applyFont="1" applyFill="1" applyBorder="1" applyAlignment="1">
      <alignment horizontal="center" vertical="center"/>
    </xf>
    <xf numFmtId="176" fontId="33" fillId="26" borderId="33" xfId="45" applyNumberFormat="1" applyFont="1" applyFill="1" applyBorder="1" applyAlignment="1">
      <alignment horizontal="center" vertical="center"/>
    </xf>
    <xf numFmtId="0" fontId="22" fillId="0" borderId="0" xfId="45" applyProtection="1">
      <protection locked="0"/>
    </xf>
    <xf numFmtId="176" fontId="25" fillId="0" borderId="34" xfId="45" applyNumberFormat="1" applyFont="1" applyBorder="1" applyAlignment="1">
      <alignment vertical="center"/>
    </xf>
    <xf numFmtId="0" fontId="25" fillId="25" borderId="35" xfId="46" applyFont="1" applyFill="1" applyBorder="1" applyAlignment="1" applyProtection="1">
      <alignment horizontal="center" vertical="center"/>
      <protection locked="0"/>
    </xf>
    <xf numFmtId="0" fontId="25" fillId="25" borderId="36" xfId="46" applyFont="1" applyFill="1" applyBorder="1" applyAlignment="1" applyProtection="1">
      <alignment horizontal="center" vertical="center"/>
      <protection locked="0"/>
    </xf>
    <xf numFmtId="176" fontId="30" fillId="0" borderId="37" xfId="44" applyNumberFormat="1" applyFont="1" applyBorder="1" applyAlignment="1">
      <alignment horizontal="center" vertical="center"/>
    </xf>
    <xf numFmtId="0" fontId="25" fillId="25" borderId="30" xfId="46" applyFont="1" applyFill="1" applyBorder="1" applyAlignment="1" applyProtection="1">
      <alignment horizontal="center" vertical="center"/>
      <protection locked="0"/>
    </xf>
    <xf numFmtId="0" fontId="25" fillId="25" borderId="38" xfId="46" applyFont="1" applyFill="1" applyBorder="1" applyAlignment="1" applyProtection="1">
      <alignment horizontal="center" vertical="center"/>
      <protection locked="0"/>
    </xf>
    <xf numFmtId="176" fontId="30" fillId="0" borderId="39" xfId="44" applyNumberFormat="1" applyFont="1" applyBorder="1" applyAlignment="1">
      <alignment horizontal="center" vertical="center"/>
    </xf>
    <xf numFmtId="0" fontId="25" fillId="25" borderId="40" xfId="46" applyFont="1" applyFill="1" applyBorder="1" applyAlignment="1" applyProtection="1">
      <alignment horizontal="center" vertical="center"/>
      <protection locked="0"/>
    </xf>
    <xf numFmtId="0" fontId="25" fillId="25" borderId="41" xfId="46" applyFont="1" applyFill="1" applyBorder="1" applyAlignment="1" applyProtection="1">
      <alignment horizontal="center" vertical="center"/>
      <protection locked="0"/>
    </xf>
    <xf numFmtId="176" fontId="30" fillId="0" borderId="42" xfId="44" applyNumberFormat="1" applyFont="1" applyBorder="1" applyAlignment="1">
      <alignment horizontal="center" vertical="center"/>
    </xf>
    <xf numFmtId="0" fontId="22" fillId="0" borderId="0" xfId="46" applyAlignment="1" applyProtection="1">
      <alignment horizontal="center" vertical="center"/>
      <protection locked="0"/>
    </xf>
    <xf numFmtId="0" fontId="25" fillId="0" borderId="0" xfId="0" applyFont="1" applyAlignment="1">
      <alignment wrapText="1"/>
    </xf>
    <xf numFmtId="176" fontId="33" fillId="26" borderId="43" xfId="44" applyNumberFormat="1" applyFont="1" applyFill="1" applyBorder="1" applyAlignment="1">
      <alignment horizontal="center" vertical="center"/>
    </xf>
    <xf numFmtId="0" fontId="32" fillId="0" borderId="0" xfId="0" applyFont="1" applyAlignment="1">
      <alignment horizontal="right" vertical="center" wrapText="1"/>
    </xf>
    <xf numFmtId="176" fontId="30" fillId="0" borderId="34" xfId="44" applyNumberFormat="1" applyFont="1" applyBorder="1" applyAlignment="1">
      <alignment horizontal="center" vertical="center"/>
    </xf>
    <xf numFmtId="0" fontId="25" fillId="25" borderId="31" xfId="46" applyFont="1" applyFill="1" applyBorder="1" applyAlignment="1" applyProtection="1">
      <alignment horizontal="center" vertical="center" wrapText="1"/>
      <protection locked="0"/>
    </xf>
    <xf numFmtId="176" fontId="30" fillId="0" borderId="0" xfId="44" applyNumberFormat="1" applyFont="1" applyAlignment="1">
      <alignment horizontal="center" vertical="center"/>
    </xf>
    <xf numFmtId="0" fontId="32" fillId="0" borderId="0" xfId="46" applyFont="1" applyAlignment="1" applyProtection="1">
      <alignment vertical="center"/>
      <protection locked="0"/>
    </xf>
    <xf numFmtId="0" fontId="22" fillId="0" borderId="13" xfId="46" applyBorder="1" applyAlignment="1" applyProtection="1">
      <alignment horizontal="center" vertical="center"/>
      <protection locked="0"/>
    </xf>
    <xf numFmtId="0" fontId="25" fillId="0" borderId="13" xfId="0" applyFont="1" applyBorder="1" applyAlignment="1">
      <alignment wrapText="1"/>
    </xf>
    <xf numFmtId="0" fontId="25" fillId="0" borderId="0" xfId="45" applyFont="1" applyProtection="1">
      <protection locked="0"/>
    </xf>
    <xf numFmtId="0" fontId="22" fillId="0" borderId="0" xfId="45" applyAlignment="1" applyProtection="1">
      <alignment horizontal="center"/>
      <protection locked="0"/>
    </xf>
    <xf numFmtId="0" fontId="30" fillId="0" borderId="0" xfId="43" applyFont="1" applyAlignment="1">
      <alignment vertical="center"/>
    </xf>
    <xf numFmtId="0" fontId="22" fillId="0" borderId="0" xfId="43"/>
    <xf numFmtId="0" fontId="22" fillId="0" borderId="0" xfId="43" applyAlignment="1">
      <alignment vertical="center"/>
    </xf>
    <xf numFmtId="0" fontId="36" fillId="0" borderId="0" xfId="43" applyFont="1" applyAlignment="1">
      <alignment horizontal="center" vertical="center"/>
    </xf>
    <xf numFmtId="49" fontId="25" fillId="0" borderId="44" xfId="43" applyNumberFormat="1" applyFont="1" applyBorder="1" applyAlignment="1">
      <alignment horizontal="center" vertical="center" wrapText="1"/>
    </xf>
    <xf numFmtId="49" fontId="25" fillId="0" borderId="45" xfId="43" applyNumberFormat="1" applyFont="1" applyBorder="1" applyAlignment="1">
      <alignment horizontal="center" vertical="center" wrapText="1"/>
    </xf>
    <xf numFmtId="0" fontId="22" fillId="0" borderId="0" xfId="43" applyAlignment="1">
      <alignment horizontal="right"/>
    </xf>
    <xf numFmtId="0" fontId="31" fillId="0" borderId="0" xfId="43" applyFont="1"/>
    <xf numFmtId="0" fontId="22" fillId="0" borderId="12" xfId="46" applyBorder="1" applyAlignment="1" applyProtection="1">
      <alignment horizontal="center" vertical="center" wrapText="1"/>
      <protection locked="0"/>
    </xf>
    <xf numFmtId="0" fontId="22" fillId="27" borderId="17" xfId="0" applyFont="1" applyFill="1" applyBorder="1" applyAlignment="1" applyProtection="1">
      <alignment horizontal="center" vertical="center"/>
      <protection locked="0"/>
    </xf>
    <xf numFmtId="0" fontId="25" fillId="0" borderId="27" xfId="45" applyFont="1" applyBorder="1" applyAlignment="1" applyProtection="1">
      <alignment horizontal="center" vertical="center" wrapText="1"/>
      <protection locked="0"/>
    </xf>
    <xf numFmtId="176" fontId="33" fillId="26" borderId="46" xfId="44" applyNumberFormat="1" applyFont="1" applyFill="1" applyBorder="1" applyAlignment="1">
      <alignment horizontal="center" vertical="center"/>
    </xf>
    <xf numFmtId="0" fontId="22" fillId="0" borderId="0" xfId="45" applyAlignment="1" applyProtection="1">
      <alignment vertical="center" wrapText="1"/>
      <protection locked="0"/>
    </xf>
    <xf numFmtId="0" fontId="25" fillId="0" borderId="47" xfId="46" applyFont="1" applyBorder="1" applyAlignment="1" applyProtection="1">
      <alignment vertical="top" wrapText="1"/>
      <protection locked="0"/>
    </xf>
    <xf numFmtId="176" fontId="33" fillId="26" borderId="43" xfId="45" applyNumberFormat="1" applyFont="1" applyFill="1" applyBorder="1" applyAlignment="1">
      <alignment horizontal="center" vertical="center"/>
    </xf>
    <xf numFmtId="49" fontId="25" fillId="0" borderId="48" xfId="43" applyNumberFormat="1" applyFont="1" applyBorder="1" applyAlignment="1">
      <alignment horizontal="center" vertical="center" wrapText="1"/>
    </xf>
    <xf numFmtId="0" fontId="30" fillId="26" borderId="49" xfId="43" applyFont="1" applyFill="1" applyBorder="1" applyAlignment="1">
      <alignment horizontal="center" vertical="center"/>
    </xf>
    <xf numFmtId="0" fontId="30" fillId="0" borderId="43" xfId="46" applyFont="1" applyBorder="1" applyAlignment="1" applyProtection="1">
      <alignment horizontal="center" vertical="center"/>
      <protection locked="0"/>
    </xf>
    <xf numFmtId="0" fontId="22" fillId="0" borderId="0" xfId="46" applyAlignment="1" applyProtection="1">
      <alignment horizontal="right" vertical="center"/>
      <protection locked="0"/>
    </xf>
    <xf numFmtId="0" fontId="33" fillId="0" borderId="0" xfId="46" applyFont="1" applyAlignment="1" applyProtection="1">
      <alignment horizontal="center" vertical="center"/>
      <protection locked="0"/>
    </xf>
    <xf numFmtId="0" fontId="22" fillId="0" borderId="77" xfId="43" applyBorder="1"/>
    <xf numFmtId="0" fontId="22" fillId="0" borderId="101" xfId="43" applyBorder="1"/>
    <xf numFmtId="0" fontId="22" fillId="0" borderId="102" xfId="43" applyBorder="1"/>
    <xf numFmtId="0" fontId="22" fillId="0" borderId="103" xfId="43" applyBorder="1"/>
    <xf numFmtId="0" fontId="22" fillId="0" borderId="102" xfId="43" applyBorder="1" applyAlignment="1">
      <alignment vertical="center"/>
    </xf>
    <xf numFmtId="0" fontId="31" fillId="0" borderId="103" xfId="43" applyFont="1" applyBorder="1"/>
    <xf numFmtId="0" fontId="25" fillId="24" borderId="10" xfId="46" applyFont="1" applyFill="1" applyBorder="1" applyAlignment="1" applyProtection="1">
      <alignment horizontal="center" vertical="center"/>
      <protection locked="0"/>
    </xf>
    <xf numFmtId="0" fontId="25" fillId="0" borderId="27" xfId="46" applyFont="1" applyBorder="1" applyAlignment="1" applyProtection="1">
      <alignment horizontal="center" vertical="center"/>
      <protection locked="0"/>
    </xf>
    <xf numFmtId="0" fontId="25" fillId="0" borderId="0" xfId="43" applyFont="1"/>
    <xf numFmtId="0" fontId="25" fillId="0" borderId="22" xfId="51" applyFont="1" applyBorder="1" applyAlignment="1">
      <alignment horizontal="center" vertical="center" wrapText="1"/>
    </xf>
    <xf numFmtId="0" fontId="25" fillId="0" borderId="0" xfId="51" applyFont="1" applyAlignment="1">
      <alignment horizontal="left" vertical="center"/>
    </xf>
    <xf numFmtId="0" fontId="25" fillId="0" borderId="24" xfId="51" applyFont="1" applyBorder="1" applyAlignment="1">
      <alignment horizontal="center" vertical="center" wrapText="1"/>
    </xf>
    <xf numFmtId="0" fontId="36" fillId="0" borderId="0" xfId="43" applyFont="1"/>
    <xf numFmtId="0" fontId="25" fillId="0" borderId="0" xfId="43" applyFont="1" applyAlignment="1">
      <alignment vertical="center"/>
    </xf>
    <xf numFmtId="0" fontId="22" fillId="0" borderId="104" xfId="43" applyBorder="1"/>
    <xf numFmtId="0" fontId="22" fillId="0" borderId="105" xfId="43" applyBorder="1"/>
    <xf numFmtId="0" fontId="22" fillId="0" borderId="0" xfId="52">
      <alignment vertical="center"/>
    </xf>
    <xf numFmtId="0" fontId="45" fillId="0" borderId="0" xfId="43" applyFont="1"/>
    <xf numFmtId="0" fontId="45" fillId="0" borderId="101" xfId="43" applyFont="1" applyBorder="1" applyAlignment="1">
      <alignment horizontal="left"/>
    </xf>
    <xf numFmtId="0" fontId="45" fillId="0" borderId="98" xfId="43" applyFont="1" applyBorder="1" applyAlignment="1">
      <alignment horizontal="left"/>
    </xf>
    <xf numFmtId="0" fontId="22" fillId="0" borderId="98" xfId="43" applyBorder="1"/>
    <xf numFmtId="0" fontId="22" fillId="0" borderId="108" xfId="43" applyBorder="1"/>
    <xf numFmtId="0" fontId="36" fillId="0" borderId="0" xfId="43" applyFont="1" applyAlignment="1">
      <alignment vertical="center"/>
    </xf>
    <xf numFmtId="0" fontId="22" fillId="0" borderId="0" xfId="43" applyAlignment="1">
      <alignment vertical="top" wrapText="1"/>
    </xf>
    <xf numFmtId="0" fontId="22" fillId="0" borderId="103" xfId="43" applyBorder="1" applyAlignment="1">
      <alignment vertical="top" wrapText="1"/>
    </xf>
    <xf numFmtId="0" fontId="22" fillId="0" borderId="0" xfId="43" applyAlignment="1">
      <alignment vertical="top"/>
    </xf>
    <xf numFmtId="0" fontId="30" fillId="0" borderId="103" xfId="43" applyFont="1" applyBorder="1" applyAlignment="1">
      <alignment vertical="top"/>
    </xf>
    <xf numFmtId="0" fontId="36" fillId="0" borderId="0" xfId="43" applyFont="1" applyAlignment="1">
      <alignment vertical="top"/>
    </xf>
    <xf numFmtId="0" fontId="36" fillId="0" borderId="0" xfId="51" applyFont="1" applyAlignment="1">
      <alignment horizontal="left" vertical="center"/>
    </xf>
    <xf numFmtId="0" fontId="31" fillId="0" borderId="0" xfId="46" applyFont="1" applyAlignment="1" applyProtection="1">
      <alignment vertical="center" wrapText="1"/>
      <protection locked="0"/>
    </xf>
    <xf numFmtId="0" fontId="31" fillId="0" borderId="0" xfId="47" applyFont="1" applyAlignment="1">
      <alignment vertical="center" wrapText="1"/>
    </xf>
    <xf numFmtId="0" fontId="36" fillId="0" borderId="103" xfId="43" applyFont="1" applyBorder="1"/>
    <xf numFmtId="0" fontId="31" fillId="0" borderId="0" xfId="43" applyFont="1" applyAlignment="1">
      <alignment vertical="center"/>
    </xf>
    <xf numFmtId="0" fontId="31" fillId="0" borderId="0" xfId="43" applyFont="1" applyAlignment="1">
      <alignment vertical="center" wrapText="1"/>
    </xf>
    <xf numFmtId="0" fontId="36" fillId="0" borderId="103" xfId="52" applyFont="1" applyBorder="1">
      <alignment vertical="center"/>
    </xf>
    <xf numFmtId="0" fontId="31" fillId="0" borderId="77" xfId="43" applyFont="1" applyBorder="1" applyAlignment="1">
      <alignment vertical="center" wrapText="1"/>
    </xf>
    <xf numFmtId="0" fontId="36" fillId="0" borderId="0" xfId="52" applyFont="1">
      <alignment vertical="center"/>
    </xf>
    <xf numFmtId="0" fontId="46" fillId="0" borderId="0" xfId="55" applyFont="1">
      <alignment vertical="center"/>
    </xf>
    <xf numFmtId="0" fontId="22" fillId="25" borderId="11" xfId="51" applyFont="1" applyFill="1" applyBorder="1" applyAlignment="1">
      <alignment horizontal="center" vertical="center"/>
    </xf>
    <xf numFmtId="0" fontId="25" fillId="0" borderId="10" xfId="51" applyFont="1" applyBorder="1" applyAlignment="1">
      <alignment horizontal="center" vertical="center" wrapText="1"/>
    </xf>
    <xf numFmtId="0" fontId="25" fillId="0" borderId="12" xfId="51" applyFont="1" applyBorder="1" applyAlignment="1">
      <alignment horizontal="center" vertical="center" wrapText="1"/>
    </xf>
    <xf numFmtId="0" fontId="25" fillId="0" borderId="12" xfId="51" applyFont="1" applyBorder="1" applyAlignment="1">
      <alignment vertical="center" wrapText="1"/>
    </xf>
    <xf numFmtId="0" fontId="31" fillId="0" borderId="0" xfId="51" applyFont="1" applyAlignment="1">
      <alignment vertical="center"/>
    </xf>
    <xf numFmtId="0" fontId="25" fillId="0" borderId="0" xfId="51" applyFont="1" applyAlignment="1">
      <alignment vertical="center" wrapText="1"/>
    </xf>
    <xf numFmtId="0" fontId="30" fillId="0" borderId="0" xfId="51" applyFont="1" applyAlignment="1">
      <alignment vertical="center" wrapText="1"/>
    </xf>
    <xf numFmtId="0" fontId="30" fillId="0" borderId="0" xfId="51" applyFont="1" applyAlignment="1">
      <alignment horizontal="center" vertical="center" wrapText="1"/>
    </xf>
    <xf numFmtId="0" fontId="31" fillId="0" borderId="0" xfId="51" applyFont="1" applyAlignment="1">
      <alignment vertical="center" wrapText="1"/>
    </xf>
    <xf numFmtId="0" fontId="22" fillId="27" borderId="17" xfId="51" applyFont="1" applyFill="1" applyBorder="1" applyAlignment="1" applyProtection="1">
      <alignment horizontal="center" vertical="center"/>
      <protection locked="0"/>
    </xf>
    <xf numFmtId="0" fontId="25" fillId="0" borderId="115" xfId="45" applyFont="1" applyBorder="1" applyAlignment="1" applyProtection="1">
      <alignment horizontal="center" vertical="center" wrapText="1"/>
      <protection locked="0"/>
    </xf>
    <xf numFmtId="0" fontId="30" fillId="0" borderId="115" xfId="45" applyFont="1" applyBorder="1" applyAlignment="1" applyProtection="1">
      <alignment horizontal="center" vertical="center" wrapText="1"/>
      <protection locked="0"/>
    </xf>
    <xf numFmtId="0" fontId="30" fillId="0" borderId="84" xfId="45" applyFont="1" applyBorder="1" applyAlignment="1" applyProtection="1">
      <alignment horizontal="center" vertical="center" wrapText="1"/>
      <protection locked="0"/>
    </xf>
    <xf numFmtId="176" fontId="33" fillId="0" borderId="43" xfId="44" applyNumberFormat="1" applyFont="1" applyBorder="1" applyAlignment="1">
      <alignment horizontal="center" vertical="center"/>
    </xf>
    <xf numFmtId="0" fontId="25" fillId="0" borderId="0" xfId="51" applyFont="1" applyAlignment="1">
      <alignment wrapText="1"/>
    </xf>
    <xf numFmtId="0" fontId="32" fillId="0" borderId="0" xfId="51" applyFont="1" applyAlignment="1">
      <alignment horizontal="right" vertical="center" wrapText="1"/>
    </xf>
    <xf numFmtId="0" fontId="30" fillId="0" borderId="12" xfId="48" applyFont="1" applyBorder="1" applyAlignment="1">
      <alignment horizontal="left" vertical="center"/>
    </xf>
    <xf numFmtId="0" fontId="30" fillId="0" borderId="0" xfId="48" applyFont="1" applyAlignment="1">
      <alignment horizontal="left" vertical="center"/>
    </xf>
    <xf numFmtId="0" fontId="30" fillId="0" borderId="13" xfId="48" applyFont="1" applyBorder="1" applyAlignment="1">
      <alignment horizontal="left" vertical="center"/>
    </xf>
    <xf numFmtId="0" fontId="30" fillId="0" borderId="53" xfId="48" applyFont="1" applyBorder="1" applyAlignment="1">
      <alignment horizontal="left" vertical="center"/>
    </xf>
    <xf numFmtId="0" fontId="35" fillId="0" borderId="0" xfId="43" applyFont="1" applyAlignment="1">
      <alignment horizontal="left" vertical="top"/>
    </xf>
    <xf numFmtId="0" fontId="36" fillId="0" borderId="0" xfId="43" applyFont="1" applyAlignment="1">
      <alignment horizontal="left" vertical="center" wrapText="1"/>
    </xf>
    <xf numFmtId="0" fontId="49" fillId="0" borderId="0" xfId="50" applyFont="1">
      <alignment vertical="center"/>
    </xf>
    <xf numFmtId="0" fontId="36" fillId="0" borderId="51" xfId="43" applyFont="1" applyBorder="1" applyAlignment="1">
      <alignment horizontal="left" vertical="center" wrapText="1"/>
    </xf>
    <xf numFmtId="0" fontId="22" fillId="0" borderId="45" xfId="43" applyBorder="1"/>
    <xf numFmtId="0" fontId="30" fillId="0" borderId="0" xfId="43" applyFont="1" applyAlignment="1">
      <alignment horizontal="center" vertical="center"/>
    </xf>
    <xf numFmtId="0" fontId="43" fillId="0" borderId="0" xfId="43" applyFont="1" applyAlignment="1">
      <alignment horizontal="left" vertical="center"/>
    </xf>
    <xf numFmtId="0" fontId="31" fillId="0" borderId="0" xfId="43" applyFont="1" applyAlignment="1">
      <alignment horizontal="center"/>
    </xf>
    <xf numFmtId="0" fontId="30" fillId="0" borderId="91" xfId="43" applyFont="1" applyBorder="1" applyAlignment="1">
      <alignment vertical="center"/>
    </xf>
    <xf numFmtId="0" fontId="30" fillId="0" borderId="12" xfId="43" applyFont="1" applyBorder="1" applyAlignment="1">
      <alignment vertical="center"/>
    </xf>
    <xf numFmtId="0" fontId="30" fillId="0" borderId="88" xfId="43" applyFont="1" applyBorder="1" applyAlignment="1">
      <alignment vertical="center"/>
    </xf>
    <xf numFmtId="0" fontId="30" fillId="0" borderId="82" xfId="43" applyFont="1" applyBorder="1" applyAlignment="1">
      <alignment vertical="center"/>
    </xf>
    <xf numFmtId="0" fontId="30" fillId="0" borderId="89" xfId="43" applyFont="1" applyBorder="1" applyAlignment="1">
      <alignment vertical="center"/>
    </xf>
    <xf numFmtId="0" fontId="30" fillId="0" borderId="83" xfId="43" applyFont="1" applyBorder="1" applyAlignment="1">
      <alignment vertical="center"/>
    </xf>
    <xf numFmtId="0" fontId="30" fillId="0" borderId="13" xfId="43" applyFont="1" applyBorder="1" applyAlignment="1">
      <alignment vertical="center"/>
    </xf>
    <xf numFmtId="0" fontId="30" fillId="0" borderId="93" xfId="43" applyFont="1" applyBorder="1" applyAlignment="1">
      <alignment vertical="center"/>
    </xf>
    <xf numFmtId="0" fontId="30" fillId="0" borderId="92" xfId="43" applyFont="1" applyBorder="1" applyAlignment="1">
      <alignment vertical="center"/>
    </xf>
    <xf numFmtId="0" fontId="30" fillId="0" borderId="53" xfId="43" applyFont="1" applyBorder="1" applyAlignment="1">
      <alignment vertical="center"/>
    </xf>
    <xf numFmtId="0" fontId="30" fillId="0" borderId="94" xfId="43" applyFont="1" applyBorder="1" applyAlignment="1">
      <alignment vertical="center"/>
    </xf>
    <xf numFmtId="0" fontId="35" fillId="0" borderId="0" xfId="43" applyFont="1" applyAlignment="1">
      <alignment vertical="top"/>
    </xf>
    <xf numFmtId="0" fontId="35" fillId="33" borderId="11" xfId="43" applyFont="1" applyFill="1" applyBorder="1" applyAlignment="1">
      <alignment horizontal="center" vertical="center"/>
    </xf>
    <xf numFmtId="0" fontId="35" fillId="33" borderId="15" xfId="43" applyFont="1" applyFill="1" applyBorder="1" applyAlignment="1">
      <alignment horizontal="center" vertical="center"/>
    </xf>
    <xf numFmtId="0" fontId="45" fillId="0" borderId="44" xfId="43" applyFont="1" applyBorder="1" applyAlignment="1">
      <alignment horizontal="left" vertical="center"/>
    </xf>
    <xf numFmtId="0" fontId="45" fillId="0" borderId="51" xfId="43" applyFont="1" applyBorder="1" applyAlignment="1">
      <alignment vertical="center"/>
    </xf>
    <xf numFmtId="0" fontId="45" fillId="0" borderId="51" xfId="43" applyFont="1" applyBorder="1" applyAlignment="1">
      <alignment horizontal="left" vertical="center"/>
    </xf>
    <xf numFmtId="0" fontId="45" fillId="0" borderId="45" xfId="43" applyFont="1" applyBorder="1" applyAlignment="1">
      <alignment horizontal="left" vertical="center"/>
    </xf>
    <xf numFmtId="0" fontId="22" fillId="0" borderId="47" xfId="43" applyBorder="1" applyAlignment="1">
      <alignment horizontal="left" vertical="center"/>
    </xf>
    <xf numFmtId="0" fontId="22" fillId="0" borderId="52" xfId="43" applyBorder="1" applyAlignment="1">
      <alignment vertical="center"/>
    </xf>
    <xf numFmtId="0" fontId="22" fillId="0" borderId="52" xfId="43" applyBorder="1" applyAlignment="1">
      <alignment horizontal="left" vertical="center"/>
    </xf>
    <xf numFmtId="0" fontId="43" fillId="0" borderId="0" xfId="43" applyFont="1" applyAlignment="1">
      <alignment vertical="top"/>
    </xf>
    <xf numFmtId="0" fontId="53" fillId="0" borderId="0" xfId="43" applyFont="1" applyAlignment="1">
      <alignment vertical="center"/>
    </xf>
    <xf numFmtId="0" fontId="29" fillId="0" borderId="0" xfId="43" applyFont="1" applyAlignment="1">
      <alignment vertical="center"/>
    </xf>
    <xf numFmtId="0" fontId="32" fillId="0" borderId="34" xfId="0" applyFont="1" applyBorder="1" applyAlignment="1">
      <alignment horizontal="right" vertical="center" wrapText="1"/>
    </xf>
    <xf numFmtId="0" fontId="32" fillId="0" borderId="74" xfId="0" applyFont="1" applyBorder="1" applyAlignment="1">
      <alignment horizontal="right" vertical="center" wrapText="1"/>
    </xf>
    <xf numFmtId="0" fontId="32" fillId="0" borderId="13" xfId="46" applyFont="1" applyBorder="1" applyAlignment="1" applyProtection="1">
      <alignment horizontal="right" vertical="center"/>
      <protection locked="0"/>
    </xf>
    <xf numFmtId="0" fontId="25" fillId="25" borderId="11" xfId="46" applyFont="1" applyFill="1" applyBorder="1" applyAlignment="1" applyProtection="1">
      <alignment horizontal="center" vertical="center" wrapText="1"/>
      <protection locked="0"/>
    </xf>
    <xf numFmtId="0" fontId="25" fillId="25" borderId="14" xfId="0" applyFont="1" applyFill="1" applyBorder="1" applyAlignment="1">
      <alignment wrapText="1"/>
    </xf>
    <xf numFmtId="0" fontId="25" fillId="25" borderId="15" xfId="0" applyFont="1" applyFill="1" applyBorder="1" applyAlignment="1">
      <alignment wrapText="1"/>
    </xf>
    <xf numFmtId="0" fontId="25" fillId="0" borderId="75" xfId="46" applyFont="1" applyBorder="1" applyAlignment="1" applyProtection="1">
      <alignment horizontal="left" vertical="center" wrapText="1"/>
      <protection locked="0"/>
    </xf>
    <xf numFmtId="0" fontId="25" fillId="0" borderId="76" xfId="46" applyFont="1" applyBorder="1" applyAlignment="1" applyProtection="1">
      <alignment horizontal="left" vertical="center" wrapText="1"/>
      <protection locked="0"/>
    </xf>
    <xf numFmtId="0" fontId="25" fillId="0" borderId="56" xfId="45" applyFont="1" applyBorder="1" applyAlignment="1" applyProtection="1">
      <alignment horizontal="center" vertical="center" wrapText="1"/>
      <protection locked="0"/>
    </xf>
    <xf numFmtId="0" fontId="25" fillId="0" borderId="57" xfId="0" applyFont="1" applyBorder="1" applyAlignment="1">
      <alignment horizontal="center" vertical="center" wrapText="1"/>
    </xf>
    <xf numFmtId="0" fontId="25" fillId="0" borderId="58" xfId="0" applyFont="1" applyBorder="1" applyAlignment="1">
      <alignment horizontal="center" vertical="center" wrapText="1"/>
    </xf>
    <xf numFmtId="0" fontId="33" fillId="0" borderId="53" xfId="46" applyFont="1" applyBorder="1" applyAlignment="1" applyProtection="1">
      <alignment vertical="center" wrapText="1"/>
      <protection locked="0"/>
    </xf>
    <xf numFmtId="0" fontId="31" fillId="0" borderId="53" xfId="0" applyFont="1" applyBorder="1" applyAlignment="1">
      <alignment vertical="center" wrapText="1"/>
    </xf>
    <xf numFmtId="0" fontId="25" fillId="0" borderId="44" xfId="45" applyFont="1" applyBorder="1" applyAlignment="1" applyProtection="1">
      <alignment vertical="center" wrapText="1"/>
      <protection locked="0"/>
    </xf>
    <xf numFmtId="0" fontId="25" fillId="0" borderId="12" xfId="45" applyFont="1" applyBorder="1" applyAlignment="1" applyProtection="1">
      <alignment vertical="center" wrapText="1"/>
      <protection locked="0"/>
    </xf>
    <xf numFmtId="0" fontId="25" fillId="0" borderId="50" xfId="45" applyFont="1" applyBorder="1" applyAlignment="1" applyProtection="1">
      <alignment vertical="center" wrapText="1"/>
      <protection locked="0"/>
    </xf>
    <xf numFmtId="0" fontId="25" fillId="0" borderId="45" xfId="0" applyFont="1" applyBorder="1" applyAlignment="1">
      <alignment vertical="center" wrapText="1"/>
    </xf>
    <xf numFmtId="0" fontId="25" fillId="0" borderId="0" xfId="0" applyFont="1" applyAlignment="1">
      <alignment vertical="center" wrapText="1"/>
    </xf>
    <xf numFmtId="0" fontId="25" fillId="0" borderId="51" xfId="0" applyFont="1" applyBorder="1" applyAlignment="1">
      <alignment vertical="center" wrapText="1"/>
    </xf>
    <xf numFmtId="0" fontId="25" fillId="0" borderId="47" xfId="0" applyFont="1" applyBorder="1" applyAlignment="1">
      <alignment vertical="center" wrapText="1"/>
    </xf>
    <xf numFmtId="0" fontId="25" fillId="0" borderId="13" xfId="0" applyFont="1" applyBorder="1" applyAlignment="1">
      <alignment vertical="center" wrapText="1"/>
    </xf>
    <xf numFmtId="0" fontId="25" fillId="0" borderId="52" xfId="0" applyFont="1" applyBorder="1" applyAlignment="1">
      <alignment vertical="center" wrapText="1"/>
    </xf>
    <xf numFmtId="0" fontId="25" fillId="0" borderId="68" xfId="46" applyFont="1" applyBorder="1" applyAlignment="1" applyProtection="1">
      <alignment horizontal="left" vertical="center" wrapText="1"/>
      <protection locked="0"/>
    </xf>
    <xf numFmtId="0" fontId="25" fillId="0" borderId="37" xfId="46" applyFont="1" applyBorder="1" applyAlignment="1" applyProtection="1">
      <alignment horizontal="left" vertical="center" wrapText="1"/>
      <protection locked="0"/>
    </xf>
    <xf numFmtId="0" fontId="25" fillId="0" borderId="69" xfId="46" applyFont="1" applyBorder="1" applyAlignment="1" applyProtection="1">
      <alignment horizontal="left" vertical="center" wrapText="1"/>
      <protection locked="0"/>
    </xf>
    <xf numFmtId="0" fontId="25" fillId="0" borderId="68" xfId="0" applyFont="1" applyBorder="1" applyAlignment="1">
      <alignment wrapText="1"/>
    </xf>
    <xf numFmtId="0" fontId="25" fillId="0" borderId="70" xfId="0" applyFont="1" applyBorder="1" applyAlignment="1">
      <alignment wrapText="1"/>
    </xf>
    <xf numFmtId="0" fontId="25" fillId="0" borderId="48" xfId="46" applyFont="1" applyBorder="1" applyAlignment="1" applyProtection="1">
      <alignment horizontal="left" vertical="center" wrapText="1"/>
      <protection locked="0"/>
    </xf>
    <xf numFmtId="0" fontId="25" fillId="0" borderId="53" xfId="46" applyFont="1" applyBorder="1" applyAlignment="1" applyProtection="1">
      <alignment horizontal="left" vertical="center" wrapText="1"/>
      <protection locked="0"/>
    </xf>
    <xf numFmtId="0" fontId="25" fillId="0" borderId="79" xfId="46" applyFont="1" applyBorder="1" applyAlignment="1" applyProtection="1">
      <alignment horizontal="left" vertical="center" wrapText="1"/>
      <protection locked="0"/>
    </xf>
    <xf numFmtId="0" fontId="22" fillId="0" borderId="28" xfId="46" applyBorder="1" applyAlignment="1" applyProtection="1">
      <alignment horizontal="left" vertical="center" wrapText="1"/>
      <protection locked="0"/>
    </xf>
    <xf numFmtId="0" fontId="22" fillId="0" borderId="77" xfId="46" applyBorder="1" applyAlignment="1" applyProtection="1">
      <alignment horizontal="left" vertical="center" wrapText="1"/>
      <protection locked="0"/>
    </xf>
    <xf numFmtId="0" fontId="22" fillId="0" borderId="48" xfId="46" applyBorder="1" applyAlignment="1" applyProtection="1">
      <alignment horizontal="left" vertical="center" wrapText="1"/>
      <protection locked="0"/>
    </xf>
    <xf numFmtId="0" fontId="22" fillId="0" borderId="53" xfId="46" applyBorder="1" applyAlignment="1" applyProtection="1">
      <alignment horizontal="left" vertical="center" wrapText="1"/>
      <protection locked="0"/>
    </xf>
    <xf numFmtId="0" fontId="25" fillId="0" borderId="80" xfId="46" applyFont="1" applyBorder="1" applyAlignment="1" applyProtection="1">
      <alignment horizontal="center" vertical="center" wrapText="1"/>
      <protection locked="0"/>
    </xf>
    <xf numFmtId="0" fontId="25" fillId="0" borderId="81" xfId="46" applyFont="1" applyBorder="1" applyAlignment="1" applyProtection="1">
      <alignment horizontal="center" vertical="center" wrapText="1"/>
      <protection locked="0"/>
    </xf>
    <xf numFmtId="0" fontId="32" fillId="0" borderId="34" xfId="46" applyFont="1" applyBorder="1" applyAlignment="1" applyProtection="1">
      <alignment horizontal="right" vertical="center" wrapText="1"/>
      <protection locked="0"/>
    </xf>
    <xf numFmtId="0" fontId="31" fillId="0" borderId="34" xfId="0" applyFont="1" applyBorder="1" applyAlignment="1">
      <alignment horizontal="right" wrapText="1"/>
    </xf>
    <xf numFmtId="0" fontId="31" fillId="0" borderId="74" xfId="0" applyFont="1" applyBorder="1" applyAlignment="1">
      <alignment horizontal="right" wrapText="1"/>
    </xf>
    <xf numFmtId="0" fontId="25" fillId="0" borderId="59" xfId="45" applyFont="1" applyBorder="1" applyAlignment="1" applyProtection="1">
      <alignment vertical="center" wrapText="1"/>
      <protection locked="0"/>
    </xf>
    <xf numFmtId="0" fontId="31" fillId="0" borderId="60" xfId="0" applyFont="1" applyBorder="1" applyAlignment="1">
      <alignment vertical="center" wrapText="1"/>
    </xf>
    <xf numFmtId="0" fontId="31" fillId="0" borderId="61" xfId="0" applyFont="1" applyBorder="1" applyAlignment="1">
      <alignment vertical="center" wrapText="1"/>
    </xf>
    <xf numFmtId="0" fontId="25" fillId="0" borderId="62" xfId="45" applyFont="1" applyBorder="1" applyAlignment="1" applyProtection="1">
      <alignment vertical="center" wrapText="1"/>
      <protection locked="0"/>
    </xf>
    <xf numFmtId="0" fontId="31" fillId="0" borderId="63" xfId="0" applyFont="1" applyBorder="1" applyAlignment="1">
      <alignment vertical="center" wrapText="1"/>
    </xf>
    <xf numFmtId="0" fontId="31" fillId="0" borderId="64" xfId="0" applyFont="1" applyBorder="1" applyAlignment="1">
      <alignment vertical="center" wrapText="1"/>
    </xf>
    <xf numFmtId="0" fontId="25" fillId="0" borderId="62" xfId="46" applyFont="1" applyBorder="1" applyAlignment="1" applyProtection="1">
      <alignment horizontal="left" vertical="center" wrapText="1"/>
      <protection locked="0"/>
    </xf>
    <xf numFmtId="0" fontId="25" fillId="0" borderId="63" xfId="0" applyFont="1" applyBorder="1" applyAlignment="1">
      <alignment wrapText="1"/>
    </xf>
    <xf numFmtId="0" fontId="25" fillId="0" borderId="64" xfId="0" applyFont="1" applyBorder="1" applyAlignment="1">
      <alignment wrapText="1"/>
    </xf>
    <xf numFmtId="0" fontId="25" fillId="0" borderId="72" xfId="46" applyFont="1" applyBorder="1" applyAlignment="1" applyProtection="1">
      <alignment horizontal="left" vertical="center" wrapText="1"/>
      <protection locked="0"/>
    </xf>
    <xf numFmtId="0" fontId="25" fillId="0" borderId="42" xfId="46" applyFont="1" applyBorder="1" applyAlignment="1" applyProtection="1">
      <alignment horizontal="left" vertical="center" wrapText="1"/>
      <protection locked="0"/>
    </xf>
    <xf numFmtId="0" fontId="25" fillId="0" borderId="65" xfId="45" applyFont="1" applyBorder="1" applyAlignment="1" applyProtection="1">
      <alignment vertical="center" wrapText="1"/>
      <protection locked="0"/>
    </xf>
    <xf numFmtId="0" fontId="31" fillId="0" borderId="66" xfId="0" applyFont="1" applyBorder="1" applyAlignment="1">
      <alignment vertical="center" wrapText="1"/>
    </xf>
    <xf numFmtId="0" fontId="31" fillId="0" borderId="67" xfId="0" applyFont="1" applyBorder="1" applyAlignment="1">
      <alignment vertical="center" wrapText="1"/>
    </xf>
    <xf numFmtId="0" fontId="25" fillId="0" borderId="28" xfId="46" applyFont="1" applyBorder="1" applyAlignment="1" applyProtection="1">
      <alignment horizontal="left" vertical="center" wrapText="1"/>
      <protection locked="0"/>
    </xf>
    <xf numFmtId="0" fontId="25" fillId="0" borderId="77" xfId="46" applyFont="1" applyBorder="1" applyAlignment="1" applyProtection="1">
      <alignment horizontal="left" vertical="center" wrapText="1"/>
      <protection locked="0"/>
    </xf>
    <xf numFmtId="0" fontId="25" fillId="0" borderId="78" xfId="46" applyFont="1" applyBorder="1" applyAlignment="1" applyProtection="1">
      <alignment horizontal="left" vertical="center" wrapText="1"/>
      <protection locked="0"/>
    </xf>
    <xf numFmtId="0" fontId="25" fillId="0" borderId="71" xfId="46" applyFont="1" applyBorder="1" applyAlignment="1" applyProtection="1">
      <alignment horizontal="left" vertical="center" wrapText="1"/>
      <protection locked="0"/>
    </xf>
    <xf numFmtId="0" fontId="25" fillId="0" borderId="72" xfId="0" applyFont="1" applyBorder="1" applyAlignment="1">
      <alignment wrapText="1"/>
    </xf>
    <xf numFmtId="0" fontId="25" fillId="0" borderId="73" xfId="0" applyFont="1" applyBorder="1" applyAlignment="1">
      <alignment wrapText="1"/>
    </xf>
    <xf numFmtId="0" fontId="25" fillId="0" borderId="63" xfId="46" applyFont="1" applyBorder="1" applyAlignment="1" applyProtection="1">
      <alignment horizontal="left" vertical="center" wrapText="1"/>
      <protection locked="0"/>
    </xf>
    <xf numFmtId="0" fontId="25" fillId="0" borderId="39" xfId="46" applyFont="1" applyBorder="1" applyAlignment="1" applyProtection="1">
      <alignment horizontal="left" vertical="center" wrapText="1"/>
      <protection locked="0"/>
    </xf>
    <xf numFmtId="0" fontId="25" fillId="0" borderId="50" xfId="0" applyFont="1" applyBorder="1" applyAlignment="1">
      <alignment vertical="center" wrapText="1"/>
    </xf>
    <xf numFmtId="0" fontId="25" fillId="0" borderId="10" xfId="0" applyFont="1" applyBorder="1" applyAlignment="1">
      <alignment horizontal="left" vertical="center" wrapText="1"/>
    </xf>
    <xf numFmtId="0" fontId="32" fillId="0" borderId="34" xfId="0" applyFont="1" applyBorder="1" applyAlignment="1">
      <alignment horizontal="right" vertical="top" wrapText="1"/>
    </xf>
    <xf numFmtId="0" fontId="25" fillId="0" borderId="34" xfId="46" applyFont="1" applyBorder="1" applyAlignment="1" applyProtection="1">
      <alignment horizontal="left" vertical="center" wrapText="1"/>
      <protection locked="0"/>
    </xf>
    <xf numFmtId="0" fontId="22" fillId="0" borderId="10" xfId="46" applyBorder="1" applyAlignment="1" applyProtection="1">
      <alignment horizontal="left" vertical="center"/>
      <protection locked="0"/>
    </xf>
    <xf numFmtId="0" fontId="25" fillId="24" borderId="18" xfId="45" applyFont="1" applyFill="1" applyBorder="1" applyAlignment="1" applyProtection="1">
      <alignment horizontal="center" vertical="center" wrapText="1"/>
      <protection locked="0"/>
    </xf>
    <xf numFmtId="0" fontId="25" fillId="24" borderId="54" xfId="45" applyFont="1" applyFill="1" applyBorder="1" applyAlignment="1" applyProtection="1">
      <alignment horizontal="center" vertical="center" wrapText="1"/>
      <protection locked="0"/>
    </xf>
    <xf numFmtId="0" fontId="25" fillId="24" borderId="55" xfId="45" applyFont="1" applyFill="1" applyBorder="1" applyAlignment="1" applyProtection="1">
      <alignment horizontal="center" vertical="center" wrapText="1"/>
      <protection locked="0"/>
    </xf>
    <xf numFmtId="0" fontId="25" fillId="27" borderId="18" xfId="45" applyFont="1" applyFill="1" applyBorder="1" applyAlignment="1" applyProtection="1">
      <alignment horizontal="center" vertical="center" wrapText="1"/>
      <protection locked="0"/>
    </xf>
    <xf numFmtId="0" fontId="25" fillId="27" borderId="54" xfId="0" applyFont="1" applyFill="1" applyBorder="1" applyAlignment="1">
      <alignment vertical="center" wrapText="1"/>
    </xf>
    <xf numFmtId="0" fontId="31" fillId="27" borderId="55" xfId="0" applyFont="1" applyFill="1" applyBorder="1" applyAlignment="1">
      <alignment vertical="center" wrapText="1"/>
    </xf>
    <xf numFmtId="58" fontId="30" fillId="0" borderId="11" xfId="46" applyNumberFormat="1" applyFont="1" applyBorder="1" applyAlignment="1" applyProtection="1">
      <alignment horizontal="center" vertical="center" wrapText="1"/>
      <protection locked="0"/>
    </xf>
    <xf numFmtId="58" fontId="30" fillId="0" borderId="14" xfId="46" applyNumberFormat="1" applyFont="1" applyBorder="1" applyAlignment="1" applyProtection="1">
      <alignment horizontal="center" vertical="center" wrapText="1"/>
      <protection locked="0"/>
    </xf>
    <xf numFmtId="0" fontId="30" fillId="0" borderId="14" xfId="0" applyFont="1" applyBorder="1" applyAlignment="1">
      <alignment vertical="center" wrapText="1"/>
    </xf>
    <xf numFmtId="0" fontId="30" fillId="0" borderId="15" xfId="0" applyFont="1" applyBorder="1" applyAlignment="1">
      <alignment vertical="center" wrapText="1"/>
    </xf>
    <xf numFmtId="0" fontId="30" fillId="0" borderId="10" xfId="46" applyFont="1" applyBorder="1" applyAlignment="1" applyProtection="1">
      <alignment horizontal="center" vertical="center" wrapText="1"/>
      <protection locked="0"/>
    </xf>
    <xf numFmtId="177" fontId="30" fillId="0" borderId="11" xfId="46" applyNumberFormat="1" applyFont="1" applyBorder="1" applyAlignment="1" applyProtection="1">
      <alignment horizontal="center" vertical="center" wrapText="1"/>
      <protection locked="0"/>
    </xf>
    <xf numFmtId="177" fontId="30" fillId="0" borderId="14" xfId="46" applyNumberFormat="1" applyFont="1" applyBorder="1" applyAlignment="1" applyProtection="1">
      <alignment horizontal="center" vertical="center" wrapText="1"/>
      <protection locked="0"/>
    </xf>
    <xf numFmtId="0" fontId="22" fillId="24" borderId="10" xfId="46" applyFill="1" applyBorder="1" applyAlignment="1" applyProtection="1">
      <alignment horizontal="center" vertical="center"/>
      <protection locked="0"/>
    </xf>
    <xf numFmtId="0" fontId="22" fillId="25" borderId="10" xfId="0" applyFont="1" applyFill="1" applyBorder="1" applyAlignment="1">
      <alignment horizontal="center" vertical="center"/>
    </xf>
    <xf numFmtId="0" fontId="22" fillId="0" borderId="10" xfId="46" applyBorder="1" applyAlignment="1" applyProtection="1">
      <alignment horizontal="left" vertical="center" wrapText="1"/>
      <protection locked="0"/>
    </xf>
    <xf numFmtId="0" fontId="25" fillId="0" borderId="10" xfId="46" applyFont="1" applyBorder="1" applyAlignment="1" applyProtection="1">
      <alignment horizontal="left" vertical="top" wrapText="1"/>
      <protection locked="0"/>
    </xf>
    <xf numFmtId="0" fontId="25" fillId="0" borderId="10" xfId="0" applyFont="1" applyBorder="1" applyAlignment="1">
      <alignment horizontal="left" vertical="top" wrapText="1"/>
    </xf>
    <xf numFmtId="0" fontId="25" fillId="25" borderId="11" xfId="0" applyFont="1" applyFill="1" applyBorder="1" applyAlignment="1">
      <alignment horizontal="center" vertical="center"/>
    </xf>
    <xf numFmtId="0" fontId="25" fillId="25" borderId="14" xfId="0" applyFont="1" applyFill="1" applyBorder="1" applyAlignment="1">
      <alignment horizontal="center" vertical="center"/>
    </xf>
    <xf numFmtId="0" fontId="25" fillId="25" borderId="15" xfId="0" applyFont="1" applyFill="1" applyBorder="1" applyAlignment="1">
      <alignment horizontal="center" vertical="center"/>
    </xf>
    <xf numFmtId="0" fontId="34" fillId="0" borderId="10" xfId="0" applyFont="1" applyBorder="1" applyAlignment="1">
      <alignment horizontal="center" vertical="center"/>
    </xf>
    <xf numFmtId="0" fontId="25" fillId="0" borderId="11" xfId="0" applyFont="1" applyBorder="1" applyAlignment="1">
      <alignment horizontal="left" vertical="top" wrapText="1"/>
    </xf>
    <xf numFmtId="0" fontId="25" fillId="0" borderId="14" xfId="0" applyFont="1" applyBorder="1" applyAlignment="1">
      <alignment horizontal="left" vertical="top" wrapText="1"/>
    </xf>
    <xf numFmtId="0" fontId="25" fillId="0" borderId="15" xfId="0" applyFont="1" applyBorder="1" applyAlignment="1">
      <alignment horizontal="left" vertical="top" wrapText="1"/>
    </xf>
    <xf numFmtId="0" fontId="25" fillId="25" borderId="13" xfId="0" applyFont="1" applyFill="1" applyBorder="1" applyAlignment="1">
      <alignment horizontal="center" vertical="center" wrapText="1"/>
    </xf>
    <xf numFmtId="0" fontId="25" fillId="25" borderId="10" xfId="0" applyFont="1" applyFill="1" applyBorder="1" applyAlignment="1">
      <alignment horizontal="center" vertical="center" wrapText="1"/>
    </xf>
    <xf numFmtId="0" fontId="25" fillId="0" borderId="45" xfId="45" applyFont="1" applyBorder="1" applyAlignment="1" applyProtection="1">
      <alignment vertical="center" wrapText="1"/>
      <protection locked="0"/>
    </xf>
    <xf numFmtId="0" fontId="25" fillId="0" borderId="0" xfId="45" applyFont="1" applyAlignment="1" applyProtection="1">
      <alignment vertical="center" wrapText="1"/>
      <protection locked="0"/>
    </xf>
    <xf numFmtId="0" fontId="25" fillId="0" borderId="51" xfId="45" applyFont="1" applyBorder="1" applyAlignment="1" applyProtection="1">
      <alignment vertical="center" wrapText="1"/>
      <protection locked="0"/>
    </xf>
    <xf numFmtId="0" fontId="25" fillId="0" borderId="47" xfId="45" applyFont="1" applyBorder="1" applyAlignment="1" applyProtection="1">
      <alignment vertical="center" wrapText="1"/>
      <protection locked="0"/>
    </xf>
    <xf numFmtId="0" fontId="25" fillId="0" borderId="13" xfId="45" applyFont="1" applyBorder="1" applyAlignment="1" applyProtection="1">
      <alignment vertical="center" wrapText="1"/>
      <protection locked="0"/>
    </xf>
    <xf numFmtId="0" fontId="25" fillId="0" borderId="52" xfId="45" applyFont="1" applyBorder="1" applyAlignment="1" applyProtection="1">
      <alignment vertical="center" wrapText="1"/>
      <protection locked="0"/>
    </xf>
    <xf numFmtId="0" fontId="25" fillId="0" borderId="60" xfId="45" applyFont="1" applyBorder="1" applyAlignment="1" applyProtection="1">
      <alignment vertical="center" wrapText="1"/>
      <protection locked="0"/>
    </xf>
    <xf numFmtId="0" fontId="25" fillId="0" borderId="61" xfId="45" applyFont="1" applyBorder="1" applyAlignment="1" applyProtection="1">
      <alignment vertical="center" wrapText="1"/>
      <protection locked="0"/>
    </xf>
    <xf numFmtId="0" fontId="25" fillId="0" borderId="63" xfId="45" applyFont="1" applyBorder="1" applyAlignment="1" applyProtection="1">
      <alignment vertical="center" wrapText="1"/>
      <protection locked="0"/>
    </xf>
    <xf numFmtId="0" fontId="25" fillId="0" borderId="64" xfId="45" applyFont="1" applyBorder="1" applyAlignment="1" applyProtection="1">
      <alignment vertical="center" wrapText="1"/>
      <protection locked="0"/>
    </xf>
    <xf numFmtId="0" fontId="25" fillId="0" borderId="66" xfId="45" applyFont="1" applyBorder="1" applyAlignment="1" applyProtection="1">
      <alignment vertical="center" wrapText="1"/>
      <protection locked="0"/>
    </xf>
    <xf numFmtId="0" fontId="25" fillId="0" borderId="67" xfId="45" applyFont="1" applyBorder="1" applyAlignment="1" applyProtection="1">
      <alignment vertical="center" wrapText="1"/>
      <protection locked="0"/>
    </xf>
    <xf numFmtId="0" fontId="25" fillId="0" borderId="28" xfId="45" applyFont="1" applyBorder="1" applyAlignment="1" applyProtection="1">
      <alignment vertical="center" wrapText="1"/>
      <protection locked="0"/>
    </xf>
    <xf numFmtId="0" fontId="31" fillId="0" borderId="77" xfId="0" applyFont="1" applyBorder="1" applyAlignment="1">
      <alignment vertical="center" wrapText="1"/>
    </xf>
    <xf numFmtId="0" fontId="31" fillId="0" borderId="78" xfId="0" applyFont="1" applyBorder="1" applyAlignment="1">
      <alignment vertical="center" wrapText="1"/>
    </xf>
    <xf numFmtId="0" fontId="25" fillId="0" borderId="44" xfId="45" applyFont="1" applyBorder="1" applyAlignment="1" applyProtection="1">
      <alignment horizontal="left" vertical="center" wrapText="1"/>
      <protection locked="0"/>
    </xf>
    <xf numFmtId="0" fontId="25" fillId="0" borderId="12" xfId="45" applyFont="1" applyBorder="1" applyAlignment="1" applyProtection="1">
      <alignment horizontal="left" vertical="center" wrapText="1"/>
      <protection locked="0"/>
    </xf>
    <xf numFmtId="0" fontId="25" fillId="0" borderId="50" xfId="45" applyFont="1" applyBorder="1" applyAlignment="1" applyProtection="1">
      <alignment horizontal="left" vertical="center" wrapText="1"/>
      <protection locked="0"/>
    </xf>
    <xf numFmtId="0" fontId="25" fillId="0" borderId="45" xfId="45" applyFont="1" applyBorder="1" applyAlignment="1" applyProtection="1">
      <alignment horizontal="left" vertical="center" wrapText="1"/>
      <protection locked="0"/>
    </xf>
    <xf numFmtId="0" fontId="25" fillId="0" borderId="0" xfId="45" applyFont="1" applyAlignment="1" applyProtection="1">
      <alignment horizontal="left" vertical="center" wrapText="1"/>
      <protection locked="0"/>
    </xf>
    <xf numFmtId="0" fontId="25" fillId="0" borderId="51" xfId="45" applyFont="1" applyBorder="1" applyAlignment="1" applyProtection="1">
      <alignment horizontal="left" vertical="center" wrapText="1"/>
      <protection locked="0"/>
    </xf>
    <xf numFmtId="0" fontId="25" fillId="0" borderId="47" xfId="45" applyFont="1" applyBorder="1" applyAlignment="1" applyProtection="1">
      <alignment horizontal="left" vertical="center" wrapText="1"/>
      <protection locked="0"/>
    </xf>
    <xf numFmtId="0" fontId="25" fillId="0" borderId="13" xfId="45" applyFont="1" applyBorder="1" applyAlignment="1" applyProtection="1">
      <alignment horizontal="left" vertical="center" wrapText="1"/>
      <protection locked="0"/>
    </xf>
    <xf numFmtId="0" fontId="25" fillId="0" borderId="52" xfId="45" applyFont="1" applyBorder="1" applyAlignment="1" applyProtection="1">
      <alignment horizontal="left" vertical="center" wrapText="1"/>
      <protection locked="0"/>
    </xf>
    <xf numFmtId="0" fontId="22" fillId="0" borderId="56" xfId="0" applyFont="1" applyBorder="1" applyAlignment="1" applyProtection="1">
      <alignment horizontal="center" vertical="center" wrapText="1"/>
      <protection locked="0"/>
    </xf>
    <xf numFmtId="0" fontId="22" fillId="0" borderId="57" xfId="0" applyFont="1" applyBorder="1" applyAlignment="1" applyProtection="1">
      <alignment horizontal="center" vertical="center"/>
      <protection locked="0"/>
    </xf>
    <xf numFmtId="0" fontId="22" fillId="0" borderId="58" xfId="0" applyFont="1" applyBorder="1" applyAlignment="1" applyProtection="1">
      <alignment horizontal="center" vertical="center"/>
      <protection locked="0"/>
    </xf>
    <xf numFmtId="58" fontId="30" fillId="0" borderId="15" xfId="46" applyNumberFormat="1" applyFont="1" applyBorder="1" applyAlignment="1" applyProtection="1">
      <alignment horizontal="center" vertical="center" wrapText="1"/>
      <protection locked="0"/>
    </xf>
    <xf numFmtId="177" fontId="30" fillId="0" borderId="12" xfId="46" applyNumberFormat="1" applyFont="1" applyBorder="1" applyAlignment="1" applyProtection="1">
      <alignment horizontal="center" vertical="center" wrapText="1"/>
      <protection locked="0"/>
    </xf>
    <xf numFmtId="0" fontId="30" fillId="0" borderId="12" xfId="0" applyFont="1" applyBorder="1" applyAlignment="1">
      <alignment vertical="center" wrapText="1"/>
    </xf>
    <xf numFmtId="0" fontId="30" fillId="0" borderId="50" xfId="0" applyFont="1" applyBorder="1" applyAlignment="1">
      <alignment vertical="center" wrapText="1"/>
    </xf>
    <xf numFmtId="0" fontId="22" fillId="0" borderId="56" xfId="0" applyFont="1" applyBorder="1" applyAlignment="1" applyProtection="1">
      <alignment horizontal="center" vertical="center"/>
      <protection locked="0"/>
    </xf>
    <xf numFmtId="0" fontId="32" fillId="0" borderId="34" xfId="0" applyFont="1" applyBorder="1" applyAlignment="1">
      <alignment horizontal="right" vertical="center"/>
    </xf>
    <xf numFmtId="0" fontId="32" fillId="0" borderId="74" xfId="0" applyFont="1" applyBorder="1" applyAlignment="1">
      <alignment horizontal="right" vertical="center"/>
    </xf>
    <xf numFmtId="0" fontId="25" fillId="0" borderId="0" xfId="46" applyFont="1" applyAlignment="1" applyProtection="1">
      <alignment horizontal="left" vertical="center" wrapText="1"/>
      <protection locked="0"/>
    </xf>
    <xf numFmtId="0" fontId="25" fillId="0" borderId="44" xfId="46" applyFont="1" applyBorder="1" applyAlignment="1" applyProtection="1">
      <alignment horizontal="left" vertical="top" wrapText="1"/>
      <protection locked="0"/>
    </xf>
    <xf numFmtId="0" fontId="25" fillId="0" borderId="12" xfId="46" applyFont="1" applyBorder="1" applyAlignment="1" applyProtection="1">
      <alignment horizontal="left" vertical="top" wrapText="1"/>
      <protection locked="0"/>
    </xf>
    <xf numFmtId="0" fontId="25" fillId="0" borderId="50" xfId="46" applyFont="1" applyBorder="1" applyAlignment="1" applyProtection="1">
      <alignment horizontal="left" vertical="top" wrapText="1"/>
      <protection locked="0"/>
    </xf>
    <xf numFmtId="0" fontId="25" fillId="25" borderId="14" xfId="46" applyFont="1" applyFill="1" applyBorder="1" applyAlignment="1" applyProtection="1">
      <alignment horizontal="center" vertical="center" wrapText="1"/>
      <protection locked="0"/>
    </xf>
    <xf numFmtId="0" fontId="25" fillId="25" borderId="15" xfId="46" applyFont="1" applyFill="1" applyBorder="1" applyAlignment="1" applyProtection="1">
      <alignment horizontal="center" vertical="center" wrapText="1"/>
      <protection locked="0"/>
    </xf>
    <xf numFmtId="0" fontId="25" fillId="0" borderId="47" xfId="46" applyFont="1" applyBorder="1" applyAlignment="1" applyProtection="1">
      <alignment horizontal="left" vertical="top" wrapText="1"/>
      <protection locked="0"/>
    </xf>
    <xf numFmtId="0" fontId="25" fillId="0" borderId="13" xfId="46" applyFont="1" applyBorder="1" applyAlignment="1" applyProtection="1">
      <alignment horizontal="left" vertical="top" wrapText="1"/>
      <protection locked="0"/>
    </xf>
    <xf numFmtId="0" fontId="25" fillId="0" borderId="52" xfId="46" applyFont="1" applyBorder="1" applyAlignment="1" applyProtection="1">
      <alignment horizontal="left" vertical="top" wrapText="1"/>
      <protection locked="0"/>
    </xf>
    <xf numFmtId="0" fontId="32" fillId="0" borderId="0" xfId="46" applyFont="1" applyAlignment="1" applyProtection="1">
      <alignment horizontal="right" vertical="center"/>
      <protection locked="0"/>
    </xf>
    <xf numFmtId="0" fontId="22" fillId="25" borderId="10" xfId="51" applyFont="1" applyFill="1" applyBorder="1" applyAlignment="1">
      <alignment horizontal="center" vertical="center"/>
    </xf>
    <xf numFmtId="0" fontId="25" fillId="0" borderId="10" xfId="51" applyFont="1" applyBorder="1" applyAlignment="1">
      <alignment horizontal="left" vertical="center" wrapText="1"/>
    </xf>
    <xf numFmtId="0" fontId="30" fillId="0" borderId="12" xfId="51" applyFont="1" applyBorder="1" applyAlignment="1">
      <alignment vertical="center" wrapText="1"/>
    </xf>
    <xf numFmtId="0" fontId="30" fillId="0" borderId="50" xfId="51" applyFont="1" applyBorder="1" applyAlignment="1">
      <alignment vertical="center" wrapText="1"/>
    </xf>
    <xf numFmtId="0" fontId="25" fillId="27" borderId="54" xfId="51" applyFont="1" applyFill="1" applyBorder="1" applyAlignment="1">
      <alignment vertical="center" wrapText="1"/>
    </xf>
    <xf numFmtId="0" fontId="31" fillId="27" borderId="55" xfId="51" applyFont="1" applyFill="1" applyBorder="1" applyAlignment="1">
      <alignment vertical="center" wrapText="1"/>
    </xf>
    <xf numFmtId="0" fontId="0" fillId="0" borderId="56" xfId="51" applyFont="1" applyBorder="1" applyAlignment="1" applyProtection="1">
      <alignment horizontal="center" vertical="center" wrapText="1"/>
      <protection locked="0"/>
    </xf>
    <xf numFmtId="0" fontId="22" fillId="0" borderId="57" xfId="51" applyFont="1" applyBorder="1" applyAlignment="1" applyProtection="1">
      <alignment horizontal="center" vertical="center" wrapText="1"/>
      <protection locked="0"/>
    </xf>
    <xf numFmtId="0" fontId="22" fillId="0" borderId="57" xfId="51" applyFont="1" applyBorder="1" applyAlignment="1" applyProtection="1">
      <alignment horizontal="center" vertical="center"/>
      <protection locked="0"/>
    </xf>
    <xf numFmtId="0" fontId="22" fillId="0" borderId="58" xfId="51" applyFont="1" applyBorder="1" applyAlignment="1" applyProtection="1">
      <alignment horizontal="center" vertical="center"/>
      <protection locked="0"/>
    </xf>
    <xf numFmtId="0" fontId="31" fillId="0" borderId="12" xfId="0" applyFont="1" applyBorder="1" applyAlignment="1">
      <alignment vertical="center" wrapText="1"/>
    </xf>
    <xf numFmtId="0" fontId="31" fillId="0" borderId="50" xfId="0" applyFont="1" applyBorder="1" applyAlignment="1">
      <alignment vertical="center" wrapText="1"/>
    </xf>
    <xf numFmtId="0" fontId="0" fillId="0" borderId="57" xfId="51" applyFont="1" applyBorder="1" applyAlignment="1" applyProtection="1">
      <alignment horizontal="center" vertical="center" wrapText="1"/>
      <protection locked="0"/>
    </xf>
    <xf numFmtId="0" fontId="25" fillId="0" borderId="68" xfId="51" applyFont="1" applyBorder="1" applyAlignment="1">
      <alignment wrapText="1"/>
    </xf>
    <xf numFmtId="0" fontId="25" fillId="0" borderId="70" xfId="51" applyFont="1" applyBorder="1" applyAlignment="1">
      <alignment wrapText="1"/>
    </xf>
    <xf numFmtId="0" fontId="25" fillId="0" borderId="63" xfId="51" applyFont="1" applyBorder="1" applyAlignment="1">
      <alignment wrapText="1"/>
    </xf>
    <xf numFmtId="0" fontId="25" fillId="0" borderId="64" xfId="51" applyFont="1" applyBorder="1" applyAlignment="1">
      <alignment wrapText="1"/>
    </xf>
    <xf numFmtId="0" fontId="25" fillId="0" borderId="34" xfId="46" applyFont="1" applyBorder="1" applyAlignment="1" applyProtection="1">
      <alignment horizontal="right" vertical="center" wrapText="1"/>
      <protection locked="0"/>
    </xf>
    <xf numFmtId="0" fontId="31" fillId="0" borderId="34" xfId="51" applyFont="1" applyBorder="1" applyAlignment="1">
      <alignment horizontal="right" wrapText="1"/>
    </xf>
    <xf numFmtId="0" fontId="31" fillId="0" borderId="74" xfId="51" applyFont="1" applyBorder="1" applyAlignment="1">
      <alignment horizontal="right" wrapText="1"/>
    </xf>
    <xf numFmtId="0" fontId="31" fillId="0" borderId="53" xfId="51" applyFont="1" applyBorder="1" applyAlignment="1">
      <alignment vertical="center" wrapText="1"/>
    </xf>
    <xf numFmtId="0" fontId="47" fillId="0" borderId="34" xfId="51" applyFont="1" applyBorder="1" applyAlignment="1">
      <alignment horizontal="right" vertical="center"/>
    </xf>
    <xf numFmtId="0" fontId="47" fillId="0" borderId="74" xfId="51" applyFont="1" applyBorder="1" applyAlignment="1">
      <alignment horizontal="right" vertical="center"/>
    </xf>
    <xf numFmtId="0" fontId="25" fillId="0" borderId="72" xfId="51" applyFont="1" applyBorder="1" applyAlignment="1">
      <alignment wrapText="1"/>
    </xf>
    <xf numFmtId="0" fontId="25" fillId="0" borderId="73" xfId="51" applyFont="1" applyBorder="1" applyAlignment="1">
      <alignment wrapText="1"/>
    </xf>
    <xf numFmtId="0" fontId="25" fillId="25" borderId="11" xfId="51" applyFont="1" applyFill="1" applyBorder="1" applyAlignment="1">
      <alignment horizontal="center" vertical="center"/>
    </xf>
    <xf numFmtId="0" fontId="25" fillId="25" borderId="14" xfId="51" applyFont="1" applyFill="1" applyBorder="1" applyAlignment="1">
      <alignment horizontal="center" vertical="center"/>
    </xf>
    <xf numFmtId="0" fontId="25" fillId="25" borderId="15" xfId="51" applyFont="1" applyFill="1" applyBorder="1" applyAlignment="1">
      <alignment horizontal="center" vertical="center"/>
    </xf>
    <xf numFmtId="0" fontId="0" fillId="34" borderId="56" xfId="51" applyFont="1" applyFill="1" applyBorder="1" applyAlignment="1" applyProtection="1">
      <alignment horizontal="center" vertical="center" wrapText="1"/>
      <protection locked="0"/>
    </xf>
    <xf numFmtId="0" fontId="22" fillId="34" borderId="57" xfId="51" applyFont="1" applyFill="1" applyBorder="1" applyAlignment="1" applyProtection="1">
      <alignment horizontal="center" vertical="center" wrapText="1"/>
      <protection locked="0"/>
    </xf>
    <xf numFmtId="0" fontId="22" fillId="34" borderId="57" xfId="51" applyFont="1" applyFill="1" applyBorder="1" applyAlignment="1" applyProtection="1">
      <alignment horizontal="center" vertical="center"/>
      <protection locked="0"/>
    </xf>
    <xf numFmtId="0" fontId="22" fillId="34" borderId="58" xfId="51" applyFont="1" applyFill="1" applyBorder="1" applyAlignment="1" applyProtection="1">
      <alignment horizontal="center" vertical="center"/>
      <protection locked="0"/>
    </xf>
    <xf numFmtId="0" fontId="0" fillId="34" borderId="57" xfId="51" applyFont="1" applyFill="1" applyBorder="1" applyAlignment="1" applyProtection="1">
      <alignment horizontal="center" vertical="center" wrapText="1"/>
      <protection locked="0"/>
    </xf>
    <xf numFmtId="0" fontId="35" fillId="0" borderId="0" xfId="43" applyFont="1" applyAlignment="1">
      <alignment horizontal="left" vertical="top"/>
    </xf>
    <xf numFmtId="0" fontId="52" fillId="32" borderId="13" xfId="43" applyFont="1" applyFill="1" applyBorder="1" applyAlignment="1">
      <alignment horizontal="center" vertical="center"/>
    </xf>
    <xf numFmtId="0" fontId="52" fillId="32" borderId="52" xfId="43" applyFont="1" applyFill="1" applyBorder="1" applyAlignment="1">
      <alignment horizontal="center" vertical="center"/>
    </xf>
    <xf numFmtId="0" fontId="35" fillId="33" borderId="11" xfId="43" applyFont="1" applyFill="1" applyBorder="1" applyAlignment="1">
      <alignment horizontal="center" vertical="center"/>
    </xf>
    <xf numFmtId="0" fontId="35" fillId="33" borderId="15" xfId="43" applyFont="1" applyFill="1" applyBorder="1" applyAlignment="1">
      <alignment horizontal="center" vertical="center"/>
    </xf>
    <xf numFmtId="0" fontId="36" fillId="0" borderId="0" xfId="43" applyFont="1" applyAlignment="1">
      <alignment horizontal="left" vertical="center" wrapText="1"/>
    </xf>
    <xf numFmtId="0" fontId="36" fillId="0" borderId="51" xfId="43" applyFont="1" applyBorder="1" applyAlignment="1">
      <alignment horizontal="left" vertical="center" wrapText="1"/>
    </xf>
    <xf numFmtId="0" fontId="22" fillId="29" borderId="82" xfId="43" applyFill="1" applyBorder="1" applyAlignment="1">
      <alignment horizontal="center" vertical="center" wrapText="1"/>
    </xf>
    <xf numFmtId="0" fontId="22" fillId="29" borderId="0" xfId="43" applyFill="1" applyAlignment="1">
      <alignment horizontal="center" vertical="center" wrapText="1"/>
    </xf>
    <xf numFmtId="0" fontId="22" fillId="29" borderId="89" xfId="43" applyFill="1" applyBorder="1" applyAlignment="1">
      <alignment horizontal="center" vertical="center" wrapText="1"/>
    </xf>
    <xf numFmtId="0" fontId="22" fillId="29" borderId="83" xfId="43" applyFill="1" applyBorder="1" applyAlignment="1">
      <alignment horizontal="center" vertical="center" wrapText="1"/>
    </xf>
    <xf numFmtId="0" fontId="22" fillId="29" borderId="13" xfId="43" applyFill="1" applyBorder="1" applyAlignment="1">
      <alignment horizontal="center" vertical="center" wrapText="1"/>
    </xf>
    <xf numFmtId="0" fontId="22" fillId="29" borderId="93" xfId="43" applyFill="1" applyBorder="1" applyAlignment="1">
      <alignment horizontal="center" vertical="center" wrapText="1"/>
    </xf>
    <xf numFmtId="0" fontId="22" fillId="28" borderId="56" xfId="43" applyFill="1" applyBorder="1" applyAlignment="1">
      <alignment horizontal="center" vertical="center"/>
    </xf>
    <xf numFmtId="0" fontId="22" fillId="28" borderId="57" xfId="43" applyFill="1" applyBorder="1" applyAlignment="1">
      <alignment horizontal="center" vertical="center"/>
    </xf>
    <xf numFmtId="0" fontId="22" fillId="28" borderId="58" xfId="43" applyFill="1" applyBorder="1" applyAlignment="1">
      <alignment horizontal="center" vertical="center"/>
    </xf>
    <xf numFmtId="0" fontId="22" fillId="28" borderId="59" xfId="43" applyFill="1" applyBorder="1" applyAlignment="1">
      <alignment horizontal="center" vertical="center" wrapText="1"/>
    </xf>
    <xf numFmtId="0" fontId="22" fillId="28" borderId="60" xfId="43" applyFill="1" applyBorder="1" applyAlignment="1">
      <alignment horizontal="center" vertical="center" wrapText="1"/>
    </xf>
    <xf numFmtId="0" fontId="22" fillId="28" borderId="61" xfId="43" applyFill="1" applyBorder="1" applyAlignment="1">
      <alignment horizontal="center" vertical="center" wrapText="1"/>
    </xf>
    <xf numFmtId="0" fontId="30" fillId="0" borderId="44" xfId="48" applyFont="1" applyBorder="1" applyAlignment="1">
      <alignment horizontal="left" vertical="center"/>
    </xf>
    <xf numFmtId="0" fontId="30" fillId="0" borderId="12" xfId="48" applyFont="1" applyBorder="1" applyAlignment="1">
      <alignment horizontal="left" vertical="center"/>
    </xf>
    <xf numFmtId="0" fontId="30" fillId="0" borderId="88" xfId="48" applyFont="1" applyBorder="1" applyAlignment="1">
      <alignment horizontal="left" vertical="center"/>
    </xf>
    <xf numFmtId="0" fontId="30" fillId="0" borderId="45" xfId="48" applyFont="1" applyBorder="1" applyAlignment="1">
      <alignment horizontal="left" vertical="center"/>
    </xf>
    <xf numFmtId="0" fontId="30" fillId="0" borderId="0" xfId="48" applyFont="1" applyAlignment="1">
      <alignment horizontal="left" vertical="center"/>
    </xf>
    <xf numFmtId="0" fontId="30" fillId="0" borderId="89" xfId="48" applyFont="1" applyBorder="1" applyAlignment="1">
      <alignment horizontal="left" vertical="center"/>
    </xf>
    <xf numFmtId="0" fontId="30" fillId="0" borderId="47" xfId="48" applyFont="1" applyBorder="1" applyAlignment="1">
      <alignment horizontal="left" vertical="center"/>
    </xf>
    <xf numFmtId="0" fontId="30" fillId="0" borderId="13" xfId="48" applyFont="1" applyBorder="1" applyAlignment="1">
      <alignment horizontal="left" vertical="center"/>
    </xf>
    <xf numFmtId="0" fontId="30" fillId="0" borderId="93" xfId="48" applyFont="1" applyBorder="1" applyAlignment="1">
      <alignment horizontal="left" vertical="center"/>
    </xf>
    <xf numFmtId="0" fontId="30" fillId="0" borderId="100" xfId="43" applyFont="1" applyBorder="1" applyAlignment="1">
      <alignment horizontal="left" vertical="center" wrapText="1"/>
    </xf>
    <xf numFmtId="0" fontId="30" fillId="0" borderId="98" xfId="43" applyFont="1" applyBorder="1" applyAlignment="1">
      <alignment horizontal="left" vertical="center" wrapText="1"/>
    </xf>
    <xf numFmtId="0" fontId="30" fillId="0" borderId="99" xfId="43" applyFont="1" applyBorder="1" applyAlignment="1">
      <alignment horizontal="left" vertical="center" wrapText="1"/>
    </xf>
    <xf numFmtId="0" fontId="30" fillId="0" borderId="45" xfId="43" applyFont="1" applyBorder="1" applyAlignment="1">
      <alignment horizontal="left" vertical="center" wrapText="1"/>
    </xf>
    <xf numFmtId="0" fontId="30" fillId="0" borderId="0" xfId="43" applyFont="1" applyAlignment="1">
      <alignment horizontal="left" vertical="center" wrapText="1"/>
    </xf>
    <xf numFmtId="0" fontId="30" fillId="0" borderId="51" xfId="43" applyFont="1" applyBorder="1" applyAlignment="1">
      <alignment horizontal="left" vertical="center" wrapText="1"/>
    </xf>
    <xf numFmtId="0" fontId="30" fillId="0" borderId="47" xfId="43" applyFont="1" applyBorder="1" applyAlignment="1">
      <alignment horizontal="left" vertical="center" wrapText="1"/>
    </xf>
    <xf numFmtId="0" fontId="30" fillId="0" borderId="13" xfId="43" applyFont="1" applyBorder="1" applyAlignment="1">
      <alignment horizontal="left" vertical="center" wrapText="1"/>
    </xf>
    <xf numFmtId="0" fontId="30" fillId="0" borderId="52" xfId="43" applyFont="1" applyBorder="1" applyAlignment="1">
      <alignment horizontal="left" vertical="center" wrapText="1"/>
    </xf>
    <xf numFmtId="0" fontId="22" fillId="28" borderId="87" xfId="43" applyFill="1" applyBorder="1" applyAlignment="1">
      <alignment horizontal="center" vertical="center"/>
    </xf>
    <xf numFmtId="0" fontId="30" fillId="0" borderId="48" xfId="48" applyFont="1" applyBorder="1" applyAlignment="1">
      <alignment horizontal="left" vertical="center"/>
    </xf>
    <xf numFmtId="0" fontId="30" fillId="0" borderId="53" xfId="48" applyFont="1" applyBorder="1" applyAlignment="1">
      <alignment horizontal="left" vertical="center"/>
    </xf>
    <xf numFmtId="0" fontId="30" fillId="0" borderId="94" xfId="48" applyFont="1" applyBorder="1" applyAlignment="1">
      <alignment horizontal="left" vertical="center"/>
    </xf>
    <xf numFmtId="0" fontId="30" fillId="0" borderId="48" xfId="43" applyFont="1" applyBorder="1" applyAlignment="1">
      <alignment horizontal="left" vertical="center" wrapText="1"/>
    </xf>
    <xf numFmtId="0" fontId="30" fillId="0" borderId="53" xfId="43" applyFont="1" applyBorder="1" applyAlignment="1">
      <alignment horizontal="left" vertical="center" wrapText="1"/>
    </xf>
    <xf numFmtId="0" fontId="30" fillId="0" borderId="79" xfId="43" applyFont="1" applyBorder="1" applyAlignment="1">
      <alignment horizontal="left" vertical="center" wrapText="1"/>
    </xf>
    <xf numFmtId="0" fontId="22" fillId="28" borderId="97" xfId="43" applyFill="1" applyBorder="1" applyAlignment="1">
      <alignment horizontal="center" vertical="center"/>
    </xf>
    <xf numFmtId="0" fontId="22" fillId="28" borderId="54" xfId="43" applyFill="1" applyBorder="1" applyAlignment="1">
      <alignment horizontal="center" vertical="center"/>
    </xf>
    <xf numFmtId="0" fontId="22" fillId="28" borderId="106" xfId="43" applyFill="1" applyBorder="1" applyAlignment="1">
      <alignment horizontal="center" vertical="center"/>
    </xf>
    <xf numFmtId="0" fontId="36" fillId="31" borderId="107" xfId="43" applyFont="1" applyFill="1" applyBorder="1" applyAlignment="1">
      <alignment horizontal="center" vertical="center"/>
    </xf>
    <xf numFmtId="0" fontId="36" fillId="31" borderId="34" xfId="43" applyFont="1" applyFill="1" applyBorder="1" applyAlignment="1">
      <alignment horizontal="center" vertical="center"/>
    </xf>
    <xf numFmtId="0" fontId="36" fillId="31" borderId="74" xfId="43" applyFont="1" applyFill="1" applyBorder="1" applyAlignment="1">
      <alignment horizontal="center" vertical="center"/>
    </xf>
    <xf numFmtId="0" fontId="36" fillId="29" borderId="107" xfId="43" applyFont="1" applyFill="1" applyBorder="1" applyAlignment="1">
      <alignment horizontal="center" vertical="center"/>
    </xf>
    <xf numFmtId="0" fontId="36" fillId="29" borderId="34" xfId="43" applyFont="1" applyFill="1" applyBorder="1" applyAlignment="1">
      <alignment horizontal="center" vertical="center"/>
    </xf>
    <xf numFmtId="0" fontId="36" fillId="29" borderId="74" xfId="43" applyFont="1" applyFill="1" applyBorder="1" applyAlignment="1">
      <alignment horizontal="center" vertical="center"/>
    </xf>
    <xf numFmtId="0" fontId="38" fillId="28" borderId="44" xfId="43" applyFont="1" applyFill="1" applyBorder="1" applyAlignment="1">
      <alignment horizontal="center" vertical="center" wrapText="1"/>
    </xf>
    <xf numFmtId="0" fontId="38" fillId="28" borderId="12" xfId="43" applyFont="1" applyFill="1" applyBorder="1" applyAlignment="1">
      <alignment horizontal="center" vertical="center" wrapText="1"/>
    </xf>
    <xf numFmtId="0" fontId="38" fillId="28" borderId="50" xfId="43" applyFont="1" applyFill="1" applyBorder="1" applyAlignment="1">
      <alignment horizontal="center" vertical="center" wrapText="1"/>
    </xf>
    <xf numFmtId="0" fontId="38" fillId="28" borderId="45" xfId="43" applyFont="1" applyFill="1" applyBorder="1" applyAlignment="1">
      <alignment horizontal="center" vertical="center" wrapText="1"/>
    </xf>
    <xf numFmtId="0" fontId="38" fillId="28" borderId="0" xfId="43" applyFont="1" applyFill="1" applyAlignment="1">
      <alignment horizontal="center" vertical="center" wrapText="1"/>
    </xf>
    <xf numFmtId="0" fontId="38" fillId="28" borderId="51" xfId="43" applyFont="1" applyFill="1" applyBorder="1" applyAlignment="1">
      <alignment horizontal="center" vertical="center" wrapText="1"/>
    </xf>
    <xf numFmtId="0" fontId="38" fillId="28" borderId="47" xfId="43" applyFont="1" applyFill="1" applyBorder="1" applyAlignment="1">
      <alignment horizontal="center" vertical="center" wrapText="1"/>
    </xf>
    <xf numFmtId="0" fontId="38" fillId="28" borderId="13" xfId="43" applyFont="1" applyFill="1" applyBorder="1" applyAlignment="1">
      <alignment horizontal="center" vertical="center" wrapText="1"/>
    </xf>
    <xf numFmtId="0" fontId="38" fillId="28" borderId="52" xfId="43" applyFont="1" applyFill="1" applyBorder="1" applyAlignment="1">
      <alignment horizontal="center" vertical="center" wrapText="1"/>
    </xf>
    <xf numFmtId="0" fontId="38" fillId="28" borderId="88" xfId="43" applyFont="1" applyFill="1" applyBorder="1" applyAlignment="1">
      <alignment horizontal="center" vertical="center" wrapText="1"/>
    </xf>
    <xf numFmtId="0" fontId="38" fillId="31" borderId="82" xfId="43" applyFont="1" applyFill="1" applyBorder="1" applyAlignment="1">
      <alignment horizontal="center" vertical="center" wrapText="1"/>
    </xf>
    <xf numFmtId="0" fontId="38" fillId="31" borderId="0" xfId="43" applyFont="1" applyFill="1" applyAlignment="1">
      <alignment horizontal="center" vertical="center" wrapText="1"/>
    </xf>
    <xf numFmtId="0" fontId="38" fillId="31" borderId="89" xfId="43" applyFont="1" applyFill="1" applyBorder="1" applyAlignment="1">
      <alignment horizontal="center" vertical="center" wrapText="1"/>
    </xf>
    <xf numFmtId="0" fontId="38" fillId="29" borderId="82" xfId="43" applyFont="1" applyFill="1" applyBorder="1" applyAlignment="1">
      <alignment horizontal="center" vertical="center" wrapText="1"/>
    </xf>
    <xf numFmtId="0" fontId="38" fillId="29" borderId="0" xfId="43" applyFont="1" applyFill="1" applyAlignment="1">
      <alignment horizontal="center" vertical="center" wrapText="1"/>
    </xf>
    <xf numFmtId="0" fontId="38" fillId="29" borderId="89" xfId="43" applyFont="1" applyFill="1" applyBorder="1" applyAlignment="1">
      <alignment horizontal="center" vertical="center" wrapText="1"/>
    </xf>
    <xf numFmtId="0" fontId="22" fillId="28" borderId="45" xfId="48" applyFill="1" applyBorder="1" applyAlignment="1">
      <alignment horizontal="center" vertical="center" wrapText="1"/>
    </xf>
    <xf numFmtId="0" fontId="22" fillId="28" borderId="0" xfId="48" applyFill="1" applyAlignment="1">
      <alignment horizontal="center" vertical="center" wrapText="1"/>
    </xf>
    <xf numFmtId="0" fontId="22" fillId="28" borderId="89" xfId="48" applyFill="1" applyBorder="1" applyAlignment="1">
      <alignment horizontal="center" vertical="center" wrapText="1"/>
    </xf>
    <xf numFmtId="0" fontId="22" fillId="28" borderId="47" xfId="48" applyFill="1" applyBorder="1" applyAlignment="1">
      <alignment horizontal="center" vertical="center" wrapText="1"/>
    </xf>
    <xf numFmtId="0" fontId="22" fillId="28" borderId="13" xfId="48" applyFill="1" applyBorder="1" applyAlignment="1">
      <alignment horizontal="center" vertical="center" wrapText="1"/>
    </xf>
    <xf numFmtId="0" fontId="22" fillId="28" borderId="93" xfId="48" applyFill="1" applyBorder="1" applyAlignment="1">
      <alignment horizontal="center" vertical="center" wrapText="1"/>
    </xf>
    <xf numFmtId="0" fontId="22" fillId="31" borderId="82" xfId="48" applyFill="1" applyBorder="1" applyAlignment="1">
      <alignment horizontal="center" vertical="center" wrapText="1"/>
    </xf>
    <xf numFmtId="0" fontId="22" fillId="31" borderId="0" xfId="48" applyFill="1" applyAlignment="1">
      <alignment horizontal="center" vertical="center" wrapText="1"/>
    </xf>
    <xf numFmtId="0" fontId="22" fillId="31" borderId="89" xfId="48" applyFill="1" applyBorder="1" applyAlignment="1">
      <alignment horizontal="center" vertical="center" wrapText="1"/>
    </xf>
    <xf numFmtId="0" fontId="22" fillId="31" borderId="83" xfId="48" applyFill="1" applyBorder="1" applyAlignment="1">
      <alignment horizontal="center" vertical="center" wrapText="1"/>
    </xf>
    <xf numFmtId="0" fontId="22" fillId="31" borderId="13" xfId="48" applyFill="1" applyBorder="1" applyAlignment="1">
      <alignment horizontal="center" vertical="center" wrapText="1"/>
    </xf>
    <xf numFmtId="0" fontId="22" fillId="31" borderId="93" xfId="48" applyFill="1" applyBorder="1" applyAlignment="1">
      <alignment horizontal="center" vertical="center" wrapText="1"/>
    </xf>
    <xf numFmtId="0" fontId="33" fillId="26" borderId="44" xfId="43" applyFont="1" applyFill="1" applyBorder="1" applyAlignment="1">
      <alignment horizontal="center" vertical="center"/>
    </xf>
    <xf numFmtId="0" fontId="33" fillId="26" borderId="88" xfId="43" applyFont="1" applyFill="1" applyBorder="1" applyAlignment="1">
      <alignment horizontal="center" vertical="center"/>
    </xf>
    <xf numFmtId="0" fontId="33" fillId="26" borderId="45" xfId="43" applyFont="1" applyFill="1" applyBorder="1" applyAlignment="1">
      <alignment horizontal="center" vertical="center"/>
    </xf>
    <xf numFmtId="0" fontId="33" fillId="26" borderId="89" xfId="43" applyFont="1" applyFill="1" applyBorder="1" applyAlignment="1">
      <alignment horizontal="center" vertical="center"/>
    </xf>
    <xf numFmtId="0" fontId="33" fillId="26" borderId="48" xfId="43" applyFont="1" applyFill="1" applyBorder="1" applyAlignment="1">
      <alignment horizontal="center" vertical="center"/>
    </xf>
    <xf numFmtId="0" fontId="33" fillId="26" borderId="94" xfId="43" applyFont="1" applyFill="1" applyBorder="1" applyAlignment="1">
      <alignment horizontal="center" vertical="center"/>
    </xf>
    <xf numFmtId="0" fontId="36" fillId="0" borderId="53" xfId="43" applyFont="1" applyBorder="1" applyAlignment="1">
      <alignment horizontal="left" vertical="center" wrapText="1"/>
    </xf>
    <xf numFmtId="0" fontId="36" fillId="0" borderId="79" xfId="43" applyFont="1" applyBorder="1" applyAlignment="1">
      <alignment horizontal="left" vertical="center" wrapText="1"/>
    </xf>
    <xf numFmtId="0" fontId="33" fillId="26" borderId="49" xfId="43" applyFont="1" applyFill="1" applyBorder="1" applyAlignment="1">
      <alignment horizontal="center" vertical="center"/>
    </xf>
    <xf numFmtId="0" fontId="43" fillId="0" borderId="0" xfId="43" applyFont="1" applyAlignment="1">
      <alignment horizontal="left" vertical="center"/>
    </xf>
    <xf numFmtId="0" fontId="50" fillId="0" borderId="116" xfId="43" applyFont="1" applyBorder="1" applyAlignment="1">
      <alignment horizontal="left" vertical="center"/>
    </xf>
    <xf numFmtId="0" fontId="50" fillId="0" borderId="76" xfId="43" applyFont="1" applyBorder="1" applyAlignment="1">
      <alignment horizontal="left" vertical="center"/>
    </xf>
    <xf numFmtId="0" fontId="50" fillId="0" borderId="118" xfId="43" applyFont="1" applyBorder="1" applyAlignment="1">
      <alignment horizontal="left" vertical="center"/>
    </xf>
    <xf numFmtId="0" fontId="30" fillId="0" borderId="91" xfId="43" applyFont="1" applyBorder="1" applyAlignment="1">
      <alignment horizontal="left" vertical="center" wrapText="1"/>
    </xf>
    <xf numFmtId="0" fontId="30" fillId="0" borderId="12" xfId="43" applyFont="1" applyBorder="1" applyAlignment="1">
      <alignment horizontal="left" vertical="center" wrapText="1"/>
    </xf>
    <xf numFmtId="0" fontId="30" fillId="0" borderId="88" xfId="43" applyFont="1" applyBorder="1" applyAlignment="1">
      <alignment horizontal="left" vertical="center" wrapText="1"/>
    </xf>
    <xf numFmtId="0" fontId="30" fillId="0" borderId="82" xfId="43" applyFont="1" applyBorder="1" applyAlignment="1">
      <alignment horizontal="left" vertical="center" wrapText="1"/>
    </xf>
    <xf numFmtId="0" fontId="30" fillId="0" borderId="89" xfId="43" applyFont="1" applyBorder="1" applyAlignment="1">
      <alignment horizontal="left" vertical="center" wrapText="1"/>
    </xf>
    <xf numFmtId="0" fontId="30" fillId="0" borderId="92" xfId="43" applyFont="1" applyBorder="1" applyAlignment="1">
      <alignment horizontal="left" vertical="center" wrapText="1"/>
    </xf>
    <xf numFmtId="0" fontId="30" fillId="0" borderId="94" xfId="43" applyFont="1" applyBorder="1" applyAlignment="1">
      <alignment horizontal="left" vertical="center" wrapText="1"/>
    </xf>
    <xf numFmtId="0" fontId="22" fillId="30" borderId="47" xfId="43" applyFill="1" applyBorder="1" applyAlignment="1">
      <alignment horizontal="center" vertical="center"/>
    </xf>
    <xf numFmtId="0" fontId="22" fillId="30" borderId="93" xfId="43" applyFill="1" applyBorder="1" applyAlignment="1">
      <alignment horizontal="center" vertical="center"/>
    </xf>
    <xf numFmtId="0" fontId="36" fillId="0" borderId="45" xfId="43" applyFont="1" applyBorder="1" applyAlignment="1">
      <alignment horizontal="left" vertical="center" wrapText="1"/>
    </xf>
    <xf numFmtId="0" fontId="36" fillId="0" borderId="28" xfId="43" applyFont="1" applyBorder="1" applyAlignment="1">
      <alignment horizontal="left" vertical="center" wrapText="1"/>
    </xf>
    <xf numFmtId="0" fontId="36" fillId="0" borderId="77" xfId="43" applyFont="1" applyBorder="1" applyAlignment="1">
      <alignment horizontal="left" vertical="center" wrapText="1"/>
    </xf>
    <xf numFmtId="0" fontId="36" fillId="0" borderId="78" xfId="43" applyFont="1" applyBorder="1" applyAlignment="1">
      <alignment horizontal="left" vertical="center" wrapText="1"/>
    </xf>
    <xf numFmtId="0" fontId="30" fillId="0" borderId="44" xfId="43" applyFont="1" applyBorder="1" applyAlignment="1">
      <alignment horizontal="center" vertical="center"/>
    </xf>
    <xf numFmtId="0" fontId="30" fillId="0" borderId="88" xfId="43" applyFont="1" applyBorder="1" applyAlignment="1">
      <alignment horizontal="center" vertical="center"/>
    </xf>
    <xf numFmtId="0" fontId="30" fillId="0" borderId="45" xfId="43" applyFont="1" applyBorder="1" applyAlignment="1">
      <alignment horizontal="center" vertical="center"/>
    </xf>
    <xf numFmtId="0" fontId="30" fillId="0" borderId="89" xfId="43" applyFont="1" applyBorder="1" applyAlignment="1">
      <alignment horizontal="center" vertical="center"/>
    </xf>
    <xf numFmtId="0" fontId="22" fillId="0" borderId="45" xfId="43" applyBorder="1" applyAlignment="1">
      <alignment horizontal="left" vertical="top" shrinkToFit="1"/>
    </xf>
    <xf numFmtId="0" fontId="22" fillId="0" borderId="0" xfId="43" applyAlignment="1">
      <alignment horizontal="left" vertical="top" shrinkToFit="1"/>
    </xf>
    <xf numFmtId="0" fontId="22" fillId="0" borderId="51" xfId="43" applyBorder="1" applyAlignment="1">
      <alignment horizontal="left" vertical="top" shrinkToFit="1"/>
    </xf>
    <xf numFmtId="0" fontId="22" fillId="26" borderId="44" xfId="43" applyFill="1" applyBorder="1" applyAlignment="1">
      <alignment horizontal="center" vertical="center"/>
    </xf>
    <xf numFmtId="0" fontId="22" fillId="26" borderId="88" xfId="43" applyFill="1" applyBorder="1" applyAlignment="1">
      <alignment horizontal="center" vertical="center"/>
    </xf>
    <xf numFmtId="0" fontId="36" fillId="0" borderId="13" xfId="43" applyFont="1" applyBorder="1" applyAlignment="1">
      <alignment horizontal="left" vertical="center" wrapText="1"/>
    </xf>
    <xf numFmtId="0" fontId="36" fillId="0" borderId="52" xfId="43" applyFont="1" applyBorder="1" applyAlignment="1">
      <alignment horizontal="left" vertical="center" wrapText="1"/>
    </xf>
    <xf numFmtId="0" fontId="22" fillId="0" borderId="44" xfId="43" applyBorder="1" applyAlignment="1">
      <alignment horizontal="left" vertical="top" shrinkToFit="1"/>
    </xf>
    <xf numFmtId="0" fontId="22" fillId="0" borderId="12" xfId="43" applyBorder="1" applyAlignment="1">
      <alignment horizontal="left" vertical="top" shrinkToFit="1"/>
    </xf>
    <xf numFmtId="0" fontId="22" fillId="0" borderId="50" xfId="43" applyBorder="1" applyAlignment="1">
      <alignment horizontal="left" vertical="top" shrinkToFit="1"/>
    </xf>
    <xf numFmtId="0" fontId="36" fillId="0" borderId="44" xfId="43" applyFont="1" applyBorder="1" applyAlignment="1">
      <alignment horizontal="left" vertical="center" wrapText="1"/>
    </xf>
    <xf numFmtId="0" fontId="36" fillId="0" borderId="12" xfId="48" applyFont="1" applyBorder="1" applyAlignment="1">
      <alignment horizontal="left" vertical="center" wrapText="1"/>
    </xf>
    <xf numFmtId="0" fontId="36" fillId="0" borderId="50" xfId="48" applyFont="1" applyBorder="1" applyAlignment="1">
      <alignment horizontal="left" vertical="center" wrapText="1"/>
    </xf>
    <xf numFmtId="0" fontId="36" fillId="0" borderId="45" xfId="48" applyFont="1" applyBorder="1" applyAlignment="1">
      <alignment horizontal="left" vertical="center" wrapText="1"/>
    </xf>
    <xf numFmtId="0" fontId="36" fillId="0" borderId="0" xfId="48" applyFont="1" applyAlignment="1">
      <alignment horizontal="left" vertical="center" wrapText="1"/>
    </xf>
    <xf numFmtId="0" fontId="36" fillId="0" borderId="51" xfId="48" applyFont="1" applyBorder="1" applyAlignment="1">
      <alignment horizontal="left" vertical="center" wrapText="1"/>
    </xf>
    <xf numFmtId="0" fontId="36" fillId="0" borderId="48" xfId="48" applyFont="1" applyBorder="1" applyAlignment="1">
      <alignment horizontal="left" vertical="center" wrapText="1"/>
    </xf>
    <xf numFmtId="0" fontId="36" fillId="0" borderId="53" xfId="48" applyFont="1" applyBorder="1" applyAlignment="1">
      <alignment horizontal="left" vertical="center" wrapText="1"/>
    </xf>
    <xf numFmtId="0" fontId="36" fillId="0" borderId="79" xfId="48" applyFont="1" applyBorder="1" applyAlignment="1">
      <alignment horizontal="left" vertical="center" wrapText="1"/>
    </xf>
    <xf numFmtId="0" fontId="36" fillId="0" borderId="12" xfId="43" applyFont="1" applyBorder="1" applyAlignment="1">
      <alignment horizontal="left" vertical="center" wrapText="1"/>
    </xf>
    <xf numFmtId="0" fontId="36" fillId="0" borderId="50" xfId="43" applyFont="1" applyBorder="1" applyAlignment="1">
      <alignment horizontal="left" vertical="center" wrapText="1"/>
    </xf>
    <xf numFmtId="0" fontId="30" fillId="0" borderId="84" xfId="43" applyFont="1" applyBorder="1" applyAlignment="1">
      <alignment horizontal="center" vertical="center" wrapText="1"/>
    </xf>
    <xf numFmtId="0" fontId="30" fillId="0" borderId="85" xfId="43" applyFont="1" applyBorder="1" applyAlignment="1">
      <alignment horizontal="center" vertical="center" wrapText="1"/>
    </xf>
    <xf numFmtId="0" fontId="30" fillId="0" borderId="95" xfId="43" applyFont="1" applyBorder="1" applyAlignment="1">
      <alignment horizontal="center" vertical="center" wrapText="1"/>
    </xf>
    <xf numFmtId="0" fontId="36" fillId="0" borderId="48" xfId="43" applyFont="1" applyBorder="1" applyAlignment="1">
      <alignment horizontal="left" vertical="center" wrapText="1"/>
    </xf>
    <xf numFmtId="0" fontId="36" fillId="0" borderId="0" xfId="43" applyFont="1" applyAlignment="1">
      <alignment horizontal="left" vertical="center"/>
    </xf>
    <xf numFmtId="0" fontId="36" fillId="0" borderId="51" xfId="43" applyFont="1" applyBorder="1" applyAlignment="1">
      <alignment horizontal="left" vertical="center"/>
    </xf>
    <xf numFmtId="0" fontId="36" fillId="0" borderId="47" xfId="43" applyFont="1" applyBorder="1" applyAlignment="1">
      <alignment horizontal="left" vertical="center" wrapText="1"/>
    </xf>
    <xf numFmtId="0" fontId="22" fillId="30" borderId="11" xfId="43" applyFill="1" applyBorder="1" applyAlignment="1">
      <alignment horizontal="center" vertical="center"/>
    </xf>
    <xf numFmtId="0" fontId="22" fillId="30" borderId="90" xfId="43" applyFill="1" applyBorder="1" applyAlignment="1">
      <alignment horizontal="center" vertical="center"/>
    </xf>
    <xf numFmtId="0" fontId="30" fillId="0" borderId="47" xfId="43" applyFont="1" applyBorder="1" applyAlignment="1">
      <alignment horizontal="center" vertical="center"/>
    </xf>
    <xf numFmtId="0" fontId="30" fillId="0" borderId="93" xfId="43" applyFont="1" applyBorder="1" applyAlignment="1">
      <alignment horizontal="center" vertical="center"/>
    </xf>
    <xf numFmtId="0" fontId="36" fillId="0" borderId="47" xfId="48" applyFont="1" applyBorder="1" applyAlignment="1">
      <alignment horizontal="left" vertical="center" wrapText="1"/>
    </xf>
    <xf numFmtId="0" fontId="36" fillId="0" borderId="13" xfId="48" applyFont="1" applyBorder="1" applyAlignment="1">
      <alignment horizontal="left" vertical="center" wrapText="1"/>
    </xf>
    <xf numFmtId="0" fontId="36" fillId="0" borderId="52" xfId="48" applyFont="1" applyBorder="1" applyAlignment="1">
      <alignment horizontal="left" vertical="center" wrapText="1"/>
    </xf>
    <xf numFmtId="0" fontId="30" fillId="0" borderId="86" xfId="43" applyFont="1" applyBorder="1" applyAlignment="1">
      <alignment horizontal="center" vertical="center" wrapText="1"/>
    </xf>
    <xf numFmtId="0" fontId="33" fillId="26" borderId="47" xfId="43" applyFont="1" applyFill="1" applyBorder="1" applyAlignment="1">
      <alignment horizontal="center" vertical="center"/>
    </xf>
    <xf numFmtId="0" fontId="33" fillId="26" borderId="93" xfId="43" applyFont="1" applyFill="1" applyBorder="1" applyAlignment="1">
      <alignment horizontal="center" vertical="center"/>
    </xf>
    <xf numFmtId="0" fontId="30" fillId="0" borderId="83" xfId="43" applyFont="1" applyBorder="1" applyAlignment="1">
      <alignment horizontal="left" vertical="center" wrapText="1"/>
    </xf>
    <xf numFmtId="0" fontId="30" fillId="0" borderId="93" xfId="43" applyFont="1" applyBorder="1" applyAlignment="1">
      <alignment horizontal="left" vertical="center" wrapText="1"/>
    </xf>
    <xf numFmtId="0" fontId="36" fillId="0" borderId="12" xfId="43" applyFont="1" applyBorder="1" applyAlignment="1">
      <alignment horizontal="left" vertical="center"/>
    </xf>
    <xf numFmtId="0" fontId="36" fillId="0" borderId="50" xfId="43" applyFont="1" applyBorder="1" applyAlignment="1">
      <alignment horizontal="left" vertical="center"/>
    </xf>
    <xf numFmtId="0" fontId="22" fillId="28" borderId="84" xfId="43" applyFill="1" applyBorder="1" applyAlignment="1">
      <alignment horizontal="center" vertical="center" wrapText="1"/>
    </xf>
    <xf numFmtId="0" fontId="22" fillId="28" borderId="85" xfId="43" applyFill="1" applyBorder="1" applyAlignment="1">
      <alignment horizontal="center" vertical="center" wrapText="1"/>
    </xf>
    <xf numFmtId="0" fontId="22" fillId="28" borderId="86" xfId="43" applyFill="1" applyBorder="1" applyAlignment="1">
      <alignment horizontal="center" vertical="center" wrapText="1"/>
    </xf>
    <xf numFmtId="0" fontId="38" fillId="31" borderId="91" xfId="43" applyFont="1" applyFill="1" applyBorder="1" applyAlignment="1">
      <alignment horizontal="center" vertical="top" wrapText="1"/>
    </xf>
    <xf numFmtId="0" fontId="38" fillId="31" borderId="12" xfId="43" applyFont="1" applyFill="1" applyBorder="1" applyAlignment="1">
      <alignment horizontal="center" vertical="top" wrapText="1"/>
    </xf>
    <xf numFmtId="0" fontId="38" fillId="31" borderId="88" xfId="43" applyFont="1" applyFill="1" applyBorder="1" applyAlignment="1">
      <alignment horizontal="center" vertical="top" wrapText="1"/>
    </xf>
    <xf numFmtId="0" fontId="38" fillId="29" borderId="91" xfId="43" applyFont="1" applyFill="1" applyBorder="1" applyAlignment="1">
      <alignment horizontal="center" vertical="center" wrapText="1"/>
    </xf>
    <xf numFmtId="0" fontId="38" fillId="29" borderId="12" xfId="43" applyFont="1" applyFill="1" applyBorder="1" applyAlignment="1">
      <alignment horizontal="center" vertical="center" wrapText="1"/>
    </xf>
    <xf numFmtId="0" fontId="38" fillId="29" borderId="50" xfId="43" applyFont="1" applyFill="1" applyBorder="1" applyAlignment="1">
      <alignment horizontal="center" vertical="center" wrapText="1"/>
    </xf>
    <xf numFmtId="0" fontId="22" fillId="28" borderId="51" xfId="48" applyFill="1" applyBorder="1" applyAlignment="1">
      <alignment horizontal="center" vertical="center" wrapText="1"/>
    </xf>
    <xf numFmtId="0" fontId="22" fillId="28" borderId="52" xfId="48" applyFill="1" applyBorder="1" applyAlignment="1">
      <alignment horizontal="center" vertical="center" wrapText="1"/>
    </xf>
    <xf numFmtId="0" fontId="36" fillId="31" borderId="116" xfId="43" applyFont="1" applyFill="1" applyBorder="1" applyAlignment="1">
      <alignment horizontal="center" vertical="center"/>
    </xf>
    <xf numFmtId="0" fontId="36" fillId="31" borderId="76" xfId="43" applyFont="1" applyFill="1" applyBorder="1" applyAlignment="1">
      <alignment horizontal="center" vertical="center"/>
    </xf>
    <xf numFmtId="0" fontId="36" fillId="31" borderId="117" xfId="43" applyFont="1" applyFill="1" applyBorder="1" applyAlignment="1">
      <alignment horizontal="center" vertical="center"/>
    </xf>
    <xf numFmtId="178" fontId="36" fillId="0" borderId="75" xfId="43" applyNumberFormat="1" applyFont="1" applyBorder="1" applyAlignment="1">
      <alignment horizontal="center" vertical="center"/>
    </xf>
    <xf numFmtId="178" fontId="36" fillId="0" borderId="76" xfId="43" applyNumberFormat="1" applyFont="1" applyBorder="1" applyAlignment="1">
      <alignment horizontal="center" vertical="center"/>
    </xf>
    <xf numFmtId="178" fontId="36" fillId="0" borderId="117" xfId="43" applyNumberFormat="1" applyFont="1" applyBorder="1" applyAlignment="1">
      <alignment horizontal="center" vertical="center"/>
    </xf>
    <xf numFmtId="0" fontId="36" fillId="31" borderId="75" xfId="48" applyFont="1" applyFill="1" applyBorder="1" applyAlignment="1">
      <alignment horizontal="center" vertical="center"/>
    </xf>
    <xf numFmtId="0" fontId="36" fillId="31" borderId="76" xfId="48" applyFont="1" applyFill="1" applyBorder="1" applyAlignment="1">
      <alignment horizontal="center" vertical="center"/>
    </xf>
    <xf numFmtId="0" fontId="36" fillId="31" borderId="117" xfId="48" applyFont="1" applyFill="1" applyBorder="1" applyAlignment="1">
      <alignment horizontal="center" vertical="center"/>
    </xf>
    <xf numFmtId="0" fontId="30" fillId="0" borderId="75" xfId="48" applyFont="1" applyBorder="1" applyAlignment="1">
      <alignment horizontal="center" vertical="center"/>
    </xf>
    <xf numFmtId="0" fontId="30" fillId="0" borderId="76" xfId="48" applyFont="1" applyBorder="1" applyAlignment="1">
      <alignment horizontal="center" vertical="center"/>
    </xf>
    <xf numFmtId="0" fontId="30" fillId="0" borderId="118" xfId="48" applyFont="1" applyBorder="1" applyAlignment="1">
      <alignment horizontal="center" vertical="center"/>
    </xf>
    <xf numFmtId="0" fontId="43" fillId="0" borderId="53" xfId="43" applyFont="1" applyBorder="1" applyAlignment="1">
      <alignment horizontal="left" vertical="center"/>
    </xf>
    <xf numFmtId="0" fontId="22" fillId="28" borderId="16" xfId="43" applyFill="1" applyBorder="1" applyAlignment="1">
      <alignment horizontal="center" vertical="center"/>
    </xf>
    <xf numFmtId="0" fontId="22" fillId="28" borderId="17" xfId="43" applyFill="1" applyBorder="1" applyAlignment="1">
      <alignment horizontal="center" vertical="center"/>
    </xf>
    <xf numFmtId="0" fontId="22" fillId="28" borderId="19" xfId="43" applyFill="1" applyBorder="1" applyAlignment="1">
      <alignment horizontal="center" vertical="center"/>
    </xf>
    <xf numFmtId="0" fontId="22" fillId="31" borderId="97" xfId="43" applyFill="1" applyBorder="1" applyAlignment="1">
      <alignment horizontal="center" vertical="center"/>
    </xf>
    <xf numFmtId="0" fontId="22" fillId="31" borderId="54" xfId="43" applyFill="1" applyBorder="1" applyAlignment="1">
      <alignment horizontal="center" vertical="center"/>
    </xf>
    <xf numFmtId="0" fontId="22" fillId="31" borderId="106" xfId="43" applyFill="1" applyBorder="1" applyAlignment="1">
      <alignment horizontal="center" vertical="center"/>
    </xf>
    <xf numFmtId="0" fontId="36" fillId="29" borderId="97" xfId="43" applyFont="1" applyFill="1" applyBorder="1" applyAlignment="1">
      <alignment horizontal="center" vertical="center"/>
    </xf>
    <xf numFmtId="0" fontId="36" fillId="29" borderId="54" xfId="43" applyFont="1" applyFill="1" applyBorder="1" applyAlignment="1">
      <alignment horizontal="center" vertical="center"/>
    </xf>
    <xf numFmtId="0" fontId="36" fillId="29" borderId="55" xfId="43" applyFont="1" applyFill="1" applyBorder="1" applyAlignment="1">
      <alignment horizontal="center" vertical="center"/>
    </xf>
    <xf numFmtId="0" fontId="22" fillId="30" borderId="96" xfId="43" applyFill="1" applyBorder="1" applyAlignment="1">
      <alignment horizontal="center" vertical="center" wrapText="1"/>
    </xf>
    <xf numFmtId="0" fontId="22" fillId="30" borderId="74" xfId="43" applyFill="1" applyBorder="1" applyAlignment="1">
      <alignment horizontal="center" vertical="center" wrapText="1"/>
    </xf>
    <xf numFmtId="0" fontId="22" fillId="30" borderId="45" xfId="43" applyFill="1" applyBorder="1" applyAlignment="1">
      <alignment horizontal="center" vertical="center" wrapText="1"/>
    </xf>
    <xf numFmtId="0" fontId="22" fillId="30" borderId="89" xfId="43" applyFill="1" applyBorder="1" applyAlignment="1">
      <alignment horizontal="center" vertical="center" wrapText="1"/>
    </xf>
    <xf numFmtId="0" fontId="22" fillId="30" borderId="47" xfId="43" applyFill="1" applyBorder="1" applyAlignment="1">
      <alignment horizontal="center" vertical="center" wrapText="1"/>
    </xf>
    <xf numFmtId="0" fontId="22" fillId="30" borderId="93" xfId="43" applyFill="1" applyBorder="1" applyAlignment="1">
      <alignment horizontal="center" vertical="center" wrapText="1"/>
    </xf>
    <xf numFmtId="0" fontId="22" fillId="28" borderId="45" xfId="43" applyFill="1" applyBorder="1" applyAlignment="1">
      <alignment horizontal="center" vertical="center" wrapText="1"/>
    </xf>
    <xf numFmtId="0" fontId="22" fillId="28" borderId="0" xfId="43" applyFill="1" applyAlignment="1">
      <alignment horizontal="center" vertical="center" wrapText="1"/>
    </xf>
    <xf numFmtId="0" fontId="22" fillId="28" borderId="51" xfId="43" applyFill="1" applyBorder="1" applyAlignment="1">
      <alignment horizontal="center" vertical="center" wrapText="1"/>
    </xf>
    <xf numFmtId="0" fontId="22" fillId="28" borderId="47" xfId="43" applyFill="1" applyBorder="1" applyAlignment="1">
      <alignment horizontal="center" vertical="center" wrapText="1"/>
    </xf>
    <xf numFmtId="0" fontId="22" fillId="28" borderId="13" xfId="43" applyFill="1" applyBorder="1" applyAlignment="1">
      <alignment horizontal="center" vertical="center" wrapText="1"/>
    </xf>
    <xf numFmtId="0" fontId="22" fillId="28" borderId="52" xfId="43" applyFill="1" applyBorder="1" applyAlignment="1">
      <alignment horizontal="center" vertical="center" wrapText="1"/>
    </xf>
    <xf numFmtId="0" fontId="22" fillId="31" borderId="82" xfId="43" applyFill="1" applyBorder="1" applyAlignment="1">
      <alignment horizontal="center" vertical="center" wrapText="1"/>
    </xf>
    <xf numFmtId="0" fontId="22" fillId="31" borderId="0" xfId="43" applyFill="1" applyAlignment="1">
      <alignment horizontal="center" vertical="center" wrapText="1"/>
    </xf>
    <xf numFmtId="0" fontId="22" fillId="31" borderId="89" xfId="43" applyFill="1" applyBorder="1" applyAlignment="1">
      <alignment horizontal="center" vertical="center" wrapText="1"/>
    </xf>
    <xf numFmtId="0" fontId="22" fillId="31" borderId="83" xfId="43" applyFill="1" applyBorder="1" applyAlignment="1">
      <alignment horizontal="center" vertical="center" wrapText="1"/>
    </xf>
    <xf numFmtId="0" fontId="22" fillId="31" borderId="13" xfId="43" applyFill="1" applyBorder="1" applyAlignment="1">
      <alignment horizontal="center" vertical="center" wrapText="1"/>
    </xf>
    <xf numFmtId="0" fontId="22" fillId="31" borderId="93" xfId="43" applyFill="1" applyBorder="1" applyAlignment="1">
      <alignment horizontal="center" vertical="center" wrapText="1"/>
    </xf>
    <xf numFmtId="0" fontId="22" fillId="29" borderId="82" xfId="43" applyFill="1" applyBorder="1" applyAlignment="1">
      <alignment horizontal="left" vertical="center" wrapText="1"/>
    </xf>
    <xf numFmtId="0" fontId="22" fillId="29" borderId="0" xfId="43" applyFill="1" applyAlignment="1">
      <alignment horizontal="left" vertical="center"/>
    </xf>
    <xf numFmtId="0" fontId="22" fillId="29" borderId="51" xfId="43" applyFill="1" applyBorder="1" applyAlignment="1">
      <alignment horizontal="left" vertical="center"/>
    </xf>
    <xf numFmtId="0" fontId="22" fillId="29" borderId="83" xfId="43" applyFill="1" applyBorder="1" applyAlignment="1">
      <alignment horizontal="left" vertical="center"/>
    </xf>
    <xf numFmtId="0" fontId="22" fillId="29" borderId="13" xfId="43" applyFill="1" applyBorder="1" applyAlignment="1">
      <alignment horizontal="left" vertical="center"/>
    </xf>
    <xf numFmtId="0" fontId="22" fillId="29" borderId="52" xfId="43" applyFill="1" applyBorder="1" applyAlignment="1">
      <alignment horizontal="left" vertical="center"/>
    </xf>
    <xf numFmtId="0" fontId="36" fillId="28" borderId="16" xfId="43" applyFont="1" applyFill="1" applyBorder="1" applyAlignment="1">
      <alignment horizontal="center" vertical="center"/>
    </xf>
    <xf numFmtId="0" fontId="36" fillId="28" borderId="17" xfId="43" applyFont="1" applyFill="1" applyBorder="1" applyAlignment="1">
      <alignment horizontal="center" vertical="center"/>
    </xf>
    <xf numFmtId="0" fontId="30" fillId="0" borderId="54" xfId="43" applyFont="1" applyBorder="1" applyAlignment="1">
      <alignment horizontal="center" vertical="center"/>
    </xf>
    <xf numFmtId="0" fontId="30" fillId="0" borderId="55" xfId="43" applyFont="1" applyBorder="1" applyAlignment="1">
      <alignment horizontal="center" vertical="center"/>
    </xf>
    <xf numFmtId="0" fontId="30" fillId="0" borderId="106" xfId="43" applyFont="1" applyBorder="1" applyAlignment="1">
      <alignment horizontal="center" vertical="center"/>
    </xf>
    <xf numFmtId="0" fontId="36" fillId="28" borderId="109" xfId="43" applyFont="1" applyFill="1" applyBorder="1" applyAlignment="1">
      <alignment horizontal="center" vertical="center"/>
    </xf>
    <xf numFmtId="0" fontId="36" fillId="28" borderId="110" xfId="43" applyFont="1" applyFill="1" applyBorder="1" applyAlignment="1">
      <alignment horizontal="center" vertical="center"/>
    </xf>
    <xf numFmtId="0" fontId="30" fillId="0" borderId="111" xfId="43" applyFont="1" applyBorder="1" applyAlignment="1">
      <alignment horizontal="center" vertical="center"/>
    </xf>
    <xf numFmtId="0" fontId="30" fillId="0" borderId="112" xfId="43" applyFont="1" applyBorder="1" applyAlignment="1">
      <alignment horizontal="center" vertical="center"/>
    </xf>
    <xf numFmtId="0" fontId="36" fillId="28" borderId="113" xfId="48" applyFont="1" applyFill="1" applyBorder="1" applyAlignment="1">
      <alignment horizontal="center" vertical="center"/>
    </xf>
    <xf numFmtId="0" fontId="36" fillId="28" borderId="111" xfId="48" applyFont="1" applyFill="1" applyBorder="1" applyAlignment="1">
      <alignment horizontal="center" vertical="center"/>
    </xf>
    <xf numFmtId="0" fontId="36" fillId="28" borderId="112" xfId="48" applyFont="1" applyFill="1" applyBorder="1" applyAlignment="1">
      <alignment horizontal="center" vertical="center"/>
    </xf>
    <xf numFmtId="0" fontId="30" fillId="0" borderId="111" xfId="48" applyFont="1" applyBorder="1" applyAlignment="1">
      <alignment horizontal="center" vertical="center"/>
    </xf>
    <xf numFmtId="0" fontId="30" fillId="0" borderId="114" xfId="48" applyFont="1" applyBorder="1" applyAlignment="1">
      <alignment horizontal="center" vertical="center"/>
    </xf>
    <xf numFmtId="0" fontId="25" fillId="0" borderId="12" xfId="43" applyFont="1" applyBorder="1" applyAlignment="1">
      <alignment horizontal="center" vertical="center" wrapText="1"/>
    </xf>
    <xf numFmtId="0" fontId="25" fillId="0" borderId="50" xfId="43" applyFont="1" applyBorder="1" applyAlignment="1">
      <alignment horizontal="center" vertical="center" wrapText="1"/>
    </xf>
    <xf numFmtId="0" fontId="25" fillId="0" borderId="77" xfId="43" applyFont="1" applyBorder="1" applyAlignment="1">
      <alignment horizontal="center" vertical="center" wrapText="1"/>
    </xf>
    <xf numFmtId="0" fontId="25" fillId="0" borderId="78" xfId="43" applyFont="1" applyBorder="1" applyAlignment="1">
      <alignment horizontal="center" vertical="center" wrapText="1"/>
    </xf>
    <xf numFmtId="0" fontId="25" fillId="0" borderId="62" xfId="47" applyFont="1" applyBorder="1" applyAlignment="1">
      <alignment horizontal="center" vertical="center" wrapText="1"/>
    </xf>
    <xf numFmtId="0" fontId="25" fillId="0" borderId="64" xfId="47" applyFont="1" applyBorder="1" applyAlignment="1">
      <alignment horizontal="center" vertical="center" wrapText="1"/>
    </xf>
    <xf numFmtId="0" fontId="25" fillId="0" borderId="65" xfId="47" applyFont="1" applyBorder="1" applyAlignment="1">
      <alignment horizontal="center" vertical="center" wrapText="1"/>
    </xf>
    <xf numFmtId="0" fontId="25" fillId="0" borderId="67" xfId="47" applyFont="1" applyBorder="1" applyAlignment="1">
      <alignment horizontal="center" vertical="center" wrapText="1"/>
    </xf>
    <xf numFmtId="0" fontId="25" fillId="0" borderId="22" xfId="43" applyFont="1" applyBorder="1" applyAlignment="1">
      <alignment horizontal="center" vertical="center" wrapText="1"/>
    </xf>
    <xf numFmtId="0" fontId="25" fillId="0" borderId="22" xfId="43" applyFont="1" applyBorder="1" applyAlignment="1">
      <alignment horizontal="center" vertical="center"/>
    </xf>
    <xf numFmtId="0" fontId="25" fillId="0" borderId="24" xfId="43" applyFont="1" applyBorder="1" applyAlignment="1">
      <alignment horizontal="center" vertical="center"/>
    </xf>
    <xf numFmtId="0" fontId="25" fillId="0" borderId="100" xfId="43" applyFont="1" applyBorder="1" applyAlignment="1">
      <alignment horizontal="center" vertical="center" shrinkToFit="1"/>
    </xf>
    <xf numFmtId="0" fontId="25" fillId="0" borderId="98" xfId="43" applyFont="1" applyBorder="1" applyAlignment="1">
      <alignment horizontal="center" vertical="center" shrinkToFit="1"/>
    </xf>
    <xf numFmtId="0" fontId="25" fillId="0" borderId="99" xfId="43" applyFont="1" applyBorder="1" applyAlignment="1">
      <alignment horizontal="center" vertical="center" shrinkToFit="1"/>
    </xf>
    <xf numFmtId="0" fontId="25" fillId="0" borderId="47" xfId="43" applyFont="1" applyBorder="1" applyAlignment="1">
      <alignment horizontal="center" vertical="center" shrinkToFit="1"/>
    </xf>
    <xf numFmtId="0" fontId="25" fillId="0" borderId="13" xfId="43" applyFont="1" applyBorder="1" applyAlignment="1">
      <alignment horizontal="center" vertical="center" shrinkToFit="1"/>
    </xf>
    <xf numFmtId="0" fontId="25" fillId="0" borderId="52" xfId="43" applyFont="1" applyBorder="1" applyAlignment="1">
      <alignment horizontal="center" vertical="center" shrinkToFit="1"/>
    </xf>
    <xf numFmtId="0" fontId="25" fillId="0" borderId="98" xfId="43" applyFont="1" applyBorder="1" applyAlignment="1">
      <alignment horizontal="center" vertical="center" wrapText="1"/>
    </xf>
    <xf numFmtId="0" fontId="25" fillId="0" borderId="99" xfId="43" applyFont="1" applyBorder="1" applyAlignment="1">
      <alignment horizontal="center" vertical="center" wrapText="1"/>
    </xf>
    <xf numFmtId="0" fontId="25" fillId="0" borderId="13" xfId="43" applyFont="1" applyBorder="1" applyAlignment="1">
      <alignment horizontal="center" vertical="center" wrapText="1"/>
    </xf>
    <xf numFmtId="0" fontId="25" fillId="0" borderId="52" xfId="43" applyFont="1" applyBorder="1" applyAlignment="1">
      <alignment horizontal="center" vertical="center" wrapText="1"/>
    </xf>
    <xf numFmtId="0" fontId="25" fillId="0" borderId="28" xfId="43" applyFont="1" applyBorder="1" applyAlignment="1">
      <alignment horizontal="center" vertical="center" shrinkToFit="1"/>
    </xf>
    <xf numFmtId="0" fontId="25" fillId="0" borderId="77" xfId="43" applyFont="1" applyBorder="1" applyAlignment="1">
      <alignment horizontal="center" vertical="center" shrinkToFit="1"/>
    </xf>
    <xf numFmtId="0" fontId="25" fillId="0" borderId="78" xfId="43" applyFont="1" applyBorder="1" applyAlignment="1">
      <alignment horizontal="center" vertical="center" shrinkToFit="1"/>
    </xf>
    <xf numFmtId="0" fontId="25" fillId="0" borderId="65" xfId="46" applyFont="1" applyBorder="1" applyAlignment="1" applyProtection="1">
      <alignment horizontal="left" vertical="center" wrapText="1"/>
      <protection locked="0"/>
    </xf>
    <xf numFmtId="0" fontId="25" fillId="0" borderId="66" xfId="46" applyFont="1" applyBorder="1" applyAlignment="1" applyProtection="1">
      <alignment horizontal="left" vertical="center" wrapText="1"/>
      <protection locked="0"/>
    </xf>
    <xf numFmtId="0" fontId="25" fillId="0" borderId="67" xfId="46" applyFont="1" applyBorder="1" applyAlignment="1" applyProtection="1">
      <alignment horizontal="left" vertical="center" wrapText="1"/>
      <protection locked="0"/>
    </xf>
    <xf numFmtId="0" fontId="25" fillId="0" borderId="64" xfId="46" applyFont="1" applyBorder="1" applyAlignment="1" applyProtection="1">
      <alignment horizontal="left" vertical="center" wrapText="1"/>
      <protection locked="0"/>
    </xf>
    <xf numFmtId="9" fontId="25" fillId="0" borderId="62" xfId="47" applyNumberFormat="1" applyFont="1" applyBorder="1" applyAlignment="1">
      <alignment horizontal="center" vertical="center" wrapText="1"/>
    </xf>
    <xf numFmtId="9" fontId="25" fillId="0" borderId="64" xfId="47" applyNumberFormat="1" applyFont="1" applyBorder="1" applyAlignment="1">
      <alignment horizontal="center" vertical="center" wrapText="1"/>
    </xf>
    <xf numFmtId="0" fontId="25" fillId="25" borderId="10" xfId="51" applyFont="1" applyFill="1" applyBorder="1" applyAlignment="1">
      <alignment horizontal="center" vertical="center" wrapText="1"/>
    </xf>
    <xf numFmtId="0" fontId="25" fillId="25" borderId="11" xfId="51" applyFont="1" applyFill="1" applyBorder="1" applyAlignment="1">
      <alignment horizontal="center" vertical="center" wrapText="1"/>
    </xf>
    <xf numFmtId="0" fontId="25" fillId="25" borderId="14" xfId="51" applyFont="1" applyFill="1" applyBorder="1" applyAlignment="1">
      <alignment horizontal="center" vertical="center" wrapText="1"/>
    </xf>
    <xf numFmtId="0" fontId="25" fillId="25" borderId="15" xfId="51" applyFont="1" applyFill="1" applyBorder="1" applyAlignment="1">
      <alignment horizontal="center" vertical="center" wrapText="1"/>
    </xf>
    <xf numFmtId="0" fontId="25" fillId="0" borderId="20" xfId="43" applyFont="1" applyBorder="1" applyAlignment="1">
      <alignment horizontal="center" vertical="center" wrapText="1"/>
    </xf>
    <xf numFmtId="0" fontId="25" fillId="0" borderId="20" xfId="43" applyFont="1" applyBorder="1" applyAlignment="1">
      <alignment horizontal="center" vertical="center"/>
    </xf>
    <xf numFmtId="0" fontId="25" fillId="0" borderId="44" xfId="43" applyFont="1" applyBorder="1" applyAlignment="1">
      <alignment horizontal="center" vertical="center" wrapText="1"/>
    </xf>
    <xf numFmtId="0" fontId="25" fillId="0" borderId="28" xfId="43" applyFont="1" applyBorder="1" applyAlignment="1">
      <alignment horizontal="center" vertical="center" wrapText="1"/>
    </xf>
    <xf numFmtId="0" fontId="25" fillId="0" borderId="59" xfId="47" applyFont="1" applyBorder="1" applyAlignment="1">
      <alignment horizontal="center" vertical="center" wrapText="1"/>
    </xf>
    <xf numFmtId="0" fontId="25" fillId="0" borderId="61" xfId="47" applyFont="1" applyBorder="1" applyAlignment="1">
      <alignment horizontal="center" vertical="center" wrapText="1"/>
    </xf>
    <xf numFmtId="0" fontId="25" fillId="24" borderId="11" xfId="46" applyFont="1" applyFill="1" applyBorder="1" applyAlignment="1" applyProtection="1">
      <alignment horizontal="center" vertical="center" wrapText="1"/>
      <protection locked="0"/>
    </xf>
    <xf numFmtId="0" fontId="25" fillId="24" borderId="14" xfId="46" applyFont="1" applyFill="1" applyBorder="1" applyAlignment="1" applyProtection="1">
      <alignment horizontal="center" vertical="center" wrapText="1"/>
      <protection locked="0"/>
    </xf>
    <xf numFmtId="0" fontId="25" fillId="24" borderId="15" xfId="46" applyFont="1" applyFill="1" applyBorder="1" applyAlignment="1" applyProtection="1">
      <alignment horizontal="center" vertical="center" wrapText="1"/>
      <protection locked="0"/>
    </xf>
    <xf numFmtId="0" fontId="25" fillId="25" borderId="11" xfId="51" applyFont="1" applyFill="1" applyBorder="1" applyAlignment="1">
      <alignment horizontal="center" vertical="center" shrinkToFit="1"/>
    </xf>
    <xf numFmtId="0" fontId="25" fillId="25" borderId="15" xfId="51" applyFont="1" applyFill="1" applyBorder="1" applyAlignment="1">
      <alignment horizontal="center" vertical="center" shrinkToFit="1"/>
    </xf>
    <xf numFmtId="0" fontId="25" fillId="0" borderId="59" xfId="46" applyFont="1" applyBorder="1" applyAlignment="1" applyProtection="1">
      <alignment horizontal="left" vertical="center" wrapText="1"/>
      <protection locked="0"/>
    </xf>
    <xf numFmtId="0" fontId="25" fillId="0" borderId="60" xfId="46" applyFont="1" applyBorder="1" applyAlignment="1" applyProtection="1">
      <alignment horizontal="left" vertical="center" wrapText="1"/>
      <protection locked="0"/>
    </xf>
    <xf numFmtId="0" fontId="25" fillId="0" borderId="61" xfId="46" applyFont="1" applyBorder="1" applyAlignment="1" applyProtection="1">
      <alignment horizontal="left" vertical="center" wrapText="1"/>
      <protection locked="0"/>
    </xf>
    <xf numFmtId="0" fontId="25" fillId="0" borderId="60" xfId="47" applyFont="1" applyBorder="1" applyAlignment="1">
      <alignment horizontal="center" vertical="center" wrapText="1"/>
    </xf>
    <xf numFmtId="0" fontId="45" fillId="0" borderId="0" xfId="43" applyFont="1" applyAlignment="1">
      <alignment horizontal="left"/>
    </xf>
    <xf numFmtId="0" fontId="45" fillId="0" borderId="77" xfId="43" applyFont="1" applyBorder="1" applyAlignment="1">
      <alignment horizontal="left"/>
    </xf>
    <xf numFmtId="0" fontId="25" fillId="0" borderId="100" xfId="43" applyFont="1" applyBorder="1" applyAlignment="1">
      <alignment horizontal="center" vertical="center"/>
    </xf>
    <xf numFmtId="0" fontId="25" fillId="0" borderId="98" xfId="43" applyFont="1" applyBorder="1" applyAlignment="1">
      <alignment horizontal="center" vertical="center"/>
    </xf>
    <xf numFmtId="0" fontId="25" fillId="0" borderId="99" xfId="43" applyFont="1" applyBorder="1" applyAlignment="1">
      <alignment horizontal="center" vertical="center"/>
    </xf>
    <xf numFmtId="0" fontId="25" fillId="0" borderId="47" xfId="43" applyFont="1" applyBorder="1" applyAlignment="1">
      <alignment horizontal="center" vertical="center"/>
    </xf>
    <xf numFmtId="0" fontId="25" fillId="0" borderId="13" xfId="43" applyFont="1" applyBorder="1" applyAlignment="1">
      <alignment horizontal="center" vertical="center"/>
    </xf>
    <xf numFmtId="0" fontId="25" fillId="0" borderId="52" xfId="43" applyFont="1" applyBorder="1" applyAlignment="1">
      <alignment horizontal="center" vertical="center"/>
    </xf>
    <xf numFmtId="0" fontId="25" fillId="0" borderId="100" xfId="43" applyFont="1" applyBorder="1" applyAlignment="1">
      <alignment horizontal="center" vertical="center" wrapText="1"/>
    </xf>
    <xf numFmtId="0" fontId="25" fillId="0" borderId="47" xfId="43" applyFont="1" applyBorder="1" applyAlignment="1">
      <alignment horizontal="center" vertical="center" wrapText="1"/>
    </xf>
    <xf numFmtId="0" fontId="31" fillId="0" borderId="10" xfId="0" applyFont="1" applyBorder="1" applyAlignment="1"/>
    <xf numFmtId="0" fontId="31" fillId="0" borderId="49" xfId="0" applyFont="1" applyBorder="1" applyAlignment="1"/>
    <xf numFmtId="0" fontId="31" fillId="0" borderId="14" xfId="0" applyFont="1" applyBorder="1" applyAlignment="1"/>
    <xf numFmtId="0" fontId="31" fillId="0" borderId="15" xfId="0" applyFont="1" applyBorder="1" applyAlignment="1"/>
    <xf numFmtId="0" fontId="30" fillId="0" borderId="50" xfId="48" applyFont="1" applyBorder="1" applyAlignment="1">
      <alignment vertical="center"/>
    </xf>
    <xf numFmtId="0" fontId="30" fillId="0" borderId="51" xfId="48" applyFont="1" applyBorder="1" applyAlignment="1">
      <alignment vertical="center"/>
    </xf>
    <xf numFmtId="0" fontId="30" fillId="0" borderId="0" xfId="48" applyFont="1" applyAlignment="1">
      <alignment vertical="center"/>
    </xf>
    <xf numFmtId="0" fontId="30" fillId="0" borderId="13" xfId="48" applyFont="1" applyBorder="1" applyAlignment="1">
      <alignment vertical="center"/>
    </xf>
    <xf numFmtId="0" fontId="30" fillId="0" borderId="52" xfId="48" applyFont="1" applyBorder="1" applyAlignment="1">
      <alignment vertical="center"/>
    </xf>
    <xf numFmtId="0" fontId="30" fillId="0" borderId="79" xfId="48" applyFont="1" applyBorder="1" applyAlignment="1">
      <alignment vertical="center"/>
    </xf>
  </cellXfs>
  <cellStyles count="5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2" xfId="53" xr:uid="{00000000-0005-0000-0000-00001B000000}"/>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通貨 2" xfId="40" xr:uid="{00000000-0005-0000-0000-000028000000}"/>
    <cellStyle name="入力" xfId="41" builtinId="20" customBuiltin="1"/>
    <cellStyle name="標準" xfId="0" builtinId="0"/>
    <cellStyle name="標準 2" xfId="42" xr:uid="{00000000-0005-0000-0000-00002B000000}"/>
    <cellStyle name="標準 3" xfId="50" xr:uid="{00000000-0005-0000-0000-00002C000000}"/>
    <cellStyle name="標準 3 2" xfId="51" xr:uid="{00000000-0005-0000-0000-00002D000000}"/>
    <cellStyle name="標準 4" xfId="54" xr:uid="{B96A47D5-8059-430F-BDC5-C093B757C565}"/>
    <cellStyle name="標準 4 2" xfId="55" xr:uid="{683D4E3B-0EAE-4EA9-8A3B-BE8811B5BCB1}"/>
    <cellStyle name="標準_07下期業績評定表（三川14名）修正" xfId="43" xr:uid="{00000000-0005-0000-0000-00002E000000}"/>
    <cellStyle name="標準_11.（原紙）管理職用_評価シート（成績）" xfId="44" xr:uid="{00000000-0005-0000-0000-00002F000000}"/>
    <cellStyle name="標準_11.【管理職】成績考課　評価シート" xfId="45" xr:uid="{00000000-0005-0000-0000-000030000000}"/>
    <cellStyle name="標準_21.人事考課表（管理職）（能力）(原紙）" xfId="46" xr:uid="{00000000-0005-0000-0000-000031000000}"/>
    <cellStyle name="標準_M-netキャリアプランシート" xfId="52" xr:uid="{00000000-0005-0000-0000-000032000000}"/>
    <cellStyle name="標準_人事考課シート" xfId="47" xr:uid="{00000000-0005-0000-0000-000033000000}"/>
    <cellStyle name="標準_図18◆目標管理カード　様式３" xfId="48" xr:uid="{00000000-0005-0000-0000-000034000000}"/>
    <cellStyle name="良い" xfId="49" builtinId="26" customBuiltin="1"/>
  </cellStyles>
  <dxfs count="189">
    <dxf>
      <fill>
        <patternFill>
          <bgColor rgb="FFFF99CC"/>
        </patternFill>
      </fill>
    </dxf>
    <dxf>
      <fill>
        <patternFill>
          <bgColor rgb="FFFF99CC"/>
        </patternFill>
      </fill>
    </dxf>
    <dxf>
      <fill>
        <patternFill>
          <bgColor rgb="FFFF99CC"/>
        </patternFill>
      </fill>
    </dxf>
    <dxf>
      <fill>
        <patternFill>
          <bgColor rgb="FFFF99CC"/>
        </patternFill>
      </fill>
    </dxf>
    <dxf>
      <font>
        <condense val="0"/>
        <extend val="0"/>
        <color auto="1"/>
      </font>
      <fill>
        <patternFill>
          <bgColor indexed="45"/>
        </patternFill>
      </fill>
    </dxf>
    <dxf>
      <fill>
        <patternFill>
          <bgColor rgb="FFFF99CC"/>
        </patternFill>
      </fill>
    </dxf>
    <dxf>
      <fill>
        <patternFill>
          <bgColor rgb="FFFF99CC"/>
        </patternFill>
      </fill>
    </dxf>
    <dxf>
      <fill>
        <patternFill>
          <bgColor rgb="FFFF99CC"/>
        </patternFill>
      </fill>
    </dxf>
    <dxf>
      <fill>
        <patternFill>
          <bgColor rgb="FFFF99CC"/>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ndense val="0"/>
        <extend val="0"/>
        <color auto="1"/>
      </font>
      <fill>
        <patternFill>
          <bgColor indexed="45"/>
        </patternFill>
      </fill>
    </dxf>
  </dxfs>
  <tableStyles count="0" defaultTableStyle="TableStyleMedium2" defaultPivotStyle="PivotStyleLight16"/>
  <colors>
    <mruColors>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967740</xdr:colOff>
      <xdr:row>10</xdr:row>
      <xdr:rowOff>22860</xdr:rowOff>
    </xdr:from>
    <xdr:to>
      <xdr:col>9</xdr:col>
      <xdr:colOff>320040</xdr:colOff>
      <xdr:row>14</xdr:row>
      <xdr:rowOff>320040</xdr:rowOff>
    </xdr:to>
    <xdr:sp macro="" textlink="">
      <xdr:nvSpPr>
        <xdr:cNvPr id="2" name="テキスト ボックス 1">
          <a:extLst>
            <a:ext uri="{FF2B5EF4-FFF2-40B4-BE49-F238E27FC236}">
              <a16:creationId xmlns:a16="http://schemas.microsoft.com/office/drawing/2014/main" id="{A5EAF520-FA09-AA0B-74B2-F01F90130BEA}"/>
            </a:ext>
          </a:extLst>
        </xdr:cNvPr>
        <xdr:cNvSpPr txBox="1"/>
      </xdr:nvSpPr>
      <xdr:spPr>
        <a:xfrm>
          <a:off x="3009900" y="2834640"/>
          <a:ext cx="6797040" cy="16687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この考課シートは、「</a:t>
          </a:r>
          <a:r>
            <a:rPr kumimoji="1" lang="en-US" altLang="ja-JP" sz="1100"/>
            <a:t>2025</a:t>
          </a:r>
          <a:r>
            <a:rPr kumimoji="1" lang="ja-JP" altLang="en-US" sz="1100"/>
            <a:t>年春に実施する人事考課」用です。</a:t>
          </a:r>
        </a:p>
        <a:p>
          <a:endParaRPr kumimoji="1" lang="ja-JP" altLang="en-US" sz="1100"/>
        </a:p>
        <a:p>
          <a:r>
            <a:rPr kumimoji="1" lang="en-US" altLang="ja-JP" sz="1100"/>
            <a:t>2024</a:t>
          </a:r>
          <a:r>
            <a:rPr kumimoji="1" lang="ja-JP" altLang="en-US" sz="1100"/>
            <a:t>年秋考課との変更点は黄色セルです。</a:t>
          </a:r>
        </a:p>
        <a:p>
          <a:endParaRPr kumimoji="1" lang="ja-JP" altLang="en-US" sz="1100"/>
        </a:p>
        <a:p>
          <a:r>
            <a:rPr kumimoji="1" lang="ja-JP" altLang="en-US" sz="1100"/>
            <a:t>　　　　「人材育成」の配点を　　　　　　　　　　　　</a:t>
          </a:r>
          <a:r>
            <a:rPr kumimoji="1" lang="en-US" altLang="ja-JP" sz="1100" baseline="0"/>
            <a:t> </a:t>
          </a:r>
          <a:r>
            <a:rPr kumimoji="1" lang="en-US" altLang="ja-JP" sz="1100"/>
            <a:t>3</a:t>
          </a:r>
          <a:r>
            <a:rPr kumimoji="1" lang="ja-JP" altLang="en-US" sz="1100"/>
            <a:t>倍から</a:t>
          </a:r>
          <a:r>
            <a:rPr kumimoji="1" lang="en-US" altLang="ja-JP" sz="1100"/>
            <a:t>1</a:t>
          </a:r>
          <a:r>
            <a:rPr kumimoji="1" lang="ja-JP" altLang="en-US" sz="1100"/>
            <a:t>倍に</a:t>
          </a:r>
        </a:p>
        <a:p>
          <a:r>
            <a:rPr kumimoji="1" lang="ja-JP" altLang="en-US" sz="1100"/>
            <a:t>　　　　「ユーザーニーズへの対応」の配点を　　</a:t>
          </a:r>
          <a:r>
            <a:rPr kumimoji="1" lang="en-US" altLang="ja-JP" sz="1100"/>
            <a:t>1</a:t>
          </a:r>
          <a:r>
            <a:rPr kumimoji="1" lang="ja-JP" altLang="en-US" sz="1100"/>
            <a:t>倍から</a:t>
          </a:r>
          <a:r>
            <a:rPr kumimoji="1" lang="en-US" altLang="ja-JP" sz="1100"/>
            <a:t>3</a:t>
          </a:r>
          <a:r>
            <a:rPr kumimoji="1" lang="ja-JP" altLang="en-US" sz="1100"/>
            <a:t>倍に</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29</xdr:row>
      <xdr:rowOff>152400</xdr:rowOff>
    </xdr:from>
    <xdr:to>
      <xdr:col>16</xdr:col>
      <xdr:colOff>219075</xdr:colOff>
      <xdr:row>32</xdr:row>
      <xdr:rowOff>158750</xdr:rowOff>
    </xdr:to>
    <xdr:sp macro="" textlink="">
      <xdr:nvSpPr>
        <xdr:cNvPr id="2" name="テキスト ボックス 1">
          <a:extLst>
            <a:ext uri="{FF2B5EF4-FFF2-40B4-BE49-F238E27FC236}">
              <a16:creationId xmlns:a16="http://schemas.microsoft.com/office/drawing/2014/main" id="{AC3D8255-D3BA-42BA-9E28-2FC351708E69}"/>
            </a:ext>
          </a:extLst>
        </xdr:cNvPr>
        <xdr:cNvSpPr txBox="1"/>
      </xdr:nvSpPr>
      <xdr:spPr>
        <a:xfrm>
          <a:off x="3028950" y="7772400"/>
          <a:ext cx="4219575" cy="749300"/>
        </a:xfrm>
        <a:prstGeom prst="rect">
          <a:avLst/>
        </a:prstGeom>
        <a:solidFill>
          <a:schemeClr val="accent3">
            <a:lumMod val="20000"/>
            <a:lumOff val="80000"/>
          </a:schemeClr>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rPr>
            <a:t>※</a:t>
          </a:r>
          <a:r>
            <a:rPr kumimoji="1" lang="ja-JP" altLang="en-US" sz="1200"/>
            <a:t>任意目標は最低１項目は提示する</a:t>
          </a:r>
          <a:endParaRPr kumimoji="1" lang="en-US" altLang="ja-JP" sz="1200"/>
        </a:p>
        <a:p>
          <a:r>
            <a:rPr kumimoji="1" lang="ja-JP" altLang="en-US" sz="1200"/>
            <a:t>　　状況によっては複数でも可とする（ウエイト調整可）</a:t>
          </a:r>
        </a:p>
      </xdr:txBody>
    </xdr:sp>
    <xdr:clientData/>
  </xdr:twoCellAnchor>
</xdr:wsDr>
</file>

<file path=xl/persons/person.xml><?xml version="1.0" encoding="utf-8"?>
<personList xmlns="http://schemas.microsoft.com/office/spreadsheetml/2018/threadedcomments" xmlns:x="http://schemas.openxmlformats.org/spreadsheetml/2006/main">
  <person displayName="米坂 安代" id="{1899E6BA-F150-4B17-AD9D-79AE266EF14F}" userId="S::119801@comthink.co.jp::3d8b9fcf-93f2-4d9e-be79-e4dc27d7409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5" dT="2024-08-28T01:09:00.58" personId="{1899E6BA-F150-4B17-AD9D-79AE266EF14F}" id="{64A5F1B3-E86F-4E12-8FC0-8CF60683D292}">
    <text>・各考課項目の配点です
　（×3）の場合、評価点が３点なら、9点です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x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7"/>
  <sheetViews>
    <sheetView tabSelected="1" topLeftCell="B1" zoomScaleNormal="100" workbookViewId="0">
      <selection activeCell="G12" sqref="G12:I12"/>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10</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19</v>
      </c>
      <c r="B11" s="15"/>
      <c r="C11" s="15"/>
      <c r="D11" s="15"/>
      <c r="E11" s="16"/>
      <c r="F11" s="20"/>
    </row>
    <row r="12" spans="1:12" s="2" customFormat="1" ht="24.75" customHeight="1">
      <c r="A12" s="21"/>
      <c r="B12" s="21"/>
      <c r="C12" s="21"/>
      <c r="D12" s="22" t="s">
        <v>20</v>
      </c>
      <c r="E12" s="23" t="s">
        <v>21</v>
      </c>
      <c r="F12" s="22" t="s">
        <v>22</v>
      </c>
      <c r="G12" s="24">
        <v>45383</v>
      </c>
      <c r="H12" s="25" t="s">
        <v>23</v>
      </c>
      <c r="I12" s="26">
        <v>45565</v>
      </c>
      <c r="J12" s="27"/>
      <c r="K12" s="20"/>
      <c r="L12" s="20"/>
    </row>
    <row r="13" spans="1:12" s="2" customFormat="1" ht="30" customHeight="1">
      <c r="A13" s="3" t="s">
        <v>24</v>
      </c>
      <c r="B13" s="263" t="s">
        <v>25</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customHeight="1">
      <c r="A17" s="199" t="s">
        <v>39</v>
      </c>
      <c r="B17" s="204" t="s">
        <v>40</v>
      </c>
      <c r="C17" s="205"/>
      <c r="D17" s="252"/>
      <c r="E17" s="41" t="s">
        <v>41</v>
      </c>
      <c r="F17" s="230" t="s">
        <v>42</v>
      </c>
      <c r="G17" s="231"/>
      <c r="H17" s="231"/>
      <c r="I17" s="232"/>
      <c r="J17" s="42"/>
      <c r="K17" s="42"/>
      <c r="L17" s="43"/>
    </row>
    <row r="18" spans="1:12" s="40" customFormat="1" ht="27" customHeight="1">
      <c r="A18" s="200"/>
      <c r="B18" s="207"/>
      <c r="C18" s="208"/>
      <c r="D18" s="209"/>
      <c r="E18" s="44" t="s">
        <v>43</v>
      </c>
      <c r="F18" s="233" t="s">
        <v>44</v>
      </c>
      <c r="G18" s="234"/>
      <c r="H18" s="234"/>
      <c r="I18" s="235"/>
      <c r="J18" s="45"/>
      <c r="K18" s="45"/>
      <c r="L18" s="46"/>
    </row>
    <row r="19" spans="1:12" s="40" customFormat="1" ht="27" customHeight="1">
      <c r="A19" s="200"/>
      <c r="B19" s="207"/>
      <c r="C19" s="208"/>
      <c r="D19" s="209"/>
      <c r="E19" s="44" t="s">
        <v>45</v>
      </c>
      <c r="F19" s="233" t="s">
        <v>46</v>
      </c>
      <c r="G19" s="234"/>
      <c r="H19" s="234"/>
      <c r="I19" s="235"/>
      <c r="J19" s="45"/>
      <c r="K19" s="45"/>
      <c r="L19" s="46"/>
    </row>
    <row r="20" spans="1:12" s="40" customFormat="1" ht="27" customHeight="1">
      <c r="A20" s="201"/>
      <c r="B20" s="210"/>
      <c r="C20" s="211"/>
      <c r="D20" s="212"/>
      <c r="E20" s="47" t="s">
        <v>47</v>
      </c>
      <c r="F20" s="241" t="s">
        <v>48</v>
      </c>
      <c r="G20" s="242"/>
      <c r="H20" s="242"/>
      <c r="I20" s="243"/>
      <c r="J20" s="48"/>
      <c r="K20" s="48"/>
      <c r="L20" s="49"/>
    </row>
    <row r="21" spans="1:12" s="40" customFormat="1" ht="27" customHeight="1">
      <c r="A21" s="199" t="s">
        <v>49</v>
      </c>
      <c r="B21" s="204" t="s">
        <v>50</v>
      </c>
      <c r="C21" s="205"/>
      <c r="D21" s="252"/>
      <c r="E21" s="41" t="s">
        <v>41</v>
      </c>
      <c r="F21" s="230" t="s">
        <v>51</v>
      </c>
      <c r="G21" s="231"/>
      <c r="H21" s="231"/>
      <c r="I21" s="232"/>
      <c r="J21" s="42"/>
      <c r="K21" s="42"/>
      <c r="L21" s="43"/>
    </row>
    <row r="22" spans="1:12" s="40" customFormat="1" ht="27" customHeight="1">
      <c r="A22" s="200"/>
      <c r="B22" s="207"/>
      <c r="C22" s="208"/>
      <c r="D22" s="209"/>
      <c r="E22" s="44" t="s">
        <v>43</v>
      </c>
      <c r="F22" s="233" t="s">
        <v>52</v>
      </c>
      <c r="G22" s="234"/>
      <c r="H22" s="234"/>
      <c r="I22" s="235"/>
      <c r="J22" s="45"/>
      <c r="K22" s="45"/>
      <c r="L22" s="46"/>
    </row>
    <row r="23" spans="1:12" s="40" customFormat="1" ht="27" customHeight="1">
      <c r="A23" s="200"/>
      <c r="B23" s="207"/>
      <c r="C23" s="208"/>
      <c r="D23" s="209"/>
      <c r="E23" s="44" t="s">
        <v>45</v>
      </c>
      <c r="F23" s="233" t="s">
        <v>53</v>
      </c>
      <c r="G23" s="234"/>
      <c r="H23" s="234"/>
      <c r="I23" s="235"/>
      <c r="J23" s="45"/>
      <c r="K23" s="45"/>
      <c r="L23" s="46"/>
    </row>
    <row r="24" spans="1:12" s="40" customFormat="1" ht="27" customHeight="1">
      <c r="A24" s="201"/>
      <c r="B24" s="210"/>
      <c r="C24" s="211"/>
      <c r="D24" s="212"/>
      <c r="E24" s="47" t="s">
        <v>47</v>
      </c>
      <c r="F24" s="241" t="s">
        <v>54</v>
      </c>
      <c r="G24" s="242"/>
      <c r="H24" s="242"/>
      <c r="I24" s="243"/>
      <c r="J24" s="48"/>
      <c r="K24" s="48"/>
      <c r="L24" s="49"/>
    </row>
    <row r="25" spans="1:12" s="40" customFormat="1" ht="27" customHeight="1">
      <c r="A25" s="199" t="s">
        <v>55</v>
      </c>
      <c r="B25" s="204" t="s">
        <v>56</v>
      </c>
      <c r="C25" s="205"/>
      <c r="D25" s="252"/>
      <c r="E25" s="41" t="s">
        <v>41</v>
      </c>
      <c r="F25" s="230" t="s">
        <v>57</v>
      </c>
      <c r="G25" s="231"/>
      <c r="H25" s="231"/>
      <c r="I25" s="232"/>
      <c r="J25" s="42"/>
      <c r="K25" s="42"/>
      <c r="L25" s="43"/>
    </row>
    <row r="26" spans="1:12" s="40" customFormat="1" ht="27" customHeight="1">
      <c r="A26" s="200"/>
      <c r="B26" s="207"/>
      <c r="C26" s="208"/>
      <c r="D26" s="209"/>
      <c r="E26" s="44" t="s">
        <v>43</v>
      </c>
      <c r="F26" s="233" t="s">
        <v>58</v>
      </c>
      <c r="G26" s="234"/>
      <c r="H26" s="234"/>
      <c r="I26" s="235"/>
      <c r="J26" s="45"/>
      <c r="K26" s="45"/>
      <c r="L26" s="46"/>
    </row>
    <row r="27" spans="1:12" s="40" customFormat="1" ht="27" customHeight="1">
      <c r="A27" s="200"/>
      <c r="B27" s="207"/>
      <c r="C27" s="208"/>
      <c r="D27" s="209"/>
      <c r="E27" s="44" t="s">
        <v>45</v>
      </c>
      <c r="F27" s="233" t="s">
        <v>59</v>
      </c>
      <c r="G27" s="234"/>
      <c r="H27" s="234"/>
      <c r="I27" s="235"/>
      <c r="J27" s="45"/>
      <c r="K27" s="45"/>
      <c r="L27" s="46"/>
    </row>
    <row r="28" spans="1:12" s="40" customFormat="1" ht="27" customHeight="1">
      <c r="A28" s="201"/>
      <c r="B28" s="210"/>
      <c r="C28" s="211"/>
      <c r="D28" s="212"/>
      <c r="E28" s="47" t="s">
        <v>47</v>
      </c>
      <c r="F28" s="241" t="s">
        <v>60</v>
      </c>
      <c r="G28" s="242"/>
      <c r="H28" s="242"/>
      <c r="I28" s="243"/>
      <c r="J28" s="48"/>
      <c r="K28" s="48"/>
      <c r="L28" s="49"/>
    </row>
    <row r="29" spans="1:12" s="40" customFormat="1" ht="27" customHeight="1">
      <c r="A29" s="199" t="s">
        <v>61</v>
      </c>
      <c r="B29" s="204" t="s">
        <v>62</v>
      </c>
      <c r="C29" s="205"/>
      <c r="D29" s="206"/>
      <c r="E29" s="41" t="s">
        <v>41</v>
      </c>
      <c r="F29" s="230" t="s">
        <v>63</v>
      </c>
      <c r="G29" s="231"/>
      <c r="H29" s="231"/>
      <c r="I29" s="232"/>
      <c r="J29" s="42"/>
      <c r="K29" s="42"/>
      <c r="L29" s="43"/>
    </row>
    <row r="30" spans="1:12" s="40" customFormat="1" ht="27" customHeight="1">
      <c r="A30" s="200"/>
      <c r="B30" s="207"/>
      <c r="C30" s="208"/>
      <c r="D30" s="209"/>
      <c r="E30" s="44" t="s">
        <v>43</v>
      </c>
      <c r="F30" s="233" t="s">
        <v>64</v>
      </c>
      <c r="G30" s="234"/>
      <c r="H30" s="234"/>
      <c r="I30" s="235"/>
      <c r="J30" s="45"/>
      <c r="K30" s="45"/>
      <c r="L30" s="46"/>
    </row>
    <row r="31" spans="1:12" s="40" customFormat="1" ht="27" customHeight="1">
      <c r="A31" s="200"/>
      <c r="B31" s="207"/>
      <c r="C31" s="208"/>
      <c r="D31" s="209"/>
      <c r="E31" s="44" t="s">
        <v>45</v>
      </c>
      <c r="F31" s="233" t="s">
        <v>65</v>
      </c>
      <c r="G31" s="234"/>
      <c r="H31" s="234"/>
      <c r="I31" s="235"/>
      <c r="J31" s="45"/>
      <c r="K31" s="45"/>
      <c r="L31" s="46"/>
    </row>
    <row r="32" spans="1:12" s="40" customFormat="1" ht="27" customHeight="1">
      <c r="A32" s="201"/>
      <c r="B32" s="210"/>
      <c r="C32" s="211"/>
      <c r="D32" s="212"/>
      <c r="E32" s="47" t="s">
        <v>47</v>
      </c>
      <c r="F32" s="241" t="s">
        <v>66</v>
      </c>
      <c r="G32" s="242"/>
      <c r="H32" s="242"/>
      <c r="I32" s="243"/>
      <c r="J32" s="48"/>
      <c r="K32" s="48"/>
      <c r="L32" s="49"/>
    </row>
    <row r="33" spans="1:12" s="40" customFormat="1" ht="27" customHeight="1">
      <c r="A33" s="199" t="s">
        <v>67</v>
      </c>
      <c r="B33" s="204" t="s">
        <v>68</v>
      </c>
      <c r="C33" s="205"/>
      <c r="D33" s="252"/>
      <c r="E33" s="41" t="s">
        <v>41</v>
      </c>
      <c r="F33" s="230" t="s">
        <v>69</v>
      </c>
      <c r="G33" s="231"/>
      <c r="H33" s="231"/>
      <c r="I33" s="232"/>
      <c r="J33" s="42"/>
      <c r="K33" s="42"/>
      <c r="L33" s="43"/>
    </row>
    <row r="34" spans="1:12" s="40" customFormat="1" ht="27" customHeight="1">
      <c r="A34" s="200"/>
      <c r="B34" s="207"/>
      <c r="C34" s="208"/>
      <c r="D34" s="209"/>
      <c r="E34" s="44" t="s">
        <v>43</v>
      </c>
      <c r="F34" s="233" t="s">
        <v>70</v>
      </c>
      <c r="G34" s="234"/>
      <c r="H34" s="234"/>
      <c r="I34" s="235"/>
      <c r="J34" s="45"/>
      <c r="K34" s="45"/>
      <c r="L34" s="46"/>
    </row>
    <row r="35" spans="1:12" s="40" customFormat="1" ht="27" customHeight="1">
      <c r="A35" s="200"/>
      <c r="B35" s="207"/>
      <c r="C35" s="208"/>
      <c r="D35" s="209"/>
      <c r="E35" s="44" t="s">
        <v>45</v>
      </c>
      <c r="F35" s="233" t="s">
        <v>71</v>
      </c>
      <c r="G35" s="234"/>
      <c r="H35" s="234"/>
      <c r="I35" s="235"/>
      <c r="J35" s="45"/>
      <c r="K35" s="45"/>
      <c r="L35" s="46"/>
    </row>
    <row r="36" spans="1:12" s="40" customFormat="1" ht="27" customHeight="1">
      <c r="A36" s="201"/>
      <c r="B36" s="210"/>
      <c r="C36" s="211"/>
      <c r="D36" s="212"/>
      <c r="E36" s="47" t="s">
        <v>47</v>
      </c>
      <c r="F36" s="241" t="s">
        <v>72</v>
      </c>
      <c r="G36" s="242"/>
      <c r="H36" s="242"/>
      <c r="I36" s="243"/>
      <c r="J36" s="48"/>
      <c r="K36" s="48"/>
      <c r="L36" s="49"/>
    </row>
    <row r="37" spans="1:12" s="40" customFormat="1" ht="27" customHeight="1">
      <c r="A37" s="199" t="s">
        <v>73</v>
      </c>
      <c r="B37" s="204" t="s">
        <v>74</v>
      </c>
      <c r="C37" s="205"/>
      <c r="D37" s="206"/>
      <c r="E37" s="41" t="s">
        <v>41</v>
      </c>
      <c r="F37" s="230" t="s">
        <v>75</v>
      </c>
      <c r="G37" s="231"/>
      <c r="H37" s="231"/>
      <c r="I37" s="232"/>
      <c r="J37" s="42"/>
      <c r="K37" s="42"/>
      <c r="L37" s="43"/>
    </row>
    <row r="38" spans="1:12" s="40" customFormat="1" ht="27" customHeight="1">
      <c r="A38" s="200"/>
      <c r="B38" s="207"/>
      <c r="C38" s="208"/>
      <c r="D38" s="209"/>
      <c r="E38" s="44" t="s">
        <v>43</v>
      </c>
      <c r="F38" s="233" t="s">
        <v>76</v>
      </c>
      <c r="G38" s="234"/>
      <c r="H38" s="234"/>
      <c r="I38" s="235"/>
      <c r="J38" s="45"/>
      <c r="K38" s="45"/>
      <c r="L38" s="46"/>
    </row>
    <row r="39" spans="1:12" s="40" customFormat="1" ht="27" customHeight="1">
      <c r="A39" s="200"/>
      <c r="B39" s="207"/>
      <c r="C39" s="208"/>
      <c r="D39" s="209"/>
      <c r="E39" s="44" t="s">
        <v>45</v>
      </c>
      <c r="F39" s="233" t="s">
        <v>77</v>
      </c>
      <c r="G39" s="234"/>
      <c r="H39" s="234"/>
      <c r="I39" s="235"/>
      <c r="J39" s="45"/>
      <c r="K39" s="45"/>
      <c r="L39" s="46"/>
    </row>
    <row r="40" spans="1:12" s="40" customFormat="1" ht="27" customHeight="1">
      <c r="A40" s="201"/>
      <c r="B40" s="210"/>
      <c r="C40" s="211"/>
      <c r="D40" s="212"/>
      <c r="E40" s="47" t="s">
        <v>47</v>
      </c>
      <c r="F40" s="241" t="s">
        <v>78</v>
      </c>
      <c r="G40" s="242"/>
      <c r="H40" s="242"/>
      <c r="I40" s="243"/>
      <c r="J40" s="48"/>
      <c r="K40" s="48"/>
      <c r="L40" s="49"/>
    </row>
    <row r="41" spans="1:12" s="40" customFormat="1" ht="27" customHeight="1">
      <c r="A41" s="199" t="s">
        <v>79</v>
      </c>
      <c r="B41" s="204" t="s">
        <v>80</v>
      </c>
      <c r="C41" s="205"/>
      <c r="D41" s="206"/>
      <c r="E41" s="41" t="s">
        <v>41</v>
      </c>
      <c r="F41" s="230" t="s">
        <v>81</v>
      </c>
      <c r="G41" s="231"/>
      <c r="H41" s="231"/>
      <c r="I41" s="232"/>
      <c r="J41" s="42"/>
      <c r="K41" s="42"/>
      <c r="L41" s="43"/>
    </row>
    <row r="42" spans="1:12" s="40" customFormat="1" ht="27" customHeight="1">
      <c r="A42" s="200"/>
      <c r="B42" s="207"/>
      <c r="C42" s="208"/>
      <c r="D42" s="209"/>
      <c r="E42" s="44" t="s">
        <v>43</v>
      </c>
      <c r="F42" s="233" t="s">
        <v>82</v>
      </c>
      <c r="G42" s="234"/>
      <c r="H42" s="234"/>
      <c r="I42" s="235"/>
      <c r="J42" s="45"/>
      <c r="K42" s="45"/>
      <c r="L42" s="46"/>
    </row>
    <row r="43" spans="1:12" s="40" customFormat="1" ht="27" customHeight="1">
      <c r="A43" s="200"/>
      <c r="B43" s="207"/>
      <c r="C43" s="208"/>
      <c r="D43" s="209"/>
      <c r="E43" s="44" t="s">
        <v>45</v>
      </c>
      <c r="F43" s="233" t="s">
        <v>83</v>
      </c>
      <c r="G43" s="234"/>
      <c r="H43" s="234"/>
      <c r="I43" s="235"/>
      <c r="J43" s="45"/>
      <c r="K43" s="45"/>
      <c r="L43" s="46"/>
    </row>
    <row r="44" spans="1:12" s="40" customFormat="1" ht="27" customHeight="1">
      <c r="A44" s="201"/>
      <c r="B44" s="210"/>
      <c r="C44" s="211"/>
      <c r="D44" s="212"/>
      <c r="E44" s="47" t="s">
        <v>47</v>
      </c>
      <c r="F44" s="241" t="s">
        <v>84</v>
      </c>
      <c r="G44" s="242"/>
      <c r="H44" s="242"/>
      <c r="I44" s="243"/>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SUM(J17:J20)*4+SUM(J21:J32)*2+SUM(J33:J36)+SUM(J37:J44)*2+SUM(J45:J46)*0.5</f>
        <v>0</v>
      </c>
      <c r="K47" s="56">
        <f>SUM(K17:K20)*4+SUM(K21:K32)*2+SUM(K33:K36)+SUM(K37:K44)*2+SUM(K45:K46)*0.5</f>
        <v>0</v>
      </c>
      <c r="L47" s="57">
        <f>SUM(L17:L20)*4+SUM(L21:L32)*2+SUM(L33:L36)+SUM(L37:L44)*2+SUM(L45:L46)*0.5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100</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6:L66"/>
    <mergeCell ref="G67:L67"/>
    <mergeCell ref="G64:L64"/>
    <mergeCell ref="G65:L65"/>
    <mergeCell ref="A53:K53"/>
    <mergeCell ref="G62:L62"/>
    <mergeCell ref="G63:L63"/>
    <mergeCell ref="A58:D59"/>
    <mergeCell ref="E58:G59"/>
    <mergeCell ref="H59:J59"/>
    <mergeCell ref="K59:L59"/>
    <mergeCell ref="H58:L58"/>
    <mergeCell ref="H57:L57"/>
    <mergeCell ref="E57:G57"/>
    <mergeCell ref="B2:E2"/>
    <mergeCell ref="G2:H2"/>
    <mergeCell ref="G3:H3"/>
    <mergeCell ref="G4:H4"/>
    <mergeCell ref="B3:E3"/>
    <mergeCell ref="B4:E4"/>
    <mergeCell ref="B5:E5"/>
    <mergeCell ref="B6:E6"/>
    <mergeCell ref="J55:K55"/>
    <mergeCell ref="B55:I55"/>
    <mergeCell ref="B7:E7"/>
    <mergeCell ref="G5:H5"/>
    <mergeCell ref="G6:H6"/>
    <mergeCell ref="G7:H7"/>
    <mergeCell ref="B16:D16"/>
    <mergeCell ref="F16:I16"/>
    <mergeCell ref="B13:E13"/>
    <mergeCell ref="G13:I13"/>
    <mergeCell ref="B14:E14"/>
    <mergeCell ref="G14:I14"/>
    <mergeCell ref="F39:I39"/>
    <mergeCell ref="F40:I40"/>
    <mergeCell ref="A17:A20"/>
    <mergeCell ref="B17:D20"/>
    <mergeCell ref="F17:I17"/>
    <mergeCell ref="F18:I18"/>
    <mergeCell ref="F19:I19"/>
    <mergeCell ref="F20:I20"/>
    <mergeCell ref="A21:A24"/>
    <mergeCell ref="B21:D24"/>
    <mergeCell ref="F21:I21"/>
    <mergeCell ref="F22:I22"/>
    <mergeCell ref="F23:I23"/>
    <mergeCell ref="F24:I24"/>
    <mergeCell ref="A25:A28"/>
    <mergeCell ref="B25:D28"/>
    <mergeCell ref="F25:I25"/>
    <mergeCell ref="F26:I26"/>
    <mergeCell ref="F27:I27"/>
    <mergeCell ref="F28:I28"/>
    <mergeCell ref="A37:A40"/>
    <mergeCell ref="A29:A32"/>
    <mergeCell ref="B29:D32"/>
    <mergeCell ref="F29:I29"/>
    <mergeCell ref="F30:I30"/>
    <mergeCell ref="F31:I31"/>
    <mergeCell ref="F32:I32"/>
    <mergeCell ref="A33:A36"/>
    <mergeCell ref="B33:D36"/>
    <mergeCell ref="F33:I33"/>
    <mergeCell ref="F34:I34"/>
    <mergeCell ref="F35:I35"/>
    <mergeCell ref="F36:I36"/>
    <mergeCell ref="B37:D40"/>
    <mergeCell ref="F37:I37"/>
    <mergeCell ref="F38:I38"/>
    <mergeCell ref="G50:K50"/>
    <mergeCell ref="B51:E51"/>
    <mergeCell ref="F43:I43"/>
    <mergeCell ref="F44:I44"/>
    <mergeCell ref="F45:I45"/>
    <mergeCell ref="G51:K51"/>
    <mergeCell ref="B50:E50"/>
    <mergeCell ref="J52:K52"/>
    <mergeCell ref="I56:K56"/>
    <mergeCell ref="A57:D57"/>
    <mergeCell ref="B54:K54"/>
    <mergeCell ref="A41:A44"/>
    <mergeCell ref="A48:I48"/>
    <mergeCell ref="B41:D44"/>
    <mergeCell ref="B49:E49"/>
    <mergeCell ref="G49:K49"/>
    <mergeCell ref="F46:I46"/>
    <mergeCell ref="B45:D45"/>
    <mergeCell ref="B46:D46"/>
    <mergeCell ref="E45:E46"/>
    <mergeCell ref="A47:I47"/>
    <mergeCell ref="F41:I41"/>
    <mergeCell ref="F42:I42"/>
  </mergeCells>
  <phoneticPr fontId="24"/>
  <conditionalFormatting sqref="E17:E45">
    <cfRule type="cellIs" dxfId="188" priority="1" stopIfTrue="1" operator="equal">
      <formula>$E$12</formula>
    </cfRule>
  </conditionalFormatting>
  <conditionalFormatting sqref="F17:L17">
    <cfRule type="expression" dxfId="187" priority="4" stopIfTrue="1">
      <formula>IF($E$12=$E$17,TRUE)</formula>
    </cfRule>
  </conditionalFormatting>
  <conditionalFormatting sqref="F18:L18">
    <cfRule type="expression" dxfId="186" priority="3" stopIfTrue="1">
      <formula>IF($E$12=$E$18,TRUE)</formula>
    </cfRule>
  </conditionalFormatting>
  <conditionalFormatting sqref="F19:L19">
    <cfRule type="expression" dxfId="185" priority="2" stopIfTrue="1">
      <formula>IF($E$12=$E$19,TRUE)</formula>
    </cfRule>
  </conditionalFormatting>
  <conditionalFormatting sqref="F20:L20">
    <cfRule type="expression" dxfId="184" priority="5" stopIfTrue="1">
      <formula>IF($E$12=$E$20,TRUE)</formula>
    </cfRule>
  </conditionalFormatting>
  <conditionalFormatting sqref="F21:L21">
    <cfRule type="expression" dxfId="183" priority="6" stopIfTrue="1">
      <formula>IF($E$12=$E$21,TRUE)</formula>
    </cfRule>
  </conditionalFormatting>
  <conditionalFormatting sqref="F22:L22">
    <cfRule type="expression" dxfId="182" priority="7" stopIfTrue="1">
      <formula>IF($E$12=$E$22,TRUE)</formula>
    </cfRule>
  </conditionalFormatting>
  <conditionalFormatting sqref="F23:L23">
    <cfRule type="expression" dxfId="181" priority="8" stopIfTrue="1">
      <formula>IF($E$12=$E$23,TRUE)</formula>
    </cfRule>
  </conditionalFormatting>
  <conditionalFormatting sqref="F24:L24">
    <cfRule type="expression" dxfId="180" priority="9" stopIfTrue="1">
      <formula>IF($E$12=$E$24,TRUE)</formula>
    </cfRule>
  </conditionalFormatting>
  <conditionalFormatting sqref="F25:L25">
    <cfRule type="expression" dxfId="179" priority="10" stopIfTrue="1">
      <formula>IF($E$12=$E$25,TRUE)</formula>
    </cfRule>
  </conditionalFormatting>
  <conditionalFormatting sqref="F26:L26">
    <cfRule type="expression" dxfId="178" priority="11" stopIfTrue="1">
      <formula>IF($E$12=$E$26,TRUE)</formula>
    </cfRule>
  </conditionalFormatting>
  <conditionalFormatting sqref="F27:L27">
    <cfRule type="expression" dxfId="177" priority="12" stopIfTrue="1">
      <formula>IF($E$12=$E$27,TRUE)</formula>
    </cfRule>
  </conditionalFormatting>
  <conditionalFormatting sqref="F28:L28">
    <cfRule type="expression" dxfId="176" priority="13" stopIfTrue="1">
      <formula>IF($E$12=$E$28,TRUE)</formula>
    </cfRule>
  </conditionalFormatting>
  <conditionalFormatting sqref="F29:L29">
    <cfRule type="expression" dxfId="175" priority="14" stopIfTrue="1">
      <formula>IF($E$12=$E$29,TRUE)</formula>
    </cfRule>
  </conditionalFormatting>
  <conditionalFormatting sqref="F30:L30">
    <cfRule type="expression" dxfId="174" priority="15" stopIfTrue="1">
      <formula>IF($E$12=$E$30,TRUE)</formula>
    </cfRule>
  </conditionalFormatting>
  <conditionalFormatting sqref="F31:L31">
    <cfRule type="expression" dxfId="173" priority="16" stopIfTrue="1">
      <formula>IF($E$12=$E$31,TRUE)</formula>
    </cfRule>
  </conditionalFormatting>
  <conditionalFormatting sqref="F32:L32">
    <cfRule type="expression" dxfId="172" priority="17" stopIfTrue="1">
      <formula>IF($E$12=$E$32,TRUE)</formula>
    </cfRule>
  </conditionalFormatting>
  <conditionalFormatting sqref="F33:L33">
    <cfRule type="expression" dxfId="171" priority="18" stopIfTrue="1">
      <formula>IF($E$12=$E$33,TRUE)</formula>
    </cfRule>
  </conditionalFormatting>
  <conditionalFormatting sqref="F34:L34">
    <cfRule type="expression" dxfId="170" priority="19" stopIfTrue="1">
      <formula>IF($E$12=$E$34,TRUE)</formula>
    </cfRule>
  </conditionalFormatting>
  <conditionalFormatting sqref="F35:L35">
    <cfRule type="expression" dxfId="169" priority="20" stopIfTrue="1">
      <formula>IF($E$12=$E$35,TRUE)</formula>
    </cfRule>
  </conditionalFormatting>
  <conditionalFormatting sqref="F36:L36">
    <cfRule type="expression" dxfId="168" priority="21" stopIfTrue="1">
      <formula>IF($E$12=$E$36,TRUE)</formula>
    </cfRule>
  </conditionalFormatting>
  <conditionalFormatting sqref="F37:L37">
    <cfRule type="expression" dxfId="167" priority="22" stopIfTrue="1">
      <formula>IF($E$12=$E$37,TRUE)</formula>
    </cfRule>
  </conditionalFormatting>
  <conditionalFormatting sqref="F38:L38">
    <cfRule type="expression" dxfId="166" priority="23" stopIfTrue="1">
      <formula>IF($E$12=$E$38,TRUE)</formula>
    </cfRule>
  </conditionalFormatting>
  <conditionalFormatting sqref="F39:L39">
    <cfRule type="expression" dxfId="165" priority="24" stopIfTrue="1">
      <formula>IF($E$12=$E$39,TRUE)</formula>
    </cfRule>
  </conditionalFormatting>
  <conditionalFormatting sqref="F40:L40">
    <cfRule type="expression" dxfId="164" priority="25" stopIfTrue="1">
      <formula>IF($E$12=$E$40,TRUE)</formula>
    </cfRule>
  </conditionalFormatting>
  <conditionalFormatting sqref="F41:L41">
    <cfRule type="expression" dxfId="163" priority="26" stopIfTrue="1">
      <formula>IF($E$12=$E$41,TRUE)</formula>
    </cfRule>
  </conditionalFormatting>
  <conditionalFormatting sqref="F42:L42">
    <cfRule type="expression" dxfId="162" priority="27" stopIfTrue="1">
      <formula>IF($E$12=$E$42,TRUE)</formula>
    </cfRule>
  </conditionalFormatting>
  <conditionalFormatting sqref="F43:L43">
    <cfRule type="expression" dxfId="161" priority="28" stopIfTrue="1">
      <formula>IF($E$12=$E$43,TRUE)</formula>
    </cfRule>
  </conditionalFormatting>
  <conditionalFormatting sqref="F44:L44">
    <cfRule type="expression" dxfId="160" priority="29" stopIfTrue="1">
      <formula>IF($E$12=$E$44,TRUE)</formula>
    </cfRule>
  </conditionalFormatting>
  <dataValidations count="2">
    <dataValidation type="list" allowBlank="1" showInputMessage="1" showErrorMessage="1" sqref="E12" xr:uid="{00000000-0002-0000-0000-000000000000}">
      <formula1>"Ｒ４,Ｒ３,Ｒ２,Ｒ１"</formula1>
    </dataValidation>
    <dataValidation type="list" allowBlank="1" showInputMessage="1" showErrorMessage="1" sqref="K59:L59" xr:uid="{00000000-0002-0000-0000-000001000000}">
      <formula1>"　,Ａ,Ｂ,Ｃ,Ｄ,Ｅ"</formula1>
    </dataValidation>
  </dataValidations>
  <pageMargins left="1.1811023622047245" right="0.27559055118110237" top="0.59055118110236227" bottom="0.43307086614173229" header="0.43307086614173229" footer="0.23622047244094491"/>
  <pageSetup paperSize="9" scale="56" orientation="portrait" r:id="rId1"/>
  <headerFooter alignWithMargins="0">
    <oddFooter>&amp;L&amp;"ＭＳ Ｐゴシック,標準"NCT日本コムシンク株式会社&amp;R&amp;"ＭＳ Ｐゴシック,標準"印刷&amp;D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7"/>
  <sheetViews>
    <sheetView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10</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121</v>
      </c>
      <c r="B11" s="15"/>
      <c r="C11" s="15"/>
      <c r="D11" s="15"/>
      <c r="E11" s="16"/>
      <c r="F11" s="20"/>
    </row>
    <row r="12" spans="1:12" s="2" customFormat="1" ht="24.75" customHeight="1">
      <c r="A12" s="21"/>
      <c r="B12" s="21"/>
      <c r="C12" s="21"/>
      <c r="D12" s="22" t="s">
        <v>20</v>
      </c>
      <c r="E12" s="23" t="s">
        <v>21</v>
      </c>
      <c r="F12" s="22" t="s">
        <v>22</v>
      </c>
      <c r="G12" s="24">
        <v>45383</v>
      </c>
      <c r="H12" s="25" t="s">
        <v>23</v>
      </c>
      <c r="I12" s="26">
        <v>45565</v>
      </c>
      <c r="J12" s="27"/>
      <c r="K12" s="20"/>
      <c r="L12" s="20"/>
    </row>
    <row r="13" spans="1:12" s="2" customFormat="1" ht="30" customHeight="1">
      <c r="A13" s="3" t="s">
        <v>24</v>
      </c>
      <c r="B13" s="263" t="s">
        <v>122</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customHeight="1">
      <c r="A17" s="199" t="s">
        <v>39</v>
      </c>
      <c r="B17" s="204" t="s">
        <v>40</v>
      </c>
      <c r="C17" s="205"/>
      <c r="D17" s="252"/>
      <c r="E17" s="41" t="s">
        <v>41</v>
      </c>
      <c r="F17" s="230" t="s">
        <v>123</v>
      </c>
      <c r="G17" s="231"/>
      <c r="H17" s="231"/>
      <c r="I17" s="232"/>
      <c r="J17" s="42"/>
      <c r="K17" s="42"/>
      <c r="L17" s="43"/>
    </row>
    <row r="18" spans="1:12" s="40" customFormat="1" ht="27" customHeight="1">
      <c r="A18" s="200"/>
      <c r="B18" s="207"/>
      <c r="C18" s="208"/>
      <c r="D18" s="209"/>
      <c r="E18" s="44" t="s">
        <v>43</v>
      </c>
      <c r="F18" s="233" t="s">
        <v>124</v>
      </c>
      <c r="G18" s="234"/>
      <c r="H18" s="234"/>
      <c r="I18" s="235"/>
      <c r="J18" s="45"/>
      <c r="K18" s="45"/>
      <c r="L18" s="46"/>
    </row>
    <row r="19" spans="1:12" s="40" customFormat="1" ht="27" customHeight="1">
      <c r="A19" s="200"/>
      <c r="B19" s="207"/>
      <c r="C19" s="208"/>
      <c r="D19" s="209"/>
      <c r="E19" s="44" t="s">
        <v>45</v>
      </c>
      <c r="F19" s="233" t="s">
        <v>46</v>
      </c>
      <c r="G19" s="234"/>
      <c r="H19" s="234"/>
      <c r="I19" s="235"/>
      <c r="J19" s="45"/>
      <c r="K19" s="45"/>
      <c r="L19" s="46"/>
    </row>
    <row r="20" spans="1:12" s="40" customFormat="1" ht="27" customHeight="1">
      <c r="A20" s="201"/>
      <c r="B20" s="210"/>
      <c r="C20" s="211"/>
      <c r="D20" s="212"/>
      <c r="E20" s="47" t="s">
        <v>47</v>
      </c>
      <c r="F20" s="241" t="s">
        <v>48</v>
      </c>
      <c r="G20" s="242"/>
      <c r="H20" s="242"/>
      <c r="I20" s="243"/>
      <c r="J20" s="48"/>
      <c r="K20" s="48"/>
      <c r="L20" s="49"/>
    </row>
    <row r="21" spans="1:12" s="40" customFormat="1" ht="27" customHeight="1">
      <c r="A21" s="199" t="s">
        <v>49</v>
      </c>
      <c r="B21" s="204" t="s">
        <v>50</v>
      </c>
      <c r="C21" s="205"/>
      <c r="D21" s="252"/>
      <c r="E21" s="41" t="s">
        <v>41</v>
      </c>
      <c r="F21" s="230" t="s">
        <v>51</v>
      </c>
      <c r="G21" s="231"/>
      <c r="H21" s="231"/>
      <c r="I21" s="232"/>
      <c r="J21" s="42"/>
      <c r="K21" s="42"/>
      <c r="L21" s="43"/>
    </row>
    <row r="22" spans="1:12" s="40" customFormat="1" ht="27" customHeight="1">
      <c r="A22" s="200"/>
      <c r="B22" s="207"/>
      <c r="C22" s="208"/>
      <c r="D22" s="209"/>
      <c r="E22" s="44" t="s">
        <v>43</v>
      </c>
      <c r="F22" s="233" t="s">
        <v>52</v>
      </c>
      <c r="G22" s="234"/>
      <c r="H22" s="234"/>
      <c r="I22" s="235"/>
      <c r="J22" s="45"/>
      <c r="K22" s="45"/>
      <c r="L22" s="46"/>
    </row>
    <row r="23" spans="1:12" s="40" customFormat="1" ht="27" customHeight="1">
      <c r="A23" s="200"/>
      <c r="B23" s="207"/>
      <c r="C23" s="208"/>
      <c r="D23" s="209"/>
      <c r="E23" s="44" t="s">
        <v>45</v>
      </c>
      <c r="F23" s="233" t="s">
        <v>53</v>
      </c>
      <c r="G23" s="234"/>
      <c r="H23" s="234"/>
      <c r="I23" s="235"/>
      <c r="J23" s="45"/>
      <c r="K23" s="45"/>
      <c r="L23" s="46"/>
    </row>
    <row r="24" spans="1:12" s="40" customFormat="1" ht="27" customHeight="1">
      <c r="A24" s="201"/>
      <c r="B24" s="210"/>
      <c r="C24" s="211"/>
      <c r="D24" s="212"/>
      <c r="E24" s="47" t="s">
        <v>47</v>
      </c>
      <c r="F24" s="241" t="s">
        <v>54</v>
      </c>
      <c r="G24" s="242"/>
      <c r="H24" s="242"/>
      <c r="I24" s="243"/>
      <c r="J24" s="48"/>
      <c r="K24" s="48"/>
      <c r="L24" s="49"/>
    </row>
    <row r="25" spans="1:12" s="40" customFormat="1" ht="27" customHeight="1">
      <c r="A25" s="199" t="s">
        <v>55</v>
      </c>
      <c r="B25" s="204" t="s">
        <v>56</v>
      </c>
      <c r="C25" s="205"/>
      <c r="D25" s="252"/>
      <c r="E25" s="41" t="s">
        <v>41</v>
      </c>
      <c r="F25" s="230" t="s">
        <v>57</v>
      </c>
      <c r="G25" s="231"/>
      <c r="H25" s="231"/>
      <c r="I25" s="232"/>
      <c r="J25" s="42"/>
      <c r="K25" s="42"/>
      <c r="L25" s="43"/>
    </row>
    <row r="26" spans="1:12" s="40" customFormat="1" ht="27" customHeight="1">
      <c r="A26" s="200"/>
      <c r="B26" s="207"/>
      <c r="C26" s="208"/>
      <c r="D26" s="209"/>
      <c r="E26" s="44" t="s">
        <v>43</v>
      </c>
      <c r="F26" s="233" t="s">
        <v>58</v>
      </c>
      <c r="G26" s="234"/>
      <c r="H26" s="234"/>
      <c r="I26" s="235"/>
      <c r="J26" s="45"/>
      <c r="K26" s="45"/>
      <c r="L26" s="46"/>
    </row>
    <row r="27" spans="1:12" s="40" customFormat="1" ht="27" customHeight="1">
      <c r="A27" s="200"/>
      <c r="B27" s="207"/>
      <c r="C27" s="208"/>
      <c r="D27" s="209"/>
      <c r="E27" s="44" t="s">
        <v>45</v>
      </c>
      <c r="F27" s="233" t="s">
        <v>59</v>
      </c>
      <c r="G27" s="234"/>
      <c r="H27" s="234"/>
      <c r="I27" s="235"/>
      <c r="J27" s="45"/>
      <c r="K27" s="45"/>
      <c r="L27" s="46"/>
    </row>
    <row r="28" spans="1:12" s="40" customFormat="1" ht="27" customHeight="1">
      <c r="A28" s="201"/>
      <c r="B28" s="210"/>
      <c r="C28" s="211"/>
      <c r="D28" s="212"/>
      <c r="E28" s="47" t="s">
        <v>47</v>
      </c>
      <c r="F28" s="241" t="s">
        <v>60</v>
      </c>
      <c r="G28" s="242"/>
      <c r="H28" s="242"/>
      <c r="I28" s="243"/>
      <c r="J28" s="48"/>
      <c r="K28" s="48"/>
      <c r="L28" s="49"/>
    </row>
    <row r="29" spans="1:12" s="40" customFormat="1" ht="27" customHeight="1">
      <c r="A29" s="199" t="s">
        <v>61</v>
      </c>
      <c r="B29" s="204" t="s">
        <v>62</v>
      </c>
      <c r="C29" s="205"/>
      <c r="D29" s="206"/>
      <c r="E29" s="41" t="s">
        <v>41</v>
      </c>
      <c r="F29" s="230" t="s">
        <v>63</v>
      </c>
      <c r="G29" s="231"/>
      <c r="H29" s="231"/>
      <c r="I29" s="232"/>
      <c r="J29" s="42"/>
      <c r="K29" s="42"/>
      <c r="L29" s="43"/>
    </row>
    <row r="30" spans="1:12" s="40" customFormat="1" ht="27" customHeight="1">
      <c r="A30" s="200"/>
      <c r="B30" s="207"/>
      <c r="C30" s="208"/>
      <c r="D30" s="209"/>
      <c r="E30" s="44" t="s">
        <v>43</v>
      </c>
      <c r="F30" s="233" t="s">
        <v>64</v>
      </c>
      <c r="G30" s="234"/>
      <c r="H30" s="234"/>
      <c r="I30" s="235"/>
      <c r="J30" s="45"/>
      <c r="K30" s="45"/>
      <c r="L30" s="46"/>
    </row>
    <row r="31" spans="1:12" s="40" customFormat="1" ht="27" customHeight="1">
      <c r="A31" s="200"/>
      <c r="B31" s="207"/>
      <c r="C31" s="208"/>
      <c r="D31" s="209"/>
      <c r="E31" s="44" t="s">
        <v>45</v>
      </c>
      <c r="F31" s="233" t="s">
        <v>65</v>
      </c>
      <c r="G31" s="234"/>
      <c r="H31" s="234"/>
      <c r="I31" s="235"/>
      <c r="J31" s="45"/>
      <c r="K31" s="45"/>
      <c r="L31" s="46"/>
    </row>
    <row r="32" spans="1:12" s="40" customFormat="1" ht="27" customHeight="1">
      <c r="A32" s="201"/>
      <c r="B32" s="210"/>
      <c r="C32" s="211"/>
      <c r="D32" s="212"/>
      <c r="E32" s="47" t="s">
        <v>47</v>
      </c>
      <c r="F32" s="241" t="s">
        <v>66</v>
      </c>
      <c r="G32" s="242"/>
      <c r="H32" s="242"/>
      <c r="I32" s="243"/>
      <c r="J32" s="48"/>
      <c r="K32" s="48"/>
      <c r="L32" s="49"/>
    </row>
    <row r="33" spans="1:12" s="40" customFormat="1" ht="27" customHeight="1">
      <c r="A33" s="199" t="s">
        <v>67</v>
      </c>
      <c r="B33" s="204" t="s">
        <v>68</v>
      </c>
      <c r="C33" s="205"/>
      <c r="D33" s="252"/>
      <c r="E33" s="41" t="s">
        <v>41</v>
      </c>
      <c r="F33" s="230" t="s">
        <v>69</v>
      </c>
      <c r="G33" s="231"/>
      <c r="H33" s="231"/>
      <c r="I33" s="232"/>
      <c r="J33" s="42"/>
      <c r="K33" s="42"/>
      <c r="L33" s="43"/>
    </row>
    <row r="34" spans="1:12" s="40" customFormat="1" ht="27" customHeight="1">
      <c r="A34" s="200"/>
      <c r="B34" s="207"/>
      <c r="C34" s="208"/>
      <c r="D34" s="209"/>
      <c r="E34" s="44" t="s">
        <v>43</v>
      </c>
      <c r="F34" s="233" t="s">
        <v>70</v>
      </c>
      <c r="G34" s="234"/>
      <c r="H34" s="234"/>
      <c r="I34" s="235"/>
      <c r="J34" s="45"/>
      <c r="K34" s="45"/>
      <c r="L34" s="46"/>
    </row>
    <row r="35" spans="1:12" s="40" customFormat="1" ht="27" customHeight="1">
      <c r="A35" s="200"/>
      <c r="B35" s="207"/>
      <c r="C35" s="208"/>
      <c r="D35" s="209"/>
      <c r="E35" s="44" t="s">
        <v>45</v>
      </c>
      <c r="F35" s="233" t="s">
        <v>71</v>
      </c>
      <c r="G35" s="234"/>
      <c r="H35" s="234"/>
      <c r="I35" s="235"/>
      <c r="J35" s="45"/>
      <c r="K35" s="45"/>
      <c r="L35" s="46"/>
    </row>
    <row r="36" spans="1:12" s="40" customFormat="1" ht="27" customHeight="1">
      <c r="A36" s="201"/>
      <c r="B36" s="210"/>
      <c r="C36" s="211"/>
      <c r="D36" s="212"/>
      <c r="E36" s="47" t="s">
        <v>47</v>
      </c>
      <c r="F36" s="241" t="s">
        <v>72</v>
      </c>
      <c r="G36" s="242"/>
      <c r="H36" s="242"/>
      <c r="I36" s="243"/>
      <c r="J36" s="48"/>
      <c r="K36" s="48"/>
      <c r="L36" s="49"/>
    </row>
    <row r="37" spans="1:12" s="40" customFormat="1" ht="27" customHeight="1">
      <c r="A37" s="199" t="s">
        <v>73</v>
      </c>
      <c r="B37" s="204" t="s">
        <v>74</v>
      </c>
      <c r="C37" s="205"/>
      <c r="D37" s="206"/>
      <c r="E37" s="41" t="s">
        <v>41</v>
      </c>
      <c r="F37" s="230" t="s">
        <v>75</v>
      </c>
      <c r="G37" s="231"/>
      <c r="H37" s="231"/>
      <c r="I37" s="232"/>
      <c r="J37" s="42"/>
      <c r="K37" s="42"/>
      <c r="L37" s="43"/>
    </row>
    <row r="38" spans="1:12" s="40" customFormat="1" ht="27" customHeight="1">
      <c r="A38" s="200"/>
      <c r="B38" s="207"/>
      <c r="C38" s="208"/>
      <c r="D38" s="209"/>
      <c r="E38" s="44" t="s">
        <v>43</v>
      </c>
      <c r="F38" s="233" t="s">
        <v>76</v>
      </c>
      <c r="G38" s="234"/>
      <c r="H38" s="234"/>
      <c r="I38" s="235"/>
      <c r="J38" s="45"/>
      <c r="K38" s="45"/>
      <c r="L38" s="46"/>
    </row>
    <row r="39" spans="1:12" s="40" customFormat="1" ht="27" customHeight="1">
      <c r="A39" s="200"/>
      <c r="B39" s="207"/>
      <c r="C39" s="208"/>
      <c r="D39" s="209"/>
      <c r="E39" s="44" t="s">
        <v>45</v>
      </c>
      <c r="F39" s="233" t="s">
        <v>77</v>
      </c>
      <c r="G39" s="234"/>
      <c r="H39" s="234"/>
      <c r="I39" s="235"/>
      <c r="J39" s="45"/>
      <c r="K39" s="45"/>
      <c r="L39" s="46"/>
    </row>
    <row r="40" spans="1:12" s="40" customFormat="1" ht="27" customHeight="1">
      <c r="A40" s="201"/>
      <c r="B40" s="210"/>
      <c r="C40" s="211"/>
      <c r="D40" s="212"/>
      <c r="E40" s="47" t="s">
        <v>47</v>
      </c>
      <c r="F40" s="241" t="s">
        <v>78</v>
      </c>
      <c r="G40" s="242"/>
      <c r="H40" s="242"/>
      <c r="I40" s="243"/>
      <c r="J40" s="48"/>
      <c r="K40" s="48"/>
      <c r="L40" s="49"/>
    </row>
    <row r="41" spans="1:12" s="40" customFormat="1" ht="27" customHeight="1">
      <c r="A41" s="199" t="s">
        <v>79</v>
      </c>
      <c r="B41" s="204" t="s">
        <v>80</v>
      </c>
      <c r="C41" s="205"/>
      <c r="D41" s="206"/>
      <c r="E41" s="41" t="s">
        <v>41</v>
      </c>
      <c r="F41" s="230" t="s">
        <v>81</v>
      </c>
      <c r="G41" s="231"/>
      <c r="H41" s="231"/>
      <c r="I41" s="232"/>
      <c r="J41" s="42"/>
      <c r="K41" s="42"/>
      <c r="L41" s="43"/>
    </row>
    <row r="42" spans="1:12" s="40" customFormat="1" ht="27" customHeight="1">
      <c r="A42" s="200"/>
      <c r="B42" s="207"/>
      <c r="C42" s="208"/>
      <c r="D42" s="209"/>
      <c r="E42" s="44" t="s">
        <v>43</v>
      </c>
      <c r="F42" s="233" t="s">
        <v>82</v>
      </c>
      <c r="G42" s="234"/>
      <c r="H42" s="234"/>
      <c r="I42" s="235"/>
      <c r="J42" s="45"/>
      <c r="K42" s="45"/>
      <c r="L42" s="46"/>
    </row>
    <row r="43" spans="1:12" s="40" customFormat="1" ht="27" customHeight="1">
      <c r="A43" s="200"/>
      <c r="B43" s="207"/>
      <c r="C43" s="208"/>
      <c r="D43" s="209"/>
      <c r="E43" s="44" t="s">
        <v>45</v>
      </c>
      <c r="F43" s="233" t="s">
        <v>83</v>
      </c>
      <c r="G43" s="234"/>
      <c r="H43" s="234"/>
      <c r="I43" s="235"/>
      <c r="J43" s="45"/>
      <c r="K43" s="45"/>
      <c r="L43" s="46"/>
    </row>
    <row r="44" spans="1:12" s="40" customFormat="1" ht="27" customHeight="1">
      <c r="A44" s="201"/>
      <c r="B44" s="210"/>
      <c r="C44" s="211"/>
      <c r="D44" s="212"/>
      <c r="E44" s="47" t="s">
        <v>47</v>
      </c>
      <c r="F44" s="241" t="s">
        <v>84</v>
      </c>
      <c r="G44" s="242"/>
      <c r="H44" s="242"/>
      <c r="I44" s="243"/>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SUM(J17:J20)*4+SUM(J21:J32)*2+SUM(J33:J36)+SUM(J37:J44)*2+SUM(J45:J46)*0.5</f>
        <v>0</v>
      </c>
      <c r="K47" s="56">
        <f>SUM(K17:K20)*4+SUM(K21:K32)*2+SUM(K33:K36)+SUM(K37:K44)*2+SUM(K45:K46)*0.5</f>
        <v>0</v>
      </c>
      <c r="L47" s="57">
        <f>SUM(L17:L20)*4+SUM(L21:L32)*2+SUM(L33:L36)+SUM(L37:L44)*2+SUM(L45:L46)*0.5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100</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7:L67"/>
    <mergeCell ref="A57:D57"/>
    <mergeCell ref="E57:G57"/>
    <mergeCell ref="H57:L57"/>
    <mergeCell ref="A58:D59"/>
    <mergeCell ref="E58:G59"/>
    <mergeCell ref="H58:L58"/>
    <mergeCell ref="H59:J59"/>
    <mergeCell ref="K59:L59"/>
    <mergeCell ref="G62:L62"/>
    <mergeCell ref="G63:L63"/>
    <mergeCell ref="G64:L64"/>
    <mergeCell ref="G65:L65"/>
    <mergeCell ref="G66:L66"/>
    <mergeCell ref="I56:K56"/>
    <mergeCell ref="A48:I48"/>
    <mergeCell ref="B49:E49"/>
    <mergeCell ref="G49:K49"/>
    <mergeCell ref="B50:E50"/>
    <mergeCell ref="G50:K50"/>
    <mergeCell ref="B51:E51"/>
    <mergeCell ref="G51:K51"/>
    <mergeCell ref="J52:K52"/>
    <mergeCell ref="A53:K53"/>
    <mergeCell ref="B54:K54"/>
    <mergeCell ref="B55:I55"/>
    <mergeCell ref="J55:K55"/>
    <mergeCell ref="A47:I47"/>
    <mergeCell ref="A41:A44"/>
    <mergeCell ref="B41:D44"/>
    <mergeCell ref="F41:I41"/>
    <mergeCell ref="F42:I42"/>
    <mergeCell ref="F43:I43"/>
    <mergeCell ref="F44:I44"/>
    <mergeCell ref="B45:D45"/>
    <mergeCell ref="E45:E46"/>
    <mergeCell ref="F45:I45"/>
    <mergeCell ref="B46:D46"/>
    <mergeCell ref="F46:I46"/>
    <mergeCell ref="A37:A40"/>
    <mergeCell ref="B37:D40"/>
    <mergeCell ref="F37:I37"/>
    <mergeCell ref="F38:I38"/>
    <mergeCell ref="F39:I39"/>
    <mergeCell ref="F40:I40"/>
    <mergeCell ref="A33:A36"/>
    <mergeCell ref="B33:D36"/>
    <mergeCell ref="F33:I33"/>
    <mergeCell ref="F34:I34"/>
    <mergeCell ref="F35:I35"/>
    <mergeCell ref="F36:I36"/>
    <mergeCell ref="A29:A32"/>
    <mergeCell ref="B29:D32"/>
    <mergeCell ref="F29:I29"/>
    <mergeCell ref="F30:I30"/>
    <mergeCell ref="F31:I31"/>
    <mergeCell ref="F32:I32"/>
    <mergeCell ref="A25:A28"/>
    <mergeCell ref="B25:D28"/>
    <mergeCell ref="F25:I25"/>
    <mergeCell ref="F26:I26"/>
    <mergeCell ref="F27:I27"/>
    <mergeCell ref="F28:I28"/>
    <mergeCell ref="A21:A24"/>
    <mergeCell ref="B21:D24"/>
    <mergeCell ref="F21:I21"/>
    <mergeCell ref="F22:I22"/>
    <mergeCell ref="F23:I23"/>
    <mergeCell ref="F24:I24"/>
    <mergeCell ref="A17:A20"/>
    <mergeCell ref="B17:D20"/>
    <mergeCell ref="F17:I17"/>
    <mergeCell ref="F18:I18"/>
    <mergeCell ref="F19:I19"/>
    <mergeCell ref="F20:I20"/>
    <mergeCell ref="B13:E13"/>
    <mergeCell ref="G13:I13"/>
    <mergeCell ref="B14:E14"/>
    <mergeCell ref="G14:I14"/>
    <mergeCell ref="B16:D16"/>
    <mergeCell ref="F16:I16"/>
    <mergeCell ref="B5:E5"/>
    <mergeCell ref="G5:H5"/>
    <mergeCell ref="B6:E6"/>
    <mergeCell ref="G6:H6"/>
    <mergeCell ref="B7:E7"/>
    <mergeCell ref="G7:H7"/>
    <mergeCell ref="B2:E2"/>
    <mergeCell ref="G2:H2"/>
    <mergeCell ref="B3:E3"/>
    <mergeCell ref="G3:H3"/>
    <mergeCell ref="B4:E4"/>
    <mergeCell ref="G4:H4"/>
  </mergeCells>
  <phoneticPr fontId="26"/>
  <conditionalFormatting sqref="E17:E45">
    <cfRule type="cellIs" dxfId="159" priority="1" stopIfTrue="1" operator="equal">
      <formula>$E$12</formula>
    </cfRule>
  </conditionalFormatting>
  <conditionalFormatting sqref="F17:L17">
    <cfRule type="expression" dxfId="158" priority="4" stopIfTrue="1">
      <formula>IF($E$12=$E$17,TRUE)</formula>
    </cfRule>
  </conditionalFormatting>
  <conditionalFormatting sqref="F18:L18">
    <cfRule type="expression" dxfId="157" priority="3" stopIfTrue="1">
      <formula>IF($E$12=$E$18,TRUE)</formula>
    </cfRule>
  </conditionalFormatting>
  <conditionalFormatting sqref="F19:L19">
    <cfRule type="expression" dxfId="156" priority="2" stopIfTrue="1">
      <formula>IF($E$12=$E$19,TRUE)</formula>
    </cfRule>
  </conditionalFormatting>
  <conditionalFormatting sqref="F20:L20">
    <cfRule type="expression" dxfId="155" priority="5" stopIfTrue="1">
      <formula>IF($E$12=$E$20,TRUE)</formula>
    </cfRule>
  </conditionalFormatting>
  <conditionalFormatting sqref="F21:L21">
    <cfRule type="expression" dxfId="154" priority="6" stopIfTrue="1">
      <formula>IF($E$12=$E$21,TRUE)</formula>
    </cfRule>
  </conditionalFormatting>
  <conditionalFormatting sqref="F22:L22">
    <cfRule type="expression" dxfId="153" priority="7" stopIfTrue="1">
      <formula>IF($E$12=$E$22,TRUE)</formula>
    </cfRule>
  </conditionalFormatting>
  <conditionalFormatting sqref="F23:L23">
    <cfRule type="expression" dxfId="152" priority="8" stopIfTrue="1">
      <formula>IF($E$12=$E$23,TRUE)</formula>
    </cfRule>
  </conditionalFormatting>
  <conditionalFormatting sqref="F24:L24">
    <cfRule type="expression" dxfId="151" priority="9" stopIfTrue="1">
      <formula>IF($E$12=$E$24,TRUE)</formula>
    </cfRule>
  </conditionalFormatting>
  <conditionalFormatting sqref="F25:L25">
    <cfRule type="expression" dxfId="150" priority="10" stopIfTrue="1">
      <formula>IF($E$12=$E$25,TRUE)</formula>
    </cfRule>
  </conditionalFormatting>
  <conditionalFormatting sqref="F26:L26">
    <cfRule type="expression" dxfId="149" priority="11" stopIfTrue="1">
      <formula>IF($E$12=$E$26,TRUE)</formula>
    </cfRule>
  </conditionalFormatting>
  <conditionalFormatting sqref="F27:L27">
    <cfRule type="expression" dxfId="148" priority="12" stopIfTrue="1">
      <formula>IF($E$12=$E$27,TRUE)</formula>
    </cfRule>
  </conditionalFormatting>
  <conditionalFormatting sqref="F28:L28">
    <cfRule type="expression" dxfId="147" priority="13" stopIfTrue="1">
      <formula>IF($E$12=$E$28,TRUE)</formula>
    </cfRule>
  </conditionalFormatting>
  <conditionalFormatting sqref="F29:L29">
    <cfRule type="expression" dxfId="146" priority="14" stopIfTrue="1">
      <formula>IF($E$12=$E$29,TRUE)</formula>
    </cfRule>
  </conditionalFormatting>
  <conditionalFormatting sqref="F30:L30">
    <cfRule type="expression" dxfId="145" priority="15" stopIfTrue="1">
      <formula>IF($E$12=$E$30,TRUE)</formula>
    </cfRule>
  </conditionalFormatting>
  <conditionalFormatting sqref="F31:L31">
    <cfRule type="expression" dxfId="144" priority="16" stopIfTrue="1">
      <formula>IF($E$12=$E$31,TRUE)</formula>
    </cfRule>
  </conditionalFormatting>
  <conditionalFormatting sqref="F32:L32">
    <cfRule type="expression" dxfId="143" priority="17" stopIfTrue="1">
      <formula>IF($E$12=$E$32,TRUE)</formula>
    </cfRule>
  </conditionalFormatting>
  <conditionalFormatting sqref="F33:L33">
    <cfRule type="expression" dxfId="142" priority="18" stopIfTrue="1">
      <formula>IF($E$12=$E$33,TRUE)</formula>
    </cfRule>
  </conditionalFormatting>
  <conditionalFormatting sqref="F34:L34">
    <cfRule type="expression" dxfId="141" priority="19" stopIfTrue="1">
      <formula>IF($E$12=$E$34,TRUE)</formula>
    </cfRule>
  </conditionalFormatting>
  <conditionalFormatting sqref="F35:L35">
    <cfRule type="expression" dxfId="140" priority="20" stopIfTrue="1">
      <formula>IF($E$12=$E$35,TRUE)</formula>
    </cfRule>
  </conditionalFormatting>
  <conditionalFormatting sqref="F36:L36">
    <cfRule type="expression" dxfId="139" priority="21" stopIfTrue="1">
      <formula>IF($E$12=$E$36,TRUE)</formula>
    </cfRule>
  </conditionalFormatting>
  <conditionalFormatting sqref="F37:L37">
    <cfRule type="expression" dxfId="138" priority="22" stopIfTrue="1">
      <formula>IF($E$12=$E$37,TRUE)</formula>
    </cfRule>
  </conditionalFormatting>
  <conditionalFormatting sqref="F38:L38">
    <cfRule type="expression" dxfId="137" priority="23" stopIfTrue="1">
      <formula>IF($E$12=$E$38,TRUE)</formula>
    </cfRule>
  </conditionalFormatting>
  <conditionalFormatting sqref="F39:L39">
    <cfRule type="expression" dxfId="136" priority="24" stopIfTrue="1">
      <formula>IF($E$12=$E$39,TRUE)</formula>
    </cfRule>
  </conditionalFormatting>
  <conditionalFormatting sqref="F40:L40">
    <cfRule type="expression" dxfId="135" priority="25" stopIfTrue="1">
      <formula>IF($E$12=$E$40,TRUE)</formula>
    </cfRule>
  </conditionalFormatting>
  <conditionalFormatting sqref="F41:L41">
    <cfRule type="expression" dxfId="134" priority="26" stopIfTrue="1">
      <formula>IF($E$12=$E$41,TRUE)</formula>
    </cfRule>
  </conditionalFormatting>
  <conditionalFormatting sqref="F42:L42">
    <cfRule type="expression" dxfId="133" priority="27" stopIfTrue="1">
      <formula>IF($E$12=$E$42,TRUE)</formula>
    </cfRule>
  </conditionalFormatting>
  <conditionalFormatting sqref="F43:L43">
    <cfRule type="expression" dxfId="132" priority="28" stopIfTrue="1">
      <formula>IF($E$12=$E$43,TRUE)</formula>
    </cfRule>
  </conditionalFormatting>
  <conditionalFormatting sqref="F44:L44">
    <cfRule type="expression" dxfId="131" priority="29" stopIfTrue="1">
      <formula>IF($E$12=$E$44,TRUE)</formula>
    </cfRule>
  </conditionalFormatting>
  <dataValidations count="2">
    <dataValidation type="list" allowBlank="1" showInputMessage="1" showErrorMessage="1" sqref="E12" xr:uid="{00000000-0002-0000-0100-000001000000}">
      <formula1>"Ｒ４,Ｒ３,Ｒ２,Ｒ１"</formula1>
    </dataValidation>
    <dataValidation type="list" allowBlank="1" showInputMessage="1" showErrorMessage="1" sqref="K59:L59" xr:uid="{C671EFB0-5B02-4D87-A375-C652BE70DE87}">
      <formula1>"　,Ａ,Ｂ,Ｃ,Ｄ,Ｅ"</formula1>
    </dataValidation>
  </dataValidations>
  <pageMargins left="1.1811023622047245" right="0.27559055118110237" top="0.59055118110236227" bottom="0.43307086614173229" header="0.43307086614173229" footer="0.23622047244094491"/>
  <pageSetup paperSize="9" scale="56" orientation="portrait" r:id="rId1"/>
  <headerFooter alignWithMargins="0">
    <oddFooter>&amp;L&amp;"ＭＳ Ｐゴシック,標準"NCT日本コムシンク株式会社&amp;R&amp;"ＭＳ Ｐゴシック,標準"印刷&amp;D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67"/>
  <sheetViews>
    <sheetView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125</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126</v>
      </c>
      <c r="B11" s="15"/>
      <c r="C11" s="15"/>
      <c r="D11" s="15"/>
      <c r="E11" s="16"/>
      <c r="F11" s="20"/>
    </row>
    <row r="12" spans="1:12" s="2" customFormat="1" ht="24.75" customHeight="1">
      <c r="A12" s="21"/>
      <c r="B12" s="21"/>
      <c r="C12" s="21"/>
      <c r="D12" s="22" t="s">
        <v>20</v>
      </c>
      <c r="E12" s="23" t="s">
        <v>21</v>
      </c>
      <c r="F12" s="22" t="s">
        <v>22</v>
      </c>
      <c r="G12" s="24">
        <v>45383</v>
      </c>
      <c r="H12" s="25" t="s">
        <v>23</v>
      </c>
      <c r="I12" s="26">
        <v>45565</v>
      </c>
      <c r="J12" s="27"/>
      <c r="K12" s="20"/>
      <c r="L12" s="20"/>
    </row>
    <row r="13" spans="1:12" s="2" customFormat="1" ht="30" customHeight="1">
      <c r="A13" s="3" t="s">
        <v>24</v>
      </c>
      <c r="B13" s="263" t="s">
        <v>127</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customHeight="1">
      <c r="A17" s="199" t="s">
        <v>39</v>
      </c>
      <c r="B17" s="204" t="s">
        <v>40</v>
      </c>
      <c r="C17" s="205"/>
      <c r="D17" s="206"/>
      <c r="E17" s="41" t="s">
        <v>41</v>
      </c>
      <c r="F17" s="230" t="s">
        <v>128</v>
      </c>
      <c r="G17" s="290"/>
      <c r="H17" s="290"/>
      <c r="I17" s="291"/>
      <c r="J17" s="42"/>
      <c r="K17" s="42"/>
      <c r="L17" s="43"/>
    </row>
    <row r="18" spans="1:12" s="40" customFormat="1" ht="27" customHeight="1">
      <c r="A18" s="200"/>
      <c r="B18" s="284"/>
      <c r="C18" s="285"/>
      <c r="D18" s="286"/>
      <c r="E18" s="44" t="s">
        <v>43</v>
      </c>
      <c r="F18" s="233" t="s">
        <v>129</v>
      </c>
      <c r="G18" s="292"/>
      <c r="H18" s="292"/>
      <c r="I18" s="293"/>
      <c r="J18" s="45"/>
      <c r="K18" s="45"/>
      <c r="L18" s="46"/>
    </row>
    <row r="19" spans="1:12" s="40" customFormat="1" ht="27" customHeight="1">
      <c r="A19" s="200"/>
      <c r="B19" s="284"/>
      <c r="C19" s="285"/>
      <c r="D19" s="286"/>
      <c r="E19" s="44" t="s">
        <v>45</v>
      </c>
      <c r="F19" s="233" t="s">
        <v>130</v>
      </c>
      <c r="G19" s="292"/>
      <c r="H19" s="292"/>
      <c r="I19" s="293"/>
      <c r="J19" s="45"/>
      <c r="K19" s="45"/>
      <c r="L19" s="46"/>
    </row>
    <row r="20" spans="1:12" s="40" customFormat="1" ht="27" customHeight="1">
      <c r="A20" s="201"/>
      <c r="B20" s="287"/>
      <c r="C20" s="288"/>
      <c r="D20" s="289"/>
      <c r="E20" s="47" t="s">
        <v>47</v>
      </c>
      <c r="F20" s="241" t="s">
        <v>48</v>
      </c>
      <c r="G20" s="294"/>
      <c r="H20" s="294"/>
      <c r="I20" s="295"/>
      <c r="J20" s="48"/>
      <c r="K20" s="48"/>
      <c r="L20" s="49"/>
    </row>
    <row r="21" spans="1:12" s="40" customFormat="1" ht="27" customHeight="1">
      <c r="A21" s="199" t="s">
        <v>49</v>
      </c>
      <c r="B21" s="204" t="s">
        <v>131</v>
      </c>
      <c r="C21" s="205"/>
      <c r="D21" s="206"/>
      <c r="E21" s="41" t="s">
        <v>41</v>
      </c>
      <c r="F21" s="230" t="s">
        <v>51</v>
      </c>
      <c r="G21" s="290"/>
      <c r="H21" s="290"/>
      <c r="I21" s="291"/>
      <c r="J21" s="42"/>
      <c r="K21" s="42"/>
      <c r="L21" s="43"/>
    </row>
    <row r="22" spans="1:12" s="40" customFormat="1" ht="27" customHeight="1">
      <c r="A22" s="200"/>
      <c r="B22" s="284"/>
      <c r="C22" s="285"/>
      <c r="D22" s="286"/>
      <c r="E22" s="44" t="s">
        <v>43</v>
      </c>
      <c r="F22" s="233" t="s">
        <v>52</v>
      </c>
      <c r="G22" s="292"/>
      <c r="H22" s="292"/>
      <c r="I22" s="293"/>
      <c r="J22" s="45"/>
      <c r="K22" s="45"/>
      <c r="L22" s="46"/>
    </row>
    <row r="23" spans="1:12" s="40" customFormat="1" ht="27" customHeight="1">
      <c r="A23" s="200"/>
      <c r="B23" s="284"/>
      <c r="C23" s="285"/>
      <c r="D23" s="286"/>
      <c r="E23" s="44" t="s">
        <v>45</v>
      </c>
      <c r="F23" s="233" t="s">
        <v>53</v>
      </c>
      <c r="G23" s="292"/>
      <c r="H23" s="292"/>
      <c r="I23" s="293"/>
      <c r="J23" s="45"/>
      <c r="K23" s="45"/>
      <c r="L23" s="46"/>
    </row>
    <row r="24" spans="1:12" s="40" customFormat="1" ht="27" customHeight="1">
      <c r="A24" s="201"/>
      <c r="B24" s="287"/>
      <c r="C24" s="288"/>
      <c r="D24" s="289"/>
      <c r="E24" s="47" t="s">
        <v>47</v>
      </c>
      <c r="F24" s="241" t="s">
        <v>54</v>
      </c>
      <c r="G24" s="242"/>
      <c r="H24" s="242"/>
      <c r="I24" s="243"/>
      <c r="J24" s="48"/>
      <c r="K24" s="48"/>
      <c r="L24" s="49"/>
    </row>
    <row r="25" spans="1:12" s="40" customFormat="1" ht="27" customHeight="1">
      <c r="A25" s="199" t="s">
        <v>55</v>
      </c>
      <c r="B25" s="204" t="s">
        <v>132</v>
      </c>
      <c r="C25" s="205"/>
      <c r="D25" s="206"/>
      <c r="E25" s="41" t="s">
        <v>41</v>
      </c>
      <c r="F25" s="230" t="s">
        <v>57</v>
      </c>
      <c r="G25" s="290"/>
      <c r="H25" s="290"/>
      <c r="I25" s="291"/>
      <c r="J25" s="42"/>
      <c r="K25" s="42"/>
      <c r="L25" s="43"/>
    </row>
    <row r="26" spans="1:12" s="40" customFormat="1" ht="27" customHeight="1">
      <c r="A26" s="200"/>
      <c r="B26" s="284"/>
      <c r="C26" s="285"/>
      <c r="D26" s="286"/>
      <c r="E26" s="44" t="s">
        <v>43</v>
      </c>
      <c r="F26" s="233" t="s">
        <v>58</v>
      </c>
      <c r="G26" s="292"/>
      <c r="H26" s="292"/>
      <c r="I26" s="293"/>
      <c r="J26" s="45"/>
      <c r="K26" s="45"/>
      <c r="L26" s="46"/>
    </row>
    <row r="27" spans="1:12" s="40" customFormat="1" ht="27" customHeight="1">
      <c r="A27" s="200"/>
      <c r="B27" s="284"/>
      <c r="C27" s="285"/>
      <c r="D27" s="286"/>
      <c r="E27" s="44" t="s">
        <v>45</v>
      </c>
      <c r="F27" s="233" t="s">
        <v>133</v>
      </c>
      <c r="G27" s="292"/>
      <c r="H27" s="292"/>
      <c r="I27" s="293"/>
      <c r="J27" s="45"/>
      <c r="K27" s="45"/>
      <c r="L27" s="46"/>
    </row>
    <row r="28" spans="1:12" s="40" customFormat="1" ht="27" customHeight="1">
      <c r="A28" s="201"/>
      <c r="B28" s="287"/>
      <c r="C28" s="288"/>
      <c r="D28" s="289"/>
      <c r="E28" s="47" t="s">
        <v>47</v>
      </c>
      <c r="F28" s="241" t="s">
        <v>134</v>
      </c>
      <c r="G28" s="294"/>
      <c r="H28" s="294"/>
      <c r="I28" s="295"/>
      <c r="J28" s="48"/>
      <c r="K28" s="48"/>
      <c r="L28" s="49"/>
    </row>
    <row r="29" spans="1:12" s="40" customFormat="1" ht="27" customHeight="1">
      <c r="A29" s="199" t="s">
        <v>61</v>
      </c>
      <c r="B29" s="204" t="s">
        <v>62</v>
      </c>
      <c r="C29" s="205"/>
      <c r="D29" s="206"/>
      <c r="E29" s="41" t="s">
        <v>41</v>
      </c>
      <c r="F29" s="230" t="s">
        <v>135</v>
      </c>
      <c r="G29" s="290"/>
      <c r="H29" s="290"/>
      <c r="I29" s="291"/>
      <c r="J29" s="42"/>
      <c r="K29" s="42"/>
      <c r="L29" s="43"/>
    </row>
    <row r="30" spans="1:12" s="40" customFormat="1" ht="27" customHeight="1">
      <c r="A30" s="200"/>
      <c r="B30" s="284"/>
      <c r="C30" s="285"/>
      <c r="D30" s="286"/>
      <c r="E30" s="44" t="s">
        <v>43</v>
      </c>
      <c r="F30" s="233" t="s">
        <v>64</v>
      </c>
      <c r="G30" s="292"/>
      <c r="H30" s="292"/>
      <c r="I30" s="293"/>
      <c r="J30" s="45"/>
      <c r="K30" s="45"/>
      <c r="L30" s="46"/>
    </row>
    <row r="31" spans="1:12" s="40" customFormat="1" ht="27" customHeight="1">
      <c r="A31" s="200"/>
      <c r="B31" s="284"/>
      <c r="C31" s="285"/>
      <c r="D31" s="286"/>
      <c r="E31" s="44" t="s">
        <v>45</v>
      </c>
      <c r="F31" s="233" t="s">
        <v>65</v>
      </c>
      <c r="G31" s="292"/>
      <c r="H31" s="292"/>
      <c r="I31" s="293"/>
      <c r="J31" s="45"/>
      <c r="K31" s="45"/>
      <c r="L31" s="46"/>
    </row>
    <row r="32" spans="1:12" s="40" customFormat="1" ht="27" customHeight="1">
      <c r="A32" s="201"/>
      <c r="B32" s="287"/>
      <c r="C32" s="288"/>
      <c r="D32" s="289"/>
      <c r="E32" s="47" t="s">
        <v>47</v>
      </c>
      <c r="F32" s="241" t="s">
        <v>66</v>
      </c>
      <c r="G32" s="294"/>
      <c r="H32" s="294"/>
      <c r="I32" s="295"/>
      <c r="J32" s="48"/>
      <c r="K32" s="48"/>
      <c r="L32" s="49"/>
    </row>
    <row r="33" spans="1:12" s="40" customFormat="1" ht="27" customHeight="1">
      <c r="A33" s="199" t="s">
        <v>67</v>
      </c>
      <c r="B33" s="204" t="s">
        <v>68</v>
      </c>
      <c r="C33" s="205"/>
      <c r="D33" s="206"/>
      <c r="E33" s="41" t="s">
        <v>41</v>
      </c>
      <c r="F33" s="230" t="s">
        <v>69</v>
      </c>
      <c r="G33" s="290"/>
      <c r="H33" s="290"/>
      <c r="I33" s="291"/>
      <c r="J33" s="42"/>
      <c r="K33" s="42"/>
      <c r="L33" s="43"/>
    </row>
    <row r="34" spans="1:12" s="40" customFormat="1" ht="27" customHeight="1">
      <c r="A34" s="200"/>
      <c r="B34" s="284"/>
      <c r="C34" s="285"/>
      <c r="D34" s="286"/>
      <c r="E34" s="44" t="s">
        <v>43</v>
      </c>
      <c r="F34" s="233" t="s">
        <v>70</v>
      </c>
      <c r="G34" s="292"/>
      <c r="H34" s="292"/>
      <c r="I34" s="293"/>
      <c r="J34" s="45"/>
      <c r="K34" s="45"/>
      <c r="L34" s="46"/>
    </row>
    <row r="35" spans="1:12" s="40" customFormat="1" ht="27" customHeight="1">
      <c r="A35" s="200"/>
      <c r="B35" s="284"/>
      <c r="C35" s="285"/>
      <c r="D35" s="286"/>
      <c r="E35" s="44" t="s">
        <v>45</v>
      </c>
      <c r="F35" s="233" t="s">
        <v>71</v>
      </c>
      <c r="G35" s="234"/>
      <c r="H35" s="234"/>
      <c r="I35" s="235"/>
      <c r="J35" s="45"/>
      <c r="K35" s="45"/>
      <c r="L35" s="46"/>
    </row>
    <row r="36" spans="1:12" s="40" customFormat="1" ht="27" customHeight="1">
      <c r="A36" s="201"/>
      <c r="B36" s="287"/>
      <c r="C36" s="288"/>
      <c r="D36" s="289"/>
      <c r="E36" s="47" t="s">
        <v>47</v>
      </c>
      <c r="F36" s="241" t="s">
        <v>72</v>
      </c>
      <c r="G36" s="294"/>
      <c r="H36" s="294"/>
      <c r="I36" s="295"/>
      <c r="J36" s="48"/>
      <c r="K36" s="48"/>
      <c r="L36" s="49"/>
    </row>
    <row r="37" spans="1:12" s="40" customFormat="1" ht="27" customHeight="1">
      <c r="A37" s="199" t="s">
        <v>73</v>
      </c>
      <c r="B37" s="204" t="s">
        <v>74</v>
      </c>
      <c r="C37" s="205"/>
      <c r="D37" s="206"/>
      <c r="E37" s="41" t="s">
        <v>41</v>
      </c>
      <c r="F37" s="230" t="s">
        <v>136</v>
      </c>
      <c r="G37" s="290"/>
      <c r="H37" s="290"/>
      <c r="I37" s="291"/>
      <c r="J37" s="42"/>
      <c r="K37" s="42"/>
      <c r="L37" s="43"/>
    </row>
    <row r="38" spans="1:12" s="40" customFormat="1" ht="27" customHeight="1">
      <c r="A38" s="200"/>
      <c r="B38" s="284"/>
      <c r="C38" s="285"/>
      <c r="D38" s="286"/>
      <c r="E38" s="44" t="s">
        <v>43</v>
      </c>
      <c r="F38" s="233" t="s">
        <v>76</v>
      </c>
      <c r="G38" s="292"/>
      <c r="H38" s="292"/>
      <c r="I38" s="293"/>
      <c r="J38" s="45"/>
      <c r="K38" s="45"/>
      <c r="L38" s="46"/>
    </row>
    <row r="39" spans="1:12" s="40" customFormat="1" ht="27" customHeight="1">
      <c r="A39" s="200"/>
      <c r="B39" s="284"/>
      <c r="C39" s="285"/>
      <c r="D39" s="286"/>
      <c r="E39" s="44" t="s">
        <v>45</v>
      </c>
      <c r="F39" s="233" t="s">
        <v>77</v>
      </c>
      <c r="G39" s="292"/>
      <c r="H39" s="292"/>
      <c r="I39" s="293"/>
      <c r="J39" s="45"/>
      <c r="K39" s="45"/>
      <c r="L39" s="46"/>
    </row>
    <row r="40" spans="1:12" s="40" customFormat="1" ht="27" customHeight="1">
      <c r="A40" s="201"/>
      <c r="B40" s="287"/>
      <c r="C40" s="288"/>
      <c r="D40" s="289"/>
      <c r="E40" s="47" t="s">
        <v>47</v>
      </c>
      <c r="F40" s="241" t="s">
        <v>78</v>
      </c>
      <c r="G40" s="294"/>
      <c r="H40" s="294"/>
      <c r="I40" s="295"/>
      <c r="J40" s="48"/>
      <c r="K40" s="48"/>
      <c r="L40" s="49"/>
    </row>
    <row r="41" spans="1:12" s="40" customFormat="1" ht="27" customHeight="1">
      <c r="A41" s="199" t="s">
        <v>79</v>
      </c>
      <c r="B41" s="204" t="s">
        <v>80</v>
      </c>
      <c r="C41" s="205"/>
      <c r="D41" s="206"/>
      <c r="E41" s="41" t="s">
        <v>41</v>
      </c>
      <c r="F41" s="230" t="s">
        <v>81</v>
      </c>
      <c r="G41" s="290"/>
      <c r="H41" s="290"/>
      <c r="I41" s="291"/>
      <c r="J41" s="42"/>
      <c r="K41" s="42"/>
      <c r="L41" s="43"/>
    </row>
    <row r="42" spans="1:12" s="40" customFormat="1" ht="27" customHeight="1">
      <c r="A42" s="200"/>
      <c r="B42" s="284"/>
      <c r="C42" s="285"/>
      <c r="D42" s="286"/>
      <c r="E42" s="44" t="s">
        <v>43</v>
      </c>
      <c r="F42" s="233" t="s">
        <v>82</v>
      </c>
      <c r="G42" s="292"/>
      <c r="H42" s="292"/>
      <c r="I42" s="293"/>
      <c r="J42" s="45"/>
      <c r="K42" s="45"/>
      <c r="L42" s="46"/>
    </row>
    <row r="43" spans="1:12" s="40" customFormat="1" ht="27" customHeight="1">
      <c r="A43" s="200"/>
      <c r="B43" s="284"/>
      <c r="C43" s="285"/>
      <c r="D43" s="286"/>
      <c r="E43" s="44" t="s">
        <v>45</v>
      </c>
      <c r="F43" s="233" t="s">
        <v>83</v>
      </c>
      <c r="G43" s="292"/>
      <c r="H43" s="292"/>
      <c r="I43" s="293"/>
      <c r="J43" s="45"/>
      <c r="K43" s="45"/>
      <c r="L43" s="46"/>
    </row>
    <row r="44" spans="1:12" s="40" customFormat="1" ht="27" customHeight="1">
      <c r="A44" s="201"/>
      <c r="B44" s="287"/>
      <c r="C44" s="288"/>
      <c r="D44" s="289"/>
      <c r="E44" s="47" t="s">
        <v>47</v>
      </c>
      <c r="F44" s="241" t="s">
        <v>84</v>
      </c>
      <c r="G44" s="294"/>
      <c r="H44" s="294"/>
      <c r="I44" s="295"/>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SUM(J17:J20)*4+SUM(J21:J32)*2+SUM(J33:J36)+SUM(J37:J44)*2+SUM(J45:J46)*0.5</f>
        <v>0</v>
      </c>
      <c r="K47" s="56">
        <f>SUM(K17:K20)*4+SUM(K21:K32)*2+SUM(K33:K36)+SUM(K37:K44)*2+SUM(K45:K46)*0.5</f>
        <v>0</v>
      </c>
      <c r="L47" s="57">
        <f>SUM(L17:L20)*4+SUM(L21:L32)*2+SUM(L33:L36)+SUM(L37:L44)*2+SUM(L45:L46)*0.5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137</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6:L66"/>
    <mergeCell ref="G67:L67"/>
    <mergeCell ref="G62:L62"/>
    <mergeCell ref="G63:L63"/>
    <mergeCell ref="G64:L64"/>
    <mergeCell ref="G65:L65"/>
    <mergeCell ref="A58:D59"/>
    <mergeCell ref="E58:G59"/>
    <mergeCell ref="H59:J59"/>
    <mergeCell ref="A53:K53"/>
    <mergeCell ref="A47:I47"/>
    <mergeCell ref="K59:L59"/>
    <mergeCell ref="E57:G57"/>
    <mergeCell ref="H57:L57"/>
    <mergeCell ref="F42:I42"/>
    <mergeCell ref="B50:E50"/>
    <mergeCell ref="G50:K50"/>
    <mergeCell ref="B51:E51"/>
    <mergeCell ref="F43:I43"/>
    <mergeCell ref="F44:I44"/>
    <mergeCell ref="F45:I45"/>
    <mergeCell ref="F46:I46"/>
    <mergeCell ref="B45:D45"/>
    <mergeCell ref="B46:D46"/>
    <mergeCell ref="E45:E46"/>
    <mergeCell ref="F39:I39"/>
    <mergeCell ref="F40:I40"/>
    <mergeCell ref="A41:A44"/>
    <mergeCell ref="H58:L58"/>
    <mergeCell ref="A48:I48"/>
    <mergeCell ref="B49:E49"/>
    <mergeCell ref="G49:K49"/>
    <mergeCell ref="G51:K51"/>
    <mergeCell ref="J52:K52"/>
    <mergeCell ref="I56:K56"/>
    <mergeCell ref="A57:D57"/>
    <mergeCell ref="B54:K54"/>
    <mergeCell ref="J55:K55"/>
    <mergeCell ref="B55:I55"/>
    <mergeCell ref="B41:D44"/>
    <mergeCell ref="F41:I41"/>
    <mergeCell ref="A37:A40"/>
    <mergeCell ref="A29:A32"/>
    <mergeCell ref="B29:D32"/>
    <mergeCell ref="F29:I29"/>
    <mergeCell ref="F30:I30"/>
    <mergeCell ref="F31:I31"/>
    <mergeCell ref="F32:I32"/>
    <mergeCell ref="A33:A36"/>
    <mergeCell ref="B33:D36"/>
    <mergeCell ref="F33:I33"/>
    <mergeCell ref="F34:I34"/>
    <mergeCell ref="F35:I35"/>
    <mergeCell ref="F36:I36"/>
    <mergeCell ref="B37:D40"/>
    <mergeCell ref="F37:I37"/>
    <mergeCell ref="F38:I38"/>
    <mergeCell ref="A25:A28"/>
    <mergeCell ref="B25:D28"/>
    <mergeCell ref="F25:I25"/>
    <mergeCell ref="F26:I26"/>
    <mergeCell ref="F27:I27"/>
    <mergeCell ref="F28:I28"/>
    <mergeCell ref="B13:E13"/>
    <mergeCell ref="G13:I13"/>
    <mergeCell ref="B14:E14"/>
    <mergeCell ref="G14:I14"/>
    <mergeCell ref="A17:A20"/>
    <mergeCell ref="B17:D20"/>
    <mergeCell ref="F17:I17"/>
    <mergeCell ref="F18:I18"/>
    <mergeCell ref="F19:I19"/>
    <mergeCell ref="F20:I20"/>
    <mergeCell ref="B16:D16"/>
    <mergeCell ref="F16:I16"/>
    <mergeCell ref="A21:A24"/>
    <mergeCell ref="B21:D24"/>
    <mergeCell ref="F21:I21"/>
    <mergeCell ref="F22:I22"/>
    <mergeCell ref="F23:I23"/>
    <mergeCell ref="F24:I24"/>
    <mergeCell ref="B5:E5"/>
    <mergeCell ref="B6:E6"/>
    <mergeCell ref="B7:E7"/>
    <mergeCell ref="G5:H5"/>
    <mergeCell ref="G6:H6"/>
    <mergeCell ref="G7:H7"/>
    <mergeCell ref="B2:E2"/>
    <mergeCell ref="G2:H2"/>
    <mergeCell ref="G3:H3"/>
    <mergeCell ref="G4:H4"/>
    <mergeCell ref="B3:E3"/>
    <mergeCell ref="B4:E4"/>
  </mergeCells>
  <phoneticPr fontId="24"/>
  <conditionalFormatting sqref="E17:E45">
    <cfRule type="cellIs" dxfId="130" priority="1" stopIfTrue="1" operator="equal">
      <formula>$E$12</formula>
    </cfRule>
  </conditionalFormatting>
  <conditionalFormatting sqref="F17 J17:L17">
    <cfRule type="expression" dxfId="129" priority="5" stopIfTrue="1">
      <formula>IF($E$12=$E$17,TRUE)</formula>
    </cfRule>
  </conditionalFormatting>
  <conditionalFormatting sqref="F18 J18:L18">
    <cfRule type="expression" dxfId="128" priority="4" stopIfTrue="1">
      <formula>IF($E$12=$E$18,TRUE)</formula>
    </cfRule>
  </conditionalFormatting>
  <conditionalFormatting sqref="F19 J19:L19">
    <cfRule type="expression" dxfId="127" priority="3" stopIfTrue="1">
      <formula>IF($E$12=$E$19,TRUE)</formula>
    </cfRule>
  </conditionalFormatting>
  <conditionalFormatting sqref="F20 J20:L20">
    <cfRule type="expression" dxfId="126" priority="6" stopIfTrue="1">
      <formula>IF($E$12=$E$20,TRUE)</formula>
    </cfRule>
  </conditionalFormatting>
  <conditionalFormatting sqref="F21 J21:L21">
    <cfRule type="expression" dxfId="125" priority="7" stopIfTrue="1">
      <formula>IF($E$12=$E$21,TRUE)</formula>
    </cfRule>
  </conditionalFormatting>
  <conditionalFormatting sqref="F22 J22:L22">
    <cfRule type="expression" dxfId="124" priority="8" stopIfTrue="1">
      <formula>IF($E$12=$E$22,TRUE)</formula>
    </cfRule>
  </conditionalFormatting>
  <conditionalFormatting sqref="F23 J23:L23">
    <cfRule type="expression" dxfId="123" priority="9" stopIfTrue="1">
      <formula>IF($E$12=$E$23,TRUE)</formula>
    </cfRule>
  </conditionalFormatting>
  <conditionalFormatting sqref="F25 J25:L25">
    <cfRule type="expression" dxfId="122" priority="11" stopIfTrue="1">
      <formula>IF($E$12=$E$25,TRUE)</formula>
    </cfRule>
  </conditionalFormatting>
  <conditionalFormatting sqref="F26 J26:L26">
    <cfRule type="expression" dxfId="121" priority="12" stopIfTrue="1">
      <formula>IF($E$12=$E$26,TRUE)</formula>
    </cfRule>
  </conditionalFormatting>
  <conditionalFormatting sqref="F27 J27:L27">
    <cfRule type="expression" dxfId="120" priority="13" stopIfTrue="1">
      <formula>IF($E$12=$E$27,TRUE)</formula>
    </cfRule>
  </conditionalFormatting>
  <conditionalFormatting sqref="F28 J28:L28">
    <cfRule type="expression" dxfId="119" priority="14" stopIfTrue="1">
      <formula>IF($E$12=$E$28,TRUE)</formula>
    </cfRule>
  </conditionalFormatting>
  <conditionalFormatting sqref="F29 J29:L29">
    <cfRule type="expression" dxfId="118" priority="15" stopIfTrue="1">
      <formula>IF($E$12=$E$29,TRUE)</formula>
    </cfRule>
  </conditionalFormatting>
  <conditionalFormatting sqref="F30 J30:L30">
    <cfRule type="expression" dxfId="117" priority="16" stopIfTrue="1">
      <formula>IF($E$12=$E$30,TRUE)</formula>
    </cfRule>
  </conditionalFormatting>
  <conditionalFormatting sqref="F31 J31:L31">
    <cfRule type="expression" dxfId="116" priority="17" stopIfTrue="1">
      <formula>IF($E$12=$E$31,TRUE)</formula>
    </cfRule>
  </conditionalFormatting>
  <conditionalFormatting sqref="F32 J32:L32">
    <cfRule type="expression" dxfId="115" priority="18" stopIfTrue="1">
      <formula>IF($E$12=$E$32,TRUE)</formula>
    </cfRule>
  </conditionalFormatting>
  <conditionalFormatting sqref="F33 J33:L33">
    <cfRule type="expression" dxfId="114" priority="19" stopIfTrue="1">
      <formula>IF($E$12=$E$33,TRUE)</formula>
    </cfRule>
  </conditionalFormatting>
  <conditionalFormatting sqref="F34 J34:L34">
    <cfRule type="expression" dxfId="113" priority="20" stopIfTrue="1">
      <formula>IF($E$12=$E$34,TRUE)</formula>
    </cfRule>
  </conditionalFormatting>
  <conditionalFormatting sqref="F36 J36:L36">
    <cfRule type="expression" dxfId="112" priority="22" stopIfTrue="1">
      <formula>IF($E$12=$E$36,TRUE)</formula>
    </cfRule>
  </conditionalFormatting>
  <conditionalFormatting sqref="F37 J37:L37">
    <cfRule type="expression" dxfId="111" priority="23" stopIfTrue="1">
      <formula>IF($E$12=$E$37,TRUE)</formula>
    </cfRule>
  </conditionalFormatting>
  <conditionalFormatting sqref="F38 J38:L38">
    <cfRule type="expression" dxfId="110" priority="24" stopIfTrue="1">
      <formula>IF($E$12=$E$38,TRUE)</formula>
    </cfRule>
  </conditionalFormatting>
  <conditionalFormatting sqref="F39 J39:L39">
    <cfRule type="expression" dxfId="109" priority="25" stopIfTrue="1">
      <formula>IF($E$12=$E$39,TRUE)</formula>
    </cfRule>
  </conditionalFormatting>
  <conditionalFormatting sqref="F40 J40:L40">
    <cfRule type="expression" dxfId="108" priority="26" stopIfTrue="1">
      <formula>IF($E$12=$E$40,TRUE)</formula>
    </cfRule>
  </conditionalFormatting>
  <conditionalFormatting sqref="F41 J41:L41">
    <cfRule type="expression" dxfId="107" priority="27" stopIfTrue="1">
      <formula>IF($E$12=$E$41,TRUE)</formula>
    </cfRule>
  </conditionalFormatting>
  <conditionalFormatting sqref="F42 J42:L42">
    <cfRule type="expression" dxfId="106" priority="28" stopIfTrue="1">
      <formula>IF($E$12=$E$42,TRUE)</formula>
    </cfRule>
  </conditionalFormatting>
  <conditionalFormatting sqref="F43 J43:L43">
    <cfRule type="expression" dxfId="105" priority="29" stopIfTrue="1">
      <formula>IF($E$12=$E$43,TRUE)</formula>
    </cfRule>
  </conditionalFormatting>
  <conditionalFormatting sqref="F44 J44:L44">
    <cfRule type="expression" dxfId="104" priority="30" stopIfTrue="1">
      <formula>IF($E$12=$E$44,TRUE)</formula>
    </cfRule>
  </conditionalFormatting>
  <conditionalFormatting sqref="F24:L24">
    <cfRule type="expression" dxfId="103" priority="10" stopIfTrue="1">
      <formula>IF($E$12=$E$24,TRUE)</formula>
    </cfRule>
  </conditionalFormatting>
  <conditionalFormatting sqref="F35:L35">
    <cfRule type="expression" dxfId="102" priority="21" stopIfTrue="1">
      <formula>IF($E$12=$E$35,TRUE)</formula>
    </cfRule>
  </conditionalFormatting>
  <dataValidations count="2">
    <dataValidation type="list" allowBlank="1" showInputMessage="1" showErrorMessage="1" sqref="E12" xr:uid="{00000000-0002-0000-0200-000000000000}">
      <formula1>"Ｒ４,Ｒ３,Ｒ２,Ｒ１"</formula1>
    </dataValidation>
    <dataValidation type="list" allowBlank="1" showInputMessage="1" showErrorMessage="1" sqref="K59:L59" xr:uid="{3F47A06E-4303-4333-B5E8-86551C0E6A33}">
      <formula1>"　,Ａ,Ｂ,Ｃ,Ｄ,Ｅ"</formula1>
    </dataValidation>
  </dataValidations>
  <pageMargins left="1.1811023622047245" right="0.27559055118110237" top="0.59055118110236227" bottom="0.43307086614173229" header="0.43307086614173229" footer="0.23622047244094491"/>
  <pageSetup paperSize="9" scale="56" orientation="portrait" r:id="rId1"/>
  <headerFooter alignWithMargins="0">
    <oddFooter>&amp;L&amp;"ＭＳ Ｐゴシック,標準"NCT日本コムシンク株式会社&amp;R&amp;"ＭＳ Ｐゴシック,標準"印刷&amp;D</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67"/>
  <sheetViews>
    <sheetView topLeftCell="A2"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10</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138</v>
      </c>
      <c r="B11" s="15"/>
      <c r="C11" s="15"/>
      <c r="D11" s="15"/>
      <c r="E11" s="16"/>
      <c r="F11" s="20"/>
    </row>
    <row r="12" spans="1:12" s="2" customFormat="1" ht="24.75" customHeight="1">
      <c r="A12" s="21"/>
      <c r="B12" s="21"/>
      <c r="C12" s="21"/>
      <c r="D12" s="22" t="s">
        <v>20</v>
      </c>
      <c r="E12" s="23" t="s">
        <v>21</v>
      </c>
      <c r="F12" s="22" t="s">
        <v>22</v>
      </c>
      <c r="G12" s="24">
        <v>45383</v>
      </c>
      <c r="H12" s="25" t="s">
        <v>23</v>
      </c>
      <c r="I12" s="26">
        <v>45565</v>
      </c>
      <c r="J12" s="27"/>
      <c r="K12" s="20"/>
      <c r="L12" s="20"/>
    </row>
    <row r="13" spans="1:12" s="2" customFormat="1" ht="30" customHeight="1">
      <c r="A13" s="3" t="s">
        <v>24</v>
      </c>
      <c r="B13" s="263" t="s">
        <v>139</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customHeight="1">
      <c r="A17" s="199" t="s">
        <v>39</v>
      </c>
      <c r="B17" s="204" t="s">
        <v>40</v>
      </c>
      <c r="C17" s="205"/>
      <c r="D17" s="252"/>
      <c r="E17" s="41" t="s">
        <v>41</v>
      </c>
      <c r="F17" s="230" t="s">
        <v>140</v>
      </c>
      <c r="G17" s="231"/>
      <c r="H17" s="231"/>
      <c r="I17" s="232"/>
      <c r="J17" s="42"/>
      <c r="K17" s="42"/>
      <c r="L17" s="43"/>
    </row>
    <row r="18" spans="1:12" s="40" customFormat="1" ht="27" customHeight="1">
      <c r="A18" s="200"/>
      <c r="B18" s="207"/>
      <c r="C18" s="208"/>
      <c r="D18" s="209"/>
      <c r="E18" s="44" t="s">
        <v>43</v>
      </c>
      <c r="F18" s="233" t="s">
        <v>141</v>
      </c>
      <c r="G18" s="234"/>
      <c r="H18" s="234"/>
      <c r="I18" s="235"/>
      <c r="J18" s="45"/>
      <c r="K18" s="45"/>
      <c r="L18" s="46"/>
    </row>
    <row r="19" spans="1:12" s="40" customFormat="1" ht="27" customHeight="1">
      <c r="A19" s="200"/>
      <c r="B19" s="207"/>
      <c r="C19" s="208"/>
      <c r="D19" s="209"/>
      <c r="E19" s="44" t="s">
        <v>45</v>
      </c>
      <c r="F19" s="233" t="s">
        <v>142</v>
      </c>
      <c r="G19" s="234"/>
      <c r="H19" s="234"/>
      <c r="I19" s="235"/>
      <c r="J19" s="45"/>
      <c r="K19" s="45"/>
      <c r="L19" s="46"/>
    </row>
    <row r="20" spans="1:12" s="40" customFormat="1" ht="27" customHeight="1">
      <c r="A20" s="201"/>
      <c r="B20" s="210"/>
      <c r="C20" s="211"/>
      <c r="D20" s="212"/>
      <c r="E20" s="47" t="s">
        <v>47</v>
      </c>
      <c r="F20" s="241" t="s">
        <v>143</v>
      </c>
      <c r="G20" s="242"/>
      <c r="H20" s="242"/>
      <c r="I20" s="243"/>
      <c r="J20" s="48"/>
      <c r="K20" s="48"/>
      <c r="L20" s="49"/>
    </row>
    <row r="21" spans="1:12" s="40" customFormat="1" ht="27" customHeight="1">
      <c r="A21" s="199" t="s">
        <v>49</v>
      </c>
      <c r="B21" s="204" t="s">
        <v>144</v>
      </c>
      <c r="C21" s="205"/>
      <c r="D21" s="252"/>
      <c r="E21" s="41" t="s">
        <v>41</v>
      </c>
      <c r="F21" s="230" t="s">
        <v>51</v>
      </c>
      <c r="G21" s="231"/>
      <c r="H21" s="231"/>
      <c r="I21" s="232"/>
      <c r="J21" s="42"/>
      <c r="K21" s="42"/>
      <c r="L21" s="43"/>
    </row>
    <row r="22" spans="1:12" s="40" customFormat="1" ht="27" customHeight="1">
      <c r="A22" s="200"/>
      <c r="B22" s="207"/>
      <c r="C22" s="208"/>
      <c r="D22" s="209"/>
      <c r="E22" s="44" t="s">
        <v>43</v>
      </c>
      <c r="F22" s="233" t="s">
        <v>52</v>
      </c>
      <c r="G22" s="234"/>
      <c r="H22" s="234"/>
      <c r="I22" s="235"/>
      <c r="J22" s="45"/>
      <c r="K22" s="45"/>
      <c r="L22" s="46"/>
    </row>
    <row r="23" spans="1:12" s="40" customFormat="1" ht="27" customHeight="1">
      <c r="A23" s="200"/>
      <c r="B23" s="207"/>
      <c r="C23" s="208"/>
      <c r="D23" s="209"/>
      <c r="E23" s="44" t="s">
        <v>45</v>
      </c>
      <c r="F23" s="233" t="s">
        <v>53</v>
      </c>
      <c r="G23" s="234"/>
      <c r="H23" s="234"/>
      <c r="I23" s="235"/>
      <c r="J23" s="45"/>
      <c r="K23" s="45"/>
      <c r="L23" s="46"/>
    </row>
    <row r="24" spans="1:12" s="40" customFormat="1" ht="27" customHeight="1">
      <c r="A24" s="201"/>
      <c r="B24" s="210"/>
      <c r="C24" s="211"/>
      <c r="D24" s="212"/>
      <c r="E24" s="47" t="s">
        <v>47</v>
      </c>
      <c r="F24" s="241" t="s">
        <v>54</v>
      </c>
      <c r="G24" s="242"/>
      <c r="H24" s="242"/>
      <c r="I24" s="243"/>
      <c r="J24" s="48"/>
      <c r="K24" s="48"/>
      <c r="L24" s="49"/>
    </row>
    <row r="25" spans="1:12" s="40" customFormat="1" ht="27" customHeight="1">
      <c r="A25" s="199" t="s">
        <v>55</v>
      </c>
      <c r="B25" s="204" t="s">
        <v>145</v>
      </c>
      <c r="C25" s="205"/>
      <c r="D25" s="252"/>
      <c r="E25" s="41" t="s">
        <v>41</v>
      </c>
      <c r="F25" s="230" t="s">
        <v>146</v>
      </c>
      <c r="G25" s="231"/>
      <c r="H25" s="231"/>
      <c r="I25" s="232"/>
      <c r="J25" s="42"/>
      <c r="K25" s="42"/>
      <c r="L25" s="43"/>
    </row>
    <row r="26" spans="1:12" s="40" customFormat="1" ht="27" customHeight="1">
      <c r="A26" s="200"/>
      <c r="B26" s="207"/>
      <c r="C26" s="208"/>
      <c r="D26" s="209"/>
      <c r="E26" s="44" t="s">
        <v>43</v>
      </c>
      <c r="F26" s="233" t="s">
        <v>147</v>
      </c>
      <c r="G26" s="234"/>
      <c r="H26" s="234"/>
      <c r="I26" s="235"/>
      <c r="J26" s="45"/>
      <c r="K26" s="45"/>
      <c r="L26" s="46"/>
    </row>
    <row r="27" spans="1:12" s="40" customFormat="1" ht="27" customHeight="1">
      <c r="A27" s="200"/>
      <c r="B27" s="207"/>
      <c r="C27" s="208"/>
      <c r="D27" s="209"/>
      <c r="E27" s="44" t="s">
        <v>45</v>
      </c>
      <c r="F27" s="233" t="s">
        <v>148</v>
      </c>
      <c r="G27" s="234"/>
      <c r="H27" s="234"/>
      <c r="I27" s="235"/>
      <c r="J27" s="45"/>
      <c r="K27" s="45"/>
      <c r="L27" s="46"/>
    </row>
    <row r="28" spans="1:12" s="40" customFormat="1" ht="27" customHeight="1">
      <c r="A28" s="201"/>
      <c r="B28" s="210"/>
      <c r="C28" s="211"/>
      <c r="D28" s="212"/>
      <c r="E28" s="47" t="s">
        <v>47</v>
      </c>
      <c r="F28" s="241" t="s">
        <v>149</v>
      </c>
      <c r="G28" s="242"/>
      <c r="H28" s="242"/>
      <c r="I28" s="243"/>
      <c r="J28" s="48"/>
      <c r="K28" s="48"/>
      <c r="L28" s="49"/>
    </row>
    <row r="29" spans="1:12" s="40" customFormat="1" ht="27" customHeight="1">
      <c r="A29" s="199" t="s">
        <v>61</v>
      </c>
      <c r="B29" s="204" t="s">
        <v>150</v>
      </c>
      <c r="C29" s="205"/>
      <c r="D29" s="206"/>
      <c r="E29" s="41" t="s">
        <v>41</v>
      </c>
      <c r="F29" s="230" t="s">
        <v>63</v>
      </c>
      <c r="G29" s="231"/>
      <c r="H29" s="231"/>
      <c r="I29" s="232"/>
      <c r="J29" s="42"/>
      <c r="K29" s="42"/>
      <c r="L29" s="43"/>
    </row>
    <row r="30" spans="1:12" s="40" customFormat="1" ht="27" customHeight="1">
      <c r="A30" s="200"/>
      <c r="B30" s="207"/>
      <c r="C30" s="208"/>
      <c r="D30" s="209"/>
      <c r="E30" s="44" t="s">
        <v>43</v>
      </c>
      <c r="F30" s="233" t="s">
        <v>151</v>
      </c>
      <c r="G30" s="234"/>
      <c r="H30" s="234"/>
      <c r="I30" s="235"/>
      <c r="J30" s="45"/>
      <c r="K30" s="45"/>
      <c r="L30" s="46"/>
    </row>
    <row r="31" spans="1:12" s="40" customFormat="1" ht="27" customHeight="1">
      <c r="A31" s="200"/>
      <c r="B31" s="207"/>
      <c r="C31" s="208"/>
      <c r="D31" s="209"/>
      <c r="E31" s="44" t="s">
        <v>45</v>
      </c>
      <c r="F31" s="233" t="s">
        <v>152</v>
      </c>
      <c r="G31" s="234"/>
      <c r="H31" s="234"/>
      <c r="I31" s="235"/>
      <c r="J31" s="45"/>
      <c r="K31" s="45"/>
      <c r="L31" s="46"/>
    </row>
    <row r="32" spans="1:12" s="40" customFormat="1" ht="27" customHeight="1">
      <c r="A32" s="201"/>
      <c r="B32" s="210"/>
      <c r="C32" s="211"/>
      <c r="D32" s="212"/>
      <c r="E32" s="47" t="s">
        <v>47</v>
      </c>
      <c r="F32" s="241" t="s">
        <v>153</v>
      </c>
      <c r="G32" s="242"/>
      <c r="H32" s="242"/>
      <c r="I32" s="243"/>
      <c r="J32" s="48"/>
      <c r="K32" s="48"/>
      <c r="L32" s="49"/>
    </row>
    <row r="33" spans="1:12" s="40" customFormat="1" ht="27" customHeight="1">
      <c r="A33" s="199" t="s">
        <v>154</v>
      </c>
      <c r="B33" s="204" t="s">
        <v>155</v>
      </c>
      <c r="C33" s="205"/>
      <c r="D33" s="252"/>
      <c r="E33" s="41" t="s">
        <v>41</v>
      </c>
      <c r="F33" s="230" t="s">
        <v>156</v>
      </c>
      <c r="G33" s="231"/>
      <c r="H33" s="231"/>
      <c r="I33" s="232"/>
      <c r="J33" s="42"/>
      <c r="K33" s="42"/>
      <c r="L33" s="43"/>
    </row>
    <row r="34" spans="1:12" s="40" customFormat="1" ht="27" customHeight="1">
      <c r="A34" s="200"/>
      <c r="B34" s="207"/>
      <c r="C34" s="208"/>
      <c r="D34" s="209"/>
      <c r="E34" s="44" t="s">
        <v>43</v>
      </c>
      <c r="F34" s="233" t="s">
        <v>157</v>
      </c>
      <c r="G34" s="234"/>
      <c r="H34" s="234"/>
      <c r="I34" s="235"/>
      <c r="J34" s="45"/>
      <c r="K34" s="45"/>
      <c r="L34" s="46"/>
    </row>
    <row r="35" spans="1:12" s="40" customFormat="1" ht="27" customHeight="1">
      <c r="A35" s="200"/>
      <c r="B35" s="207"/>
      <c r="C35" s="208"/>
      <c r="D35" s="209"/>
      <c r="E35" s="44" t="s">
        <v>45</v>
      </c>
      <c r="F35" s="233" t="s">
        <v>158</v>
      </c>
      <c r="G35" s="234"/>
      <c r="H35" s="234"/>
      <c r="I35" s="235"/>
      <c r="J35" s="45"/>
      <c r="K35" s="45"/>
      <c r="L35" s="46"/>
    </row>
    <row r="36" spans="1:12" s="40" customFormat="1" ht="27" customHeight="1">
      <c r="A36" s="201"/>
      <c r="B36" s="210"/>
      <c r="C36" s="211"/>
      <c r="D36" s="212"/>
      <c r="E36" s="47" t="s">
        <v>47</v>
      </c>
      <c r="F36" s="241" t="s">
        <v>72</v>
      </c>
      <c r="G36" s="242"/>
      <c r="H36" s="242"/>
      <c r="I36" s="243"/>
      <c r="J36" s="48"/>
      <c r="K36" s="48"/>
      <c r="L36" s="49"/>
    </row>
    <row r="37" spans="1:12" s="40" customFormat="1" ht="27" customHeight="1">
      <c r="A37" s="199" t="s">
        <v>73</v>
      </c>
      <c r="B37" s="204" t="s">
        <v>159</v>
      </c>
      <c r="C37" s="205"/>
      <c r="D37" s="206"/>
      <c r="E37" s="41" t="s">
        <v>41</v>
      </c>
      <c r="F37" s="230" t="s">
        <v>160</v>
      </c>
      <c r="G37" s="231"/>
      <c r="H37" s="231"/>
      <c r="I37" s="232"/>
      <c r="J37" s="42"/>
      <c r="K37" s="42"/>
      <c r="L37" s="43"/>
    </row>
    <row r="38" spans="1:12" s="40" customFormat="1" ht="27" customHeight="1">
      <c r="A38" s="200"/>
      <c r="B38" s="207"/>
      <c r="C38" s="208"/>
      <c r="D38" s="209"/>
      <c r="E38" s="44" t="s">
        <v>43</v>
      </c>
      <c r="F38" s="233" t="s">
        <v>161</v>
      </c>
      <c r="G38" s="234"/>
      <c r="H38" s="234"/>
      <c r="I38" s="235"/>
      <c r="J38" s="45"/>
      <c r="K38" s="45"/>
      <c r="L38" s="46"/>
    </row>
    <row r="39" spans="1:12" s="40" customFormat="1" ht="27" customHeight="1">
      <c r="A39" s="200"/>
      <c r="B39" s="207"/>
      <c r="C39" s="208"/>
      <c r="D39" s="209"/>
      <c r="E39" s="44" t="s">
        <v>45</v>
      </c>
      <c r="F39" s="233" t="s">
        <v>77</v>
      </c>
      <c r="G39" s="234"/>
      <c r="H39" s="234"/>
      <c r="I39" s="235"/>
      <c r="J39" s="45"/>
      <c r="K39" s="45"/>
      <c r="L39" s="46"/>
    </row>
    <row r="40" spans="1:12" s="40" customFormat="1" ht="27" customHeight="1">
      <c r="A40" s="201"/>
      <c r="B40" s="210"/>
      <c r="C40" s="211"/>
      <c r="D40" s="212"/>
      <c r="E40" s="47" t="s">
        <v>47</v>
      </c>
      <c r="F40" s="241" t="s">
        <v>78</v>
      </c>
      <c r="G40" s="242"/>
      <c r="H40" s="242"/>
      <c r="I40" s="243"/>
      <c r="J40" s="48"/>
      <c r="K40" s="48"/>
      <c r="L40" s="49"/>
    </row>
    <row r="41" spans="1:12" s="40" customFormat="1" ht="27" customHeight="1">
      <c r="A41" s="199" t="s">
        <v>162</v>
      </c>
      <c r="B41" s="204" t="s">
        <v>80</v>
      </c>
      <c r="C41" s="205"/>
      <c r="D41" s="206"/>
      <c r="E41" s="41" t="s">
        <v>41</v>
      </c>
      <c r="F41" s="230" t="s">
        <v>163</v>
      </c>
      <c r="G41" s="231"/>
      <c r="H41" s="231"/>
      <c r="I41" s="232"/>
      <c r="J41" s="42"/>
      <c r="K41" s="42"/>
      <c r="L41" s="43"/>
    </row>
    <row r="42" spans="1:12" s="40" customFormat="1" ht="27" customHeight="1">
      <c r="A42" s="200"/>
      <c r="B42" s="207"/>
      <c r="C42" s="208"/>
      <c r="D42" s="209"/>
      <c r="E42" s="44" t="s">
        <v>43</v>
      </c>
      <c r="F42" s="233" t="s">
        <v>164</v>
      </c>
      <c r="G42" s="234"/>
      <c r="H42" s="234"/>
      <c r="I42" s="235"/>
      <c r="J42" s="45"/>
      <c r="K42" s="45"/>
      <c r="L42" s="46"/>
    </row>
    <row r="43" spans="1:12" s="40" customFormat="1" ht="27" customHeight="1">
      <c r="A43" s="200"/>
      <c r="B43" s="207"/>
      <c r="C43" s="208"/>
      <c r="D43" s="209"/>
      <c r="E43" s="44" t="s">
        <v>45</v>
      </c>
      <c r="F43" s="233" t="s">
        <v>165</v>
      </c>
      <c r="G43" s="234"/>
      <c r="H43" s="234"/>
      <c r="I43" s="235"/>
      <c r="J43" s="45"/>
      <c r="K43" s="45"/>
      <c r="L43" s="46"/>
    </row>
    <row r="44" spans="1:12" s="40" customFormat="1" ht="27" customHeight="1">
      <c r="A44" s="201"/>
      <c r="B44" s="210"/>
      <c r="C44" s="211"/>
      <c r="D44" s="212"/>
      <c r="E44" s="47" t="s">
        <v>47</v>
      </c>
      <c r="F44" s="241" t="s">
        <v>84</v>
      </c>
      <c r="G44" s="242"/>
      <c r="H44" s="242"/>
      <c r="I44" s="243"/>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SUM(J17:J20)*4+SUM(J21:J40)*2+SUM(J41:J44)+SUM(J45:J46)*0.5</f>
        <v>0</v>
      </c>
      <c r="K47" s="56">
        <f>SUM(K17:K20)*4+SUM(K21:K40)*2+SUM(K41:K44)+SUM(K45:K46)*0.5</f>
        <v>0</v>
      </c>
      <c r="L47" s="57">
        <f>SUM(L17:L20)*4+SUM(L21:L40)*2+SUM(L41:L44)+SUM(L45:L46)*0.5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137</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6:L66"/>
    <mergeCell ref="G67:L67"/>
    <mergeCell ref="G62:L62"/>
    <mergeCell ref="G63:L63"/>
    <mergeCell ref="G64:L64"/>
    <mergeCell ref="G65:L65"/>
    <mergeCell ref="A58:D59"/>
    <mergeCell ref="E58:G59"/>
    <mergeCell ref="H59:J59"/>
    <mergeCell ref="A53:K53"/>
    <mergeCell ref="A47:I47"/>
    <mergeCell ref="K59:L59"/>
    <mergeCell ref="E57:G57"/>
    <mergeCell ref="H57:L57"/>
    <mergeCell ref="F42:I42"/>
    <mergeCell ref="B50:E50"/>
    <mergeCell ref="G50:K50"/>
    <mergeCell ref="B51:E51"/>
    <mergeCell ref="F43:I43"/>
    <mergeCell ref="F44:I44"/>
    <mergeCell ref="F45:I45"/>
    <mergeCell ref="F46:I46"/>
    <mergeCell ref="B45:D45"/>
    <mergeCell ref="B46:D46"/>
    <mergeCell ref="E45:E46"/>
    <mergeCell ref="F39:I39"/>
    <mergeCell ref="F40:I40"/>
    <mergeCell ref="A41:A44"/>
    <mergeCell ref="H58:L58"/>
    <mergeCell ref="A48:I48"/>
    <mergeCell ref="B49:E49"/>
    <mergeCell ref="G49:K49"/>
    <mergeCell ref="G51:K51"/>
    <mergeCell ref="J52:K52"/>
    <mergeCell ref="I56:K56"/>
    <mergeCell ref="A57:D57"/>
    <mergeCell ref="B54:K54"/>
    <mergeCell ref="J55:K55"/>
    <mergeCell ref="B55:I55"/>
    <mergeCell ref="B41:D44"/>
    <mergeCell ref="F41:I41"/>
    <mergeCell ref="A37:A40"/>
    <mergeCell ref="A29:A32"/>
    <mergeCell ref="B29:D32"/>
    <mergeCell ref="F29:I29"/>
    <mergeCell ref="F30:I30"/>
    <mergeCell ref="F31:I31"/>
    <mergeCell ref="F32:I32"/>
    <mergeCell ref="A33:A36"/>
    <mergeCell ref="B33:D36"/>
    <mergeCell ref="F33:I33"/>
    <mergeCell ref="F34:I34"/>
    <mergeCell ref="F35:I35"/>
    <mergeCell ref="F36:I36"/>
    <mergeCell ref="B37:D40"/>
    <mergeCell ref="F37:I37"/>
    <mergeCell ref="F38:I38"/>
    <mergeCell ref="A25:A28"/>
    <mergeCell ref="B25:D28"/>
    <mergeCell ref="F25:I25"/>
    <mergeCell ref="F26:I26"/>
    <mergeCell ref="F27:I27"/>
    <mergeCell ref="F28:I28"/>
    <mergeCell ref="B13:E13"/>
    <mergeCell ref="G13:I13"/>
    <mergeCell ref="B14:E14"/>
    <mergeCell ref="G14:I14"/>
    <mergeCell ref="A17:A20"/>
    <mergeCell ref="B17:D20"/>
    <mergeCell ref="F17:I17"/>
    <mergeCell ref="F18:I18"/>
    <mergeCell ref="F19:I19"/>
    <mergeCell ref="F20:I20"/>
    <mergeCell ref="B16:D16"/>
    <mergeCell ref="F16:I16"/>
    <mergeCell ref="A21:A24"/>
    <mergeCell ref="B21:D24"/>
    <mergeCell ref="F21:I21"/>
    <mergeCell ref="F22:I22"/>
    <mergeCell ref="F23:I23"/>
    <mergeCell ref="F24:I24"/>
    <mergeCell ref="B5:E5"/>
    <mergeCell ref="B6:E6"/>
    <mergeCell ref="B7:E7"/>
    <mergeCell ref="G5:H5"/>
    <mergeCell ref="G6:H6"/>
    <mergeCell ref="G7:H7"/>
    <mergeCell ref="B2:E2"/>
    <mergeCell ref="G2:H2"/>
    <mergeCell ref="G3:H3"/>
    <mergeCell ref="G4:H4"/>
    <mergeCell ref="B3:E3"/>
    <mergeCell ref="B4:E4"/>
  </mergeCells>
  <phoneticPr fontId="24"/>
  <conditionalFormatting sqref="E17:E45">
    <cfRule type="cellIs" dxfId="101" priority="1" stopIfTrue="1" operator="equal">
      <formula>$E$12</formula>
    </cfRule>
  </conditionalFormatting>
  <conditionalFormatting sqref="F17:L17">
    <cfRule type="expression" dxfId="100" priority="5" stopIfTrue="1">
      <formula>IF($E$12=$E$17,TRUE)</formula>
    </cfRule>
  </conditionalFormatting>
  <conditionalFormatting sqref="F18:L18">
    <cfRule type="expression" dxfId="99" priority="4" stopIfTrue="1">
      <formula>IF($E$12=$E$18,TRUE)</formula>
    </cfRule>
  </conditionalFormatting>
  <conditionalFormatting sqref="F19:L19">
    <cfRule type="expression" dxfId="98" priority="3" stopIfTrue="1">
      <formula>IF($E$12=$E$19,TRUE)</formula>
    </cfRule>
  </conditionalFormatting>
  <conditionalFormatting sqref="F20:L20">
    <cfRule type="expression" dxfId="97" priority="6" stopIfTrue="1">
      <formula>IF($E$12=$E$20,TRUE)</formula>
    </cfRule>
  </conditionalFormatting>
  <conditionalFormatting sqref="F21:L21">
    <cfRule type="expression" dxfId="96" priority="7" stopIfTrue="1">
      <formula>IF($E$12=$E$21,TRUE)</formula>
    </cfRule>
  </conditionalFormatting>
  <conditionalFormatting sqref="F22:L22">
    <cfRule type="expression" dxfId="95" priority="8" stopIfTrue="1">
      <formula>IF($E$12=$E$22,TRUE)</formula>
    </cfRule>
  </conditionalFormatting>
  <conditionalFormatting sqref="F23:L23">
    <cfRule type="expression" dxfId="94" priority="9" stopIfTrue="1">
      <formula>IF($E$12=$E$23,TRUE)</formula>
    </cfRule>
  </conditionalFormatting>
  <conditionalFormatting sqref="F24:L24">
    <cfRule type="expression" dxfId="93" priority="10" stopIfTrue="1">
      <formula>IF($E$12=$E$24,TRUE)</formula>
    </cfRule>
  </conditionalFormatting>
  <conditionalFormatting sqref="F25:L25">
    <cfRule type="expression" dxfId="92" priority="11" stopIfTrue="1">
      <formula>IF($E$12=$E$25,TRUE)</formula>
    </cfRule>
  </conditionalFormatting>
  <conditionalFormatting sqref="F26:L26">
    <cfRule type="expression" dxfId="91" priority="12" stopIfTrue="1">
      <formula>IF($E$12=$E$26,TRUE)</formula>
    </cfRule>
  </conditionalFormatting>
  <conditionalFormatting sqref="F27:L27">
    <cfRule type="expression" dxfId="90" priority="13" stopIfTrue="1">
      <formula>IF($E$12=$E$27,TRUE)</formula>
    </cfRule>
  </conditionalFormatting>
  <conditionalFormatting sqref="F28:L28">
    <cfRule type="expression" dxfId="89" priority="14" stopIfTrue="1">
      <formula>IF($E$12=$E$28,TRUE)</formula>
    </cfRule>
  </conditionalFormatting>
  <conditionalFormatting sqref="F29:L29">
    <cfRule type="expression" dxfId="88" priority="15" stopIfTrue="1">
      <formula>IF($E$12=$E$29,TRUE)</formula>
    </cfRule>
  </conditionalFormatting>
  <conditionalFormatting sqref="F30:L30">
    <cfRule type="expression" dxfId="87" priority="16" stopIfTrue="1">
      <formula>IF($E$12=$E$30,TRUE)</formula>
    </cfRule>
  </conditionalFormatting>
  <conditionalFormatting sqref="F31:L31">
    <cfRule type="expression" dxfId="86" priority="17" stopIfTrue="1">
      <formula>IF($E$12=$E$31,TRUE)</formula>
    </cfRule>
  </conditionalFormatting>
  <conditionalFormatting sqref="F32:L32">
    <cfRule type="expression" dxfId="85" priority="18" stopIfTrue="1">
      <formula>IF($E$12=$E$32,TRUE)</formula>
    </cfRule>
  </conditionalFormatting>
  <conditionalFormatting sqref="F33:L33">
    <cfRule type="expression" dxfId="84" priority="19" stopIfTrue="1">
      <formula>IF($E$12=$E$33,TRUE)</formula>
    </cfRule>
  </conditionalFormatting>
  <conditionalFormatting sqref="F34:L34">
    <cfRule type="expression" dxfId="83" priority="20" stopIfTrue="1">
      <formula>IF($E$12=$E$34,TRUE)</formula>
    </cfRule>
  </conditionalFormatting>
  <conditionalFormatting sqref="F35:L35">
    <cfRule type="expression" dxfId="82" priority="21" stopIfTrue="1">
      <formula>IF($E$12=$E$35,TRUE)</formula>
    </cfRule>
  </conditionalFormatting>
  <conditionalFormatting sqref="F36:L36">
    <cfRule type="expression" dxfId="81" priority="22" stopIfTrue="1">
      <formula>IF($E$12=$E$36,TRUE)</formula>
    </cfRule>
  </conditionalFormatting>
  <conditionalFormatting sqref="F37:L37">
    <cfRule type="expression" dxfId="80" priority="23" stopIfTrue="1">
      <formula>IF($E$12=$E$37,TRUE)</formula>
    </cfRule>
  </conditionalFormatting>
  <conditionalFormatting sqref="F38:L38">
    <cfRule type="expression" dxfId="79" priority="24" stopIfTrue="1">
      <formula>IF($E$12=$E$38,TRUE)</formula>
    </cfRule>
  </conditionalFormatting>
  <conditionalFormatting sqref="F39:L39">
    <cfRule type="expression" dxfId="78" priority="25" stopIfTrue="1">
      <formula>IF($E$12=$E$39,TRUE)</formula>
    </cfRule>
  </conditionalFormatting>
  <conditionalFormatting sqref="F40:L40">
    <cfRule type="expression" dxfId="77" priority="26" stopIfTrue="1">
      <formula>IF($E$12=$E$40,TRUE)</formula>
    </cfRule>
  </conditionalFormatting>
  <conditionalFormatting sqref="F41:L41">
    <cfRule type="expression" dxfId="76" priority="27" stopIfTrue="1">
      <formula>IF($E$12=$E$41,TRUE)</formula>
    </cfRule>
  </conditionalFormatting>
  <conditionalFormatting sqref="F42:L42">
    <cfRule type="expression" dxfId="75" priority="28" stopIfTrue="1">
      <formula>IF($E$12=$E$42,TRUE)</formula>
    </cfRule>
  </conditionalFormatting>
  <conditionalFormatting sqref="F43:L43">
    <cfRule type="expression" dxfId="74" priority="29" stopIfTrue="1">
      <formula>IF($E$12=$E$43,TRUE)</formula>
    </cfRule>
  </conditionalFormatting>
  <conditionalFormatting sqref="F44:L44">
    <cfRule type="expression" dxfId="73" priority="30" stopIfTrue="1">
      <formula>IF($E$12=$E$44,TRUE)</formula>
    </cfRule>
  </conditionalFormatting>
  <dataValidations count="2">
    <dataValidation type="list" allowBlank="1" showInputMessage="1" showErrorMessage="1" sqref="E12" xr:uid="{00000000-0002-0000-0300-000000000000}">
      <formula1>"Ｒ４,Ｒ３,Ｒ２,Ｒ１"</formula1>
    </dataValidation>
    <dataValidation type="list" allowBlank="1" showInputMessage="1" showErrorMessage="1" sqref="K59:L59" xr:uid="{1FDC4B8A-5003-400F-ACBA-10AE37605E92}">
      <formula1>"　,Ａ,Ｂ,Ｃ,Ｄ,Ｅ"</formula1>
    </dataValidation>
  </dataValidations>
  <pageMargins left="1.1811023622047245" right="0.27559055118110237" top="0.59055118110236227" bottom="0.43307086614173229" header="0.43307086614173229" footer="0.23622047244094491"/>
  <pageSetup paperSize="9" scale="56" orientation="portrait" r:id="rId1"/>
  <headerFooter alignWithMargins="0">
    <oddFooter>&amp;L&amp;"ＭＳ Ｐゴシック,標準"NCT日本コムシンク株式会社&amp;R&amp;"ＭＳ Ｐゴシック,標準"印刷&amp;D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67"/>
  <sheetViews>
    <sheetView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10</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166</v>
      </c>
      <c r="B11" s="15"/>
      <c r="C11" s="15"/>
      <c r="D11" s="15"/>
      <c r="E11" s="16"/>
      <c r="F11" s="20"/>
    </row>
    <row r="12" spans="1:12" s="2" customFormat="1" ht="24.75" customHeight="1">
      <c r="A12" s="21"/>
      <c r="B12" s="21"/>
      <c r="C12" s="21"/>
      <c r="D12" s="22" t="s">
        <v>20</v>
      </c>
      <c r="E12" s="23" t="s">
        <v>21</v>
      </c>
      <c r="F12" s="22" t="s">
        <v>22</v>
      </c>
      <c r="G12" s="24">
        <v>45383</v>
      </c>
      <c r="H12" s="25" t="s">
        <v>23</v>
      </c>
      <c r="I12" s="26">
        <v>45565</v>
      </c>
      <c r="J12" s="27"/>
      <c r="K12" s="20"/>
      <c r="L12" s="20"/>
    </row>
    <row r="13" spans="1:12" s="2" customFormat="1" ht="30" customHeight="1">
      <c r="A13" s="3" t="s">
        <v>24</v>
      </c>
      <c r="B13" s="263" t="s">
        <v>167</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customHeight="1">
      <c r="A17" s="199" t="s">
        <v>39</v>
      </c>
      <c r="B17" s="204" t="s">
        <v>40</v>
      </c>
      <c r="C17" s="205"/>
      <c r="D17" s="252"/>
      <c r="E17" s="41" t="s">
        <v>41</v>
      </c>
      <c r="F17" s="230" t="s">
        <v>168</v>
      </c>
      <c r="G17" s="231"/>
      <c r="H17" s="231"/>
      <c r="I17" s="232"/>
      <c r="J17" s="42"/>
      <c r="K17" s="42"/>
      <c r="L17" s="43"/>
    </row>
    <row r="18" spans="1:12" s="40" customFormat="1" ht="27" customHeight="1">
      <c r="A18" s="200"/>
      <c r="B18" s="207"/>
      <c r="C18" s="208"/>
      <c r="D18" s="209"/>
      <c r="E18" s="44" t="s">
        <v>43</v>
      </c>
      <c r="F18" s="233" t="s">
        <v>169</v>
      </c>
      <c r="G18" s="234"/>
      <c r="H18" s="234"/>
      <c r="I18" s="235"/>
      <c r="J18" s="45"/>
      <c r="K18" s="45"/>
      <c r="L18" s="46"/>
    </row>
    <row r="19" spans="1:12" s="40" customFormat="1" ht="27" customHeight="1">
      <c r="A19" s="200"/>
      <c r="B19" s="207"/>
      <c r="C19" s="208"/>
      <c r="D19" s="209"/>
      <c r="E19" s="44" t="s">
        <v>45</v>
      </c>
      <c r="F19" s="233" t="s">
        <v>170</v>
      </c>
      <c r="G19" s="234"/>
      <c r="H19" s="234"/>
      <c r="I19" s="235"/>
      <c r="J19" s="45"/>
      <c r="K19" s="45"/>
      <c r="L19" s="46"/>
    </row>
    <row r="20" spans="1:12" s="40" customFormat="1" ht="27" customHeight="1">
      <c r="A20" s="201"/>
      <c r="B20" s="210"/>
      <c r="C20" s="211"/>
      <c r="D20" s="212"/>
      <c r="E20" s="47" t="s">
        <v>47</v>
      </c>
      <c r="F20" s="241" t="s">
        <v>171</v>
      </c>
      <c r="G20" s="242"/>
      <c r="H20" s="242"/>
      <c r="I20" s="243"/>
      <c r="J20" s="48"/>
      <c r="K20" s="48"/>
      <c r="L20" s="49"/>
    </row>
    <row r="21" spans="1:12" s="40" customFormat="1" ht="27" customHeight="1">
      <c r="A21" s="199" t="s">
        <v>49</v>
      </c>
      <c r="B21" s="204" t="s">
        <v>172</v>
      </c>
      <c r="C21" s="205"/>
      <c r="D21" s="252"/>
      <c r="E21" s="41" t="s">
        <v>41</v>
      </c>
      <c r="F21" s="230" t="s">
        <v>51</v>
      </c>
      <c r="G21" s="231"/>
      <c r="H21" s="231"/>
      <c r="I21" s="232"/>
      <c r="J21" s="42"/>
      <c r="K21" s="42"/>
      <c r="L21" s="43"/>
    </row>
    <row r="22" spans="1:12" s="40" customFormat="1" ht="27" customHeight="1">
      <c r="A22" s="200"/>
      <c r="B22" s="207"/>
      <c r="C22" s="208"/>
      <c r="D22" s="209"/>
      <c r="E22" s="44" t="s">
        <v>43</v>
      </c>
      <c r="F22" s="233" t="s">
        <v>52</v>
      </c>
      <c r="G22" s="234"/>
      <c r="H22" s="234"/>
      <c r="I22" s="235"/>
      <c r="J22" s="45"/>
      <c r="K22" s="45"/>
      <c r="L22" s="46"/>
    </row>
    <row r="23" spans="1:12" s="40" customFormat="1" ht="27" customHeight="1">
      <c r="A23" s="200"/>
      <c r="B23" s="207"/>
      <c r="C23" s="208"/>
      <c r="D23" s="209"/>
      <c r="E23" s="44" t="s">
        <v>45</v>
      </c>
      <c r="F23" s="233" t="s">
        <v>53</v>
      </c>
      <c r="G23" s="234"/>
      <c r="H23" s="234"/>
      <c r="I23" s="235"/>
      <c r="J23" s="45"/>
      <c r="K23" s="45"/>
      <c r="L23" s="46"/>
    </row>
    <row r="24" spans="1:12" s="40" customFormat="1" ht="27" customHeight="1">
      <c r="A24" s="201"/>
      <c r="B24" s="210"/>
      <c r="C24" s="211"/>
      <c r="D24" s="212"/>
      <c r="E24" s="47" t="s">
        <v>47</v>
      </c>
      <c r="F24" s="241" t="s">
        <v>54</v>
      </c>
      <c r="G24" s="242"/>
      <c r="H24" s="242"/>
      <c r="I24" s="243"/>
      <c r="J24" s="48"/>
      <c r="K24" s="48"/>
      <c r="L24" s="49"/>
    </row>
    <row r="25" spans="1:12" s="40" customFormat="1" ht="27" customHeight="1">
      <c r="A25" s="199" t="s">
        <v>55</v>
      </c>
      <c r="B25" s="204" t="s">
        <v>173</v>
      </c>
      <c r="C25" s="205"/>
      <c r="D25" s="252"/>
      <c r="E25" s="41" t="s">
        <v>41</v>
      </c>
      <c r="F25" s="230" t="s">
        <v>57</v>
      </c>
      <c r="G25" s="231"/>
      <c r="H25" s="231"/>
      <c r="I25" s="232"/>
      <c r="J25" s="42"/>
      <c r="K25" s="42"/>
      <c r="L25" s="43"/>
    </row>
    <row r="26" spans="1:12" s="40" customFormat="1" ht="27" customHeight="1">
      <c r="A26" s="200"/>
      <c r="B26" s="207"/>
      <c r="C26" s="208"/>
      <c r="D26" s="209"/>
      <c r="E26" s="44" t="s">
        <v>43</v>
      </c>
      <c r="F26" s="233" t="s">
        <v>174</v>
      </c>
      <c r="G26" s="234"/>
      <c r="H26" s="234"/>
      <c r="I26" s="235"/>
      <c r="J26" s="45"/>
      <c r="K26" s="45"/>
      <c r="L26" s="46"/>
    </row>
    <row r="27" spans="1:12" s="40" customFormat="1" ht="27" customHeight="1">
      <c r="A27" s="200"/>
      <c r="B27" s="207"/>
      <c r="C27" s="208"/>
      <c r="D27" s="209"/>
      <c r="E27" s="44" t="s">
        <v>45</v>
      </c>
      <c r="F27" s="233" t="s">
        <v>175</v>
      </c>
      <c r="G27" s="234"/>
      <c r="H27" s="234"/>
      <c r="I27" s="235"/>
      <c r="J27" s="45"/>
      <c r="K27" s="45"/>
      <c r="L27" s="46"/>
    </row>
    <row r="28" spans="1:12" s="40" customFormat="1" ht="27" customHeight="1">
      <c r="A28" s="201"/>
      <c r="B28" s="210"/>
      <c r="C28" s="211"/>
      <c r="D28" s="212"/>
      <c r="E28" s="47" t="s">
        <v>47</v>
      </c>
      <c r="F28" s="241" t="s">
        <v>176</v>
      </c>
      <c r="G28" s="242"/>
      <c r="H28" s="242"/>
      <c r="I28" s="243"/>
      <c r="J28" s="48"/>
      <c r="K28" s="48"/>
      <c r="L28" s="49"/>
    </row>
    <row r="29" spans="1:12" s="40" customFormat="1" ht="27" customHeight="1">
      <c r="A29" s="199" t="s">
        <v>61</v>
      </c>
      <c r="B29" s="204" t="s">
        <v>177</v>
      </c>
      <c r="C29" s="205"/>
      <c r="D29" s="206"/>
      <c r="E29" s="41" t="s">
        <v>41</v>
      </c>
      <c r="F29" s="230" t="s">
        <v>178</v>
      </c>
      <c r="G29" s="231"/>
      <c r="H29" s="231"/>
      <c r="I29" s="232"/>
      <c r="J29" s="42"/>
      <c r="K29" s="42"/>
      <c r="L29" s="43"/>
    </row>
    <row r="30" spans="1:12" s="40" customFormat="1" ht="27" customHeight="1">
      <c r="A30" s="200"/>
      <c r="B30" s="207"/>
      <c r="C30" s="208"/>
      <c r="D30" s="209"/>
      <c r="E30" s="44" t="s">
        <v>43</v>
      </c>
      <c r="F30" s="233" t="s">
        <v>179</v>
      </c>
      <c r="G30" s="234"/>
      <c r="H30" s="234"/>
      <c r="I30" s="235"/>
      <c r="J30" s="45"/>
      <c r="K30" s="45"/>
      <c r="L30" s="46"/>
    </row>
    <row r="31" spans="1:12" s="40" customFormat="1" ht="27" customHeight="1">
      <c r="A31" s="200"/>
      <c r="B31" s="207"/>
      <c r="C31" s="208"/>
      <c r="D31" s="209"/>
      <c r="E31" s="44" t="s">
        <v>45</v>
      </c>
      <c r="F31" s="233" t="s">
        <v>180</v>
      </c>
      <c r="G31" s="292"/>
      <c r="H31" s="292"/>
      <c r="I31" s="293"/>
      <c r="J31" s="45"/>
      <c r="K31" s="45"/>
      <c r="L31" s="46"/>
    </row>
    <row r="32" spans="1:12" s="40" customFormat="1" ht="27" customHeight="1">
      <c r="A32" s="201"/>
      <c r="B32" s="210"/>
      <c r="C32" s="211"/>
      <c r="D32" s="212"/>
      <c r="E32" s="47" t="s">
        <v>47</v>
      </c>
      <c r="F32" s="241" t="s">
        <v>66</v>
      </c>
      <c r="G32" s="242"/>
      <c r="H32" s="242"/>
      <c r="I32" s="243"/>
      <c r="J32" s="48"/>
      <c r="K32" s="48"/>
      <c r="L32" s="49"/>
    </row>
    <row r="33" spans="1:12" s="40" customFormat="1" ht="27" customHeight="1">
      <c r="A33" s="199" t="s">
        <v>67</v>
      </c>
      <c r="B33" s="204" t="s">
        <v>181</v>
      </c>
      <c r="C33" s="205"/>
      <c r="D33" s="252"/>
      <c r="E33" s="41" t="s">
        <v>41</v>
      </c>
      <c r="F33" s="230" t="s">
        <v>182</v>
      </c>
      <c r="G33" s="231"/>
      <c r="H33" s="231"/>
      <c r="I33" s="232"/>
      <c r="J33" s="42"/>
      <c r="K33" s="42"/>
      <c r="L33" s="43"/>
    </row>
    <row r="34" spans="1:12" s="40" customFormat="1" ht="27" customHeight="1">
      <c r="A34" s="200"/>
      <c r="B34" s="207"/>
      <c r="C34" s="208"/>
      <c r="D34" s="209"/>
      <c r="E34" s="44" t="s">
        <v>43</v>
      </c>
      <c r="F34" s="233" t="s">
        <v>183</v>
      </c>
      <c r="G34" s="234"/>
      <c r="H34" s="234"/>
      <c r="I34" s="235"/>
      <c r="J34" s="45"/>
      <c r="K34" s="45"/>
      <c r="L34" s="46"/>
    </row>
    <row r="35" spans="1:12" s="40" customFormat="1" ht="27" customHeight="1">
      <c r="A35" s="200"/>
      <c r="B35" s="207"/>
      <c r="C35" s="208"/>
      <c r="D35" s="209"/>
      <c r="E35" s="44" t="s">
        <v>45</v>
      </c>
      <c r="F35" s="233" t="s">
        <v>158</v>
      </c>
      <c r="G35" s="234"/>
      <c r="H35" s="234"/>
      <c r="I35" s="235"/>
      <c r="J35" s="45"/>
      <c r="K35" s="45"/>
      <c r="L35" s="46"/>
    </row>
    <row r="36" spans="1:12" s="40" customFormat="1" ht="27" customHeight="1">
      <c r="A36" s="201"/>
      <c r="B36" s="210"/>
      <c r="C36" s="211"/>
      <c r="D36" s="212"/>
      <c r="E36" s="47" t="s">
        <v>47</v>
      </c>
      <c r="F36" s="241" t="s">
        <v>72</v>
      </c>
      <c r="G36" s="242"/>
      <c r="H36" s="242"/>
      <c r="I36" s="243"/>
      <c r="J36" s="48"/>
      <c r="K36" s="48"/>
      <c r="L36" s="49"/>
    </row>
    <row r="37" spans="1:12" s="40" customFormat="1" ht="27" customHeight="1">
      <c r="A37" s="199" t="s">
        <v>73</v>
      </c>
      <c r="B37" s="204" t="s">
        <v>159</v>
      </c>
      <c r="C37" s="205"/>
      <c r="D37" s="206"/>
      <c r="E37" s="41" t="s">
        <v>41</v>
      </c>
      <c r="F37" s="230" t="s">
        <v>160</v>
      </c>
      <c r="G37" s="231"/>
      <c r="H37" s="231"/>
      <c r="I37" s="232"/>
      <c r="J37" s="42"/>
      <c r="K37" s="42"/>
      <c r="L37" s="43"/>
    </row>
    <row r="38" spans="1:12" s="40" customFormat="1" ht="27" customHeight="1">
      <c r="A38" s="200"/>
      <c r="B38" s="207"/>
      <c r="C38" s="208"/>
      <c r="D38" s="209"/>
      <c r="E38" s="44" t="s">
        <v>43</v>
      </c>
      <c r="F38" s="233" t="s">
        <v>161</v>
      </c>
      <c r="G38" s="234"/>
      <c r="H38" s="234"/>
      <c r="I38" s="235"/>
      <c r="J38" s="45"/>
      <c r="K38" s="45"/>
      <c r="L38" s="46"/>
    </row>
    <row r="39" spans="1:12" s="40" customFormat="1" ht="27" customHeight="1">
      <c r="A39" s="200"/>
      <c r="B39" s="207"/>
      <c r="C39" s="208"/>
      <c r="D39" s="209"/>
      <c r="E39" s="44" t="s">
        <v>45</v>
      </c>
      <c r="F39" s="233" t="s">
        <v>77</v>
      </c>
      <c r="G39" s="234"/>
      <c r="H39" s="234"/>
      <c r="I39" s="235"/>
      <c r="J39" s="45"/>
      <c r="K39" s="45"/>
      <c r="L39" s="46"/>
    </row>
    <row r="40" spans="1:12" s="40" customFormat="1" ht="27" customHeight="1">
      <c r="A40" s="201"/>
      <c r="B40" s="210"/>
      <c r="C40" s="211"/>
      <c r="D40" s="212"/>
      <c r="E40" s="47" t="s">
        <v>47</v>
      </c>
      <c r="F40" s="241" t="s">
        <v>78</v>
      </c>
      <c r="G40" s="242"/>
      <c r="H40" s="242"/>
      <c r="I40" s="243"/>
      <c r="J40" s="48"/>
      <c r="K40" s="48"/>
      <c r="L40" s="49"/>
    </row>
    <row r="41" spans="1:12" s="40" customFormat="1" ht="27" customHeight="1">
      <c r="A41" s="199" t="s">
        <v>79</v>
      </c>
      <c r="B41" s="204" t="s">
        <v>80</v>
      </c>
      <c r="C41" s="205"/>
      <c r="D41" s="206"/>
      <c r="E41" s="41" t="s">
        <v>41</v>
      </c>
      <c r="F41" s="230" t="s">
        <v>163</v>
      </c>
      <c r="G41" s="231"/>
      <c r="H41" s="231"/>
      <c r="I41" s="232"/>
      <c r="J41" s="42"/>
      <c r="K41" s="42"/>
      <c r="L41" s="43"/>
    </row>
    <row r="42" spans="1:12" s="40" customFormat="1" ht="27" customHeight="1">
      <c r="A42" s="200"/>
      <c r="B42" s="207"/>
      <c r="C42" s="208"/>
      <c r="D42" s="209"/>
      <c r="E42" s="44" t="s">
        <v>43</v>
      </c>
      <c r="F42" s="233" t="s">
        <v>164</v>
      </c>
      <c r="G42" s="234"/>
      <c r="H42" s="234"/>
      <c r="I42" s="235"/>
      <c r="J42" s="45"/>
      <c r="K42" s="45"/>
      <c r="L42" s="46"/>
    </row>
    <row r="43" spans="1:12" s="40" customFormat="1" ht="27" customHeight="1">
      <c r="A43" s="200"/>
      <c r="B43" s="207"/>
      <c r="C43" s="208"/>
      <c r="D43" s="209"/>
      <c r="E43" s="44" t="s">
        <v>45</v>
      </c>
      <c r="F43" s="233" t="s">
        <v>165</v>
      </c>
      <c r="G43" s="234"/>
      <c r="H43" s="234"/>
      <c r="I43" s="235"/>
      <c r="J43" s="45"/>
      <c r="K43" s="45"/>
      <c r="L43" s="46"/>
    </row>
    <row r="44" spans="1:12" s="40" customFormat="1" ht="27" customHeight="1">
      <c r="A44" s="201"/>
      <c r="B44" s="210"/>
      <c r="C44" s="211"/>
      <c r="D44" s="212"/>
      <c r="E44" s="47" t="s">
        <v>47</v>
      </c>
      <c r="F44" s="241" t="s">
        <v>84</v>
      </c>
      <c r="G44" s="242"/>
      <c r="H44" s="242"/>
      <c r="I44" s="243"/>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SUM(J17:J20)*4+SUM(J21:J32)*2+SUM(J33:J36)+SUM(J37:J44)*2+SUM(J45:J46)*0.5</f>
        <v>0</v>
      </c>
      <c r="K47" s="56">
        <f>SUM(K17:K20)*4+SUM(K21:K32)*2+SUM(K33:K36)+SUM(K37:K44)*2+SUM(K45:K46)*0.5</f>
        <v>0</v>
      </c>
      <c r="L47" s="57">
        <f>SUM(L17:L20)*4+SUM(L21:L32)*2+SUM(L33:L36)+SUM(L37:L44)*2+SUM(L45:L46)*0.5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137</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6:L66"/>
    <mergeCell ref="G67:L67"/>
    <mergeCell ref="G62:L62"/>
    <mergeCell ref="G63:L63"/>
    <mergeCell ref="G64:L64"/>
    <mergeCell ref="G65:L65"/>
    <mergeCell ref="A17:A20"/>
    <mergeCell ref="B2:E2"/>
    <mergeCell ref="G2:H2"/>
    <mergeCell ref="G3:H3"/>
    <mergeCell ref="G4:H4"/>
    <mergeCell ref="B3:E3"/>
    <mergeCell ref="B4:E4"/>
    <mergeCell ref="B16:D16"/>
    <mergeCell ref="F16:I16"/>
    <mergeCell ref="B13:E13"/>
    <mergeCell ref="G13:I13"/>
    <mergeCell ref="B14:E14"/>
    <mergeCell ref="G14:I14"/>
    <mergeCell ref="B5:E5"/>
    <mergeCell ref="B6:E6"/>
    <mergeCell ref="B7:E7"/>
    <mergeCell ref="G5:H5"/>
    <mergeCell ref="G6:H6"/>
    <mergeCell ref="G7:H7"/>
    <mergeCell ref="B17:D20"/>
    <mergeCell ref="F17:I17"/>
    <mergeCell ref="F18:I18"/>
    <mergeCell ref="F19:I19"/>
    <mergeCell ref="F20:I20"/>
    <mergeCell ref="A21:A24"/>
    <mergeCell ref="B21:D24"/>
    <mergeCell ref="F21:I21"/>
    <mergeCell ref="F22:I22"/>
    <mergeCell ref="F23:I23"/>
    <mergeCell ref="F24:I24"/>
    <mergeCell ref="A25:A28"/>
    <mergeCell ref="B25:D28"/>
    <mergeCell ref="F25:I25"/>
    <mergeCell ref="F26:I26"/>
    <mergeCell ref="F27:I27"/>
    <mergeCell ref="F28:I28"/>
    <mergeCell ref="A37:A40"/>
    <mergeCell ref="A29:A32"/>
    <mergeCell ref="B29:D32"/>
    <mergeCell ref="F29:I29"/>
    <mergeCell ref="F30:I30"/>
    <mergeCell ref="F31:I31"/>
    <mergeCell ref="F32:I32"/>
    <mergeCell ref="A33:A36"/>
    <mergeCell ref="B33:D36"/>
    <mergeCell ref="F33:I33"/>
    <mergeCell ref="F34:I34"/>
    <mergeCell ref="F35:I35"/>
    <mergeCell ref="F36:I36"/>
    <mergeCell ref="B37:D40"/>
    <mergeCell ref="F37:I37"/>
    <mergeCell ref="F38:I38"/>
    <mergeCell ref="F39:I39"/>
    <mergeCell ref="F40:I40"/>
    <mergeCell ref="A41:A44"/>
    <mergeCell ref="H58:L58"/>
    <mergeCell ref="A48:I48"/>
    <mergeCell ref="B49:E49"/>
    <mergeCell ref="G49:K49"/>
    <mergeCell ref="G51:K51"/>
    <mergeCell ref="J52:K52"/>
    <mergeCell ref="I56:K56"/>
    <mergeCell ref="A57:D57"/>
    <mergeCell ref="B54:K54"/>
    <mergeCell ref="B41:D44"/>
    <mergeCell ref="F41:I41"/>
    <mergeCell ref="E57:G57"/>
    <mergeCell ref="H57:L57"/>
    <mergeCell ref="F42:I42"/>
    <mergeCell ref="B50:E50"/>
    <mergeCell ref="G50:K50"/>
    <mergeCell ref="B51:E51"/>
    <mergeCell ref="F43:I43"/>
    <mergeCell ref="F44:I44"/>
    <mergeCell ref="A58:D59"/>
    <mergeCell ref="E58:G59"/>
    <mergeCell ref="H59:J59"/>
    <mergeCell ref="K59:L59"/>
    <mergeCell ref="F45:I45"/>
    <mergeCell ref="F46:I46"/>
    <mergeCell ref="B45:D45"/>
    <mergeCell ref="B46:D46"/>
    <mergeCell ref="E45:E46"/>
    <mergeCell ref="A47:I47"/>
    <mergeCell ref="J55:K55"/>
    <mergeCell ref="B55:I55"/>
    <mergeCell ref="A53:K53"/>
  </mergeCells>
  <phoneticPr fontId="24"/>
  <conditionalFormatting sqref="E17:E45">
    <cfRule type="cellIs" dxfId="72" priority="1" stopIfTrue="1" operator="equal">
      <formula>$E$12</formula>
    </cfRule>
  </conditionalFormatting>
  <conditionalFormatting sqref="F31 J31:L31">
    <cfRule type="expression" dxfId="71" priority="17" stopIfTrue="1">
      <formula>IF($E$12=$E$31,TRUE)</formula>
    </cfRule>
  </conditionalFormatting>
  <conditionalFormatting sqref="F17:L17">
    <cfRule type="expression" dxfId="70" priority="5" stopIfTrue="1">
      <formula>IF($E$12=$E$17,TRUE)</formula>
    </cfRule>
  </conditionalFormatting>
  <conditionalFormatting sqref="F18:L18">
    <cfRule type="expression" dxfId="69" priority="4" stopIfTrue="1">
      <formula>IF($E$12=$E$18,TRUE)</formula>
    </cfRule>
  </conditionalFormatting>
  <conditionalFormatting sqref="F19:L19">
    <cfRule type="expression" dxfId="68" priority="3" stopIfTrue="1">
      <formula>IF($E$12=$E$19,TRUE)</formula>
    </cfRule>
  </conditionalFormatting>
  <conditionalFormatting sqref="F20:L20">
    <cfRule type="expression" dxfId="67" priority="6" stopIfTrue="1">
      <formula>IF($E$12=$E$20,TRUE)</formula>
    </cfRule>
  </conditionalFormatting>
  <conditionalFormatting sqref="F21:L21">
    <cfRule type="expression" dxfId="66" priority="7" stopIfTrue="1">
      <formula>IF($E$12=$E$21,TRUE)</formula>
    </cfRule>
  </conditionalFormatting>
  <conditionalFormatting sqref="F22:L22">
    <cfRule type="expression" dxfId="65" priority="8" stopIfTrue="1">
      <formula>IF($E$12=$E$22,TRUE)</formula>
    </cfRule>
  </conditionalFormatting>
  <conditionalFormatting sqref="F23:L23">
    <cfRule type="expression" dxfId="64" priority="9" stopIfTrue="1">
      <formula>IF($E$12=$E$23,TRUE)</formula>
    </cfRule>
  </conditionalFormatting>
  <conditionalFormatting sqref="F24:L24">
    <cfRule type="expression" dxfId="63" priority="10" stopIfTrue="1">
      <formula>IF($E$12=$E$24,TRUE)</formula>
    </cfRule>
  </conditionalFormatting>
  <conditionalFormatting sqref="F25:L25">
    <cfRule type="expression" dxfId="62" priority="11" stopIfTrue="1">
      <formula>IF($E$12=$E$25,TRUE)</formula>
    </cfRule>
  </conditionalFormatting>
  <conditionalFormatting sqref="F26:L26">
    <cfRule type="expression" dxfId="61" priority="12" stopIfTrue="1">
      <formula>IF($E$12=$E$26,TRUE)</formula>
    </cfRule>
  </conditionalFormatting>
  <conditionalFormatting sqref="F27:L27">
    <cfRule type="expression" dxfId="60" priority="13" stopIfTrue="1">
      <formula>IF($E$12=$E$27,TRUE)</formula>
    </cfRule>
  </conditionalFormatting>
  <conditionalFormatting sqref="F28:L28">
    <cfRule type="expression" dxfId="59" priority="14" stopIfTrue="1">
      <formula>IF($E$12=$E$28,TRUE)</formula>
    </cfRule>
  </conditionalFormatting>
  <conditionalFormatting sqref="F29:L29">
    <cfRule type="expression" dxfId="58" priority="15" stopIfTrue="1">
      <formula>IF($E$12=$E$29,TRUE)</formula>
    </cfRule>
  </conditionalFormatting>
  <conditionalFormatting sqref="F30:L30">
    <cfRule type="expression" dxfId="57" priority="16" stopIfTrue="1">
      <formula>IF($E$12=$E$30,TRUE)</formula>
    </cfRule>
  </conditionalFormatting>
  <conditionalFormatting sqref="F32:L32">
    <cfRule type="expression" dxfId="56" priority="18" stopIfTrue="1">
      <formula>IF($E$12=$E$32,TRUE)</formula>
    </cfRule>
  </conditionalFormatting>
  <conditionalFormatting sqref="F33:L33">
    <cfRule type="expression" dxfId="55" priority="19" stopIfTrue="1">
      <formula>IF($E$12=$E$33,TRUE)</formula>
    </cfRule>
  </conditionalFormatting>
  <conditionalFormatting sqref="F34:L34">
    <cfRule type="expression" dxfId="54" priority="20" stopIfTrue="1">
      <formula>IF($E$12=$E$34,TRUE)</formula>
    </cfRule>
  </conditionalFormatting>
  <conditionalFormatting sqref="F35:L35">
    <cfRule type="expression" dxfId="53" priority="21" stopIfTrue="1">
      <formula>IF($E$12=$E$35,TRUE)</formula>
    </cfRule>
  </conditionalFormatting>
  <conditionalFormatting sqref="F36:L36">
    <cfRule type="expression" dxfId="52" priority="22" stopIfTrue="1">
      <formula>IF($E$12=$E$36,TRUE)</formula>
    </cfRule>
  </conditionalFormatting>
  <conditionalFormatting sqref="F37:L37">
    <cfRule type="expression" dxfId="51" priority="23" stopIfTrue="1">
      <formula>IF($E$12=$E$37,TRUE)</formula>
    </cfRule>
  </conditionalFormatting>
  <conditionalFormatting sqref="F38:L38">
    <cfRule type="expression" dxfId="50" priority="24" stopIfTrue="1">
      <formula>IF($E$12=$E$38,TRUE)</formula>
    </cfRule>
  </conditionalFormatting>
  <conditionalFormatting sqref="F39:L39">
    <cfRule type="expression" dxfId="49" priority="25" stopIfTrue="1">
      <formula>IF($E$12=$E$39,TRUE)</formula>
    </cfRule>
  </conditionalFormatting>
  <conditionalFormatting sqref="F40:L40">
    <cfRule type="expression" dxfId="48" priority="26" stopIfTrue="1">
      <formula>IF($E$12=$E$40,TRUE)</formula>
    </cfRule>
  </conditionalFormatting>
  <conditionalFormatting sqref="F41:L41">
    <cfRule type="expression" dxfId="47" priority="27" stopIfTrue="1">
      <formula>IF($E$12=$E$41,TRUE)</formula>
    </cfRule>
  </conditionalFormatting>
  <conditionalFormatting sqref="F42:L42">
    <cfRule type="expression" dxfId="46" priority="28" stopIfTrue="1">
      <formula>IF($E$12=$E$42,TRUE)</formula>
    </cfRule>
  </conditionalFormatting>
  <conditionalFormatting sqref="F43:L43">
    <cfRule type="expression" dxfId="45" priority="29" stopIfTrue="1">
      <formula>IF($E$12=$E$43,TRUE)</formula>
    </cfRule>
  </conditionalFormatting>
  <conditionalFormatting sqref="F44:L44">
    <cfRule type="expression" dxfId="44" priority="30" stopIfTrue="1">
      <formula>IF($E$12=$E$44,TRUE)</formula>
    </cfRule>
  </conditionalFormatting>
  <dataValidations count="2">
    <dataValidation type="list" allowBlank="1" showInputMessage="1" showErrorMessage="1" sqref="E12" xr:uid="{00000000-0002-0000-0400-000000000000}">
      <formula1>"Ｒ４,Ｒ３,Ｒ２,Ｒ１"</formula1>
    </dataValidation>
    <dataValidation type="list" allowBlank="1" showInputMessage="1" showErrorMessage="1" sqref="K59:L59" xr:uid="{F609F2D2-4572-4E56-8793-F5DBF233BADB}">
      <formula1>"　,Ａ,Ｂ,Ｃ,Ｄ,Ｅ"</formula1>
    </dataValidation>
  </dataValidations>
  <pageMargins left="1.1811023622047245" right="0.27559055118110237" top="0.59055118110236227" bottom="0.43307086614173229" header="0.43307086614173229" footer="0.23622047244094491"/>
  <pageSetup paperSize="9" scale="56" orientation="portrait" r:id="rId1"/>
  <headerFooter alignWithMargins="0">
    <oddFooter>&amp;L&amp;"ＭＳ Ｐゴシック,標準"NCT日本コムシンク株式会社&amp;R&amp;"ＭＳ Ｐゴシック,標準"印刷&amp;D</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67"/>
  <sheetViews>
    <sheetView topLeftCell="A3"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2" width="7.83203125" style="58" customWidth="1"/>
    <col min="13" max="16384" width="12" style="58"/>
  </cols>
  <sheetData>
    <row r="1" spans="1:12" s="2" customFormat="1" ht="12" customHeight="1">
      <c r="A1" s="1" t="s">
        <v>0</v>
      </c>
      <c r="B1" s="1"/>
      <c r="C1" s="1"/>
      <c r="D1" s="1"/>
      <c r="E1" s="1"/>
      <c r="F1" s="1"/>
      <c r="G1" s="1"/>
      <c r="H1" s="1"/>
      <c r="I1" s="1"/>
      <c r="J1" s="1"/>
      <c r="K1" s="1"/>
      <c r="L1" s="1"/>
    </row>
    <row r="2" spans="1:12" s="5" customFormat="1" ht="12.75" customHeight="1">
      <c r="A2" s="3" t="s">
        <v>1</v>
      </c>
      <c r="B2" s="270" t="s">
        <v>2</v>
      </c>
      <c r="C2" s="270"/>
      <c r="D2" s="270"/>
      <c r="E2" s="270"/>
      <c r="F2" s="4" t="s">
        <v>3</v>
      </c>
      <c r="G2" s="271" t="s">
        <v>4</v>
      </c>
      <c r="H2" s="271"/>
    </row>
    <row r="3" spans="1:12" s="5" customFormat="1" ht="28.5" customHeight="1">
      <c r="A3" s="6">
        <v>5</v>
      </c>
      <c r="B3" s="272" t="s">
        <v>5</v>
      </c>
      <c r="C3" s="272"/>
      <c r="D3" s="272"/>
      <c r="E3" s="272"/>
      <c r="F3" s="7" t="s">
        <v>6</v>
      </c>
      <c r="G3" s="256" t="s">
        <v>7</v>
      </c>
      <c r="H3" s="256"/>
    </row>
    <row r="4" spans="1:12" s="5" customFormat="1" ht="30" customHeight="1">
      <c r="A4" s="8">
        <v>4</v>
      </c>
      <c r="B4" s="253" t="s">
        <v>8</v>
      </c>
      <c r="C4" s="253"/>
      <c r="D4" s="253"/>
      <c r="E4" s="253"/>
      <c r="F4" s="7" t="s">
        <v>6</v>
      </c>
      <c r="G4" s="256" t="s">
        <v>9</v>
      </c>
      <c r="H4" s="256"/>
    </row>
    <row r="5" spans="1:12" s="5" customFormat="1" ht="27" customHeight="1">
      <c r="A5" s="8">
        <v>3</v>
      </c>
      <c r="B5" s="253" t="s">
        <v>10</v>
      </c>
      <c r="C5" s="253"/>
      <c r="D5" s="253"/>
      <c r="E5" s="253"/>
      <c r="F5" s="7" t="s">
        <v>6</v>
      </c>
      <c r="G5" s="256" t="s">
        <v>11</v>
      </c>
      <c r="H5" s="256"/>
      <c r="I5" s="2" t="s">
        <v>12</v>
      </c>
    </row>
    <row r="6" spans="1:12" s="5" customFormat="1" ht="28.5" customHeight="1">
      <c r="A6" s="8">
        <v>2</v>
      </c>
      <c r="B6" s="253" t="s">
        <v>13</v>
      </c>
      <c r="C6" s="253"/>
      <c r="D6" s="253"/>
      <c r="E6" s="253"/>
      <c r="F6" s="7" t="s">
        <v>14</v>
      </c>
      <c r="G6" s="256" t="s">
        <v>15</v>
      </c>
      <c r="H6" s="256"/>
    </row>
    <row r="7" spans="1:12" s="5" customFormat="1" ht="30.75" customHeight="1">
      <c r="A7" s="8">
        <v>1</v>
      </c>
      <c r="B7" s="253" t="s">
        <v>16</v>
      </c>
      <c r="C7" s="253"/>
      <c r="D7" s="253"/>
      <c r="E7" s="253"/>
      <c r="F7" s="7" t="s">
        <v>15</v>
      </c>
      <c r="G7" s="256" t="s">
        <v>15</v>
      </c>
      <c r="H7" s="256"/>
    </row>
    <row r="8" spans="1:12" s="5" customFormat="1" ht="12.75" customHeight="1">
      <c r="A8" s="9"/>
      <c r="B8" s="10"/>
      <c r="C8" s="10"/>
      <c r="D8" s="11"/>
      <c r="E8" s="11"/>
      <c r="F8" s="11"/>
      <c r="G8" s="12"/>
      <c r="H8" s="12"/>
      <c r="I8" s="12"/>
      <c r="J8" s="12"/>
      <c r="K8" s="12"/>
      <c r="L8" s="13"/>
    </row>
    <row r="9" spans="1:12" s="2" customFormat="1" ht="27.75" customHeight="1">
      <c r="A9" s="14" t="s">
        <v>17</v>
      </c>
      <c r="B9" s="15"/>
      <c r="C9" s="15"/>
      <c r="D9" s="100" t="s">
        <v>18</v>
      </c>
      <c r="E9" s="16"/>
      <c r="F9" s="17"/>
      <c r="G9" s="18"/>
      <c r="H9" s="18"/>
      <c r="I9" s="18"/>
      <c r="J9" s="18"/>
      <c r="K9" s="18"/>
      <c r="L9" s="18"/>
    </row>
    <row r="10" spans="1:12" s="2" customFormat="1" ht="12.75" customHeight="1">
      <c r="A10" s="19"/>
      <c r="B10" s="15"/>
      <c r="C10" s="15"/>
      <c r="D10" s="15"/>
      <c r="E10" s="16"/>
      <c r="F10" s="17"/>
      <c r="G10" s="18"/>
      <c r="H10" s="18"/>
      <c r="I10" s="18"/>
      <c r="J10" s="18"/>
      <c r="K10" s="18"/>
      <c r="L10" s="18"/>
    </row>
    <row r="11" spans="1:12" s="2" customFormat="1" ht="23.45">
      <c r="A11" s="14" t="s">
        <v>184</v>
      </c>
      <c r="B11" s="15"/>
      <c r="C11" s="15"/>
      <c r="D11" s="15"/>
      <c r="E11" s="16"/>
      <c r="F11" s="20"/>
    </row>
    <row r="12" spans="1:12" s="2" customFormat="1" ht="24.75" customHeight="1">
      <c r="A12" s="21"/>
      <c r="B12" s="21"/>
      <c r="C12" s="21"/>
      <c r="D12" s="22" t="s">
        <v>20</v>
      </c>
      <c r="E12" s="23" t="s">
        <v>185</v>
      </c>
      <c r="F12" s="22" t="s">
        <v>22</v>
      </c>
      <c r="G12" s="24">
        <v>45383</v>
      </c>
      <c r="H12" s="25" t="s">
        <v>23</v>
      </c>
      <c r="I12" s="26">
        <v>45565</v>
      </c>
      <c r="J12" s="27"/>
      <c r="K12" s="20"/>
      <c r="L12" s="20"/>
    </row>
    <row r="13" spans="1:12" s="2" customFormat="1" ht="30" customHeight="1">
      <c r="A13" s="3" t="s">
        <v>24</v>
      </c>
      <c r="B13" s="263" t="s">
        <v>186</v>
      </c>
      <c r="C13" s="264"/>
      <c r="D13" s="265"/>
      <c r="E13" s="266"/>
      <c r="F13" s="28" t="s">
        <v>26</v>
      </c>
      <c r="G13" s="267" t="s">
        <v>27</v>
      </c>
      <c r="H13" s="267"/>
      <c r="I13" s="267"/>
      <c r="J13" s="27"/>
      <c r="K13" s="29"/>
      <c r="L13" s="29"/>
    </row>
    <row r="14" spans="1:12" s="2" customFormat="1" ht="30" customHeight="1">
      <c r="A14" s="28" t="s">
        <v>28</v>
      </c>
      <c r="B14" s="268" t="s">
        <v>29</v>
      </c>
      <c r="C14" s="269"/>
      <c r="D14" s="265"/>
      <c r="E14" s="266"/>
      <c r="F14" s="28" t="s">
        <v>30</v>
      </c>
      <c r="G14" s="267" t="s">
        <v>31</v>
      </c>
      <c r="H14" s="267"/>
      <c r="I14" s="267"/>
      <c r="J14" s="27"/>
      <c r="K14" s="29"/>
      <c r="L14" s="29"/>
    </row>
    <row r="15" spans="1:12" s="2" customFormat="1" ht="41.25" customHeight="1" thickBot="1">
      <c r="A15" s="30" t="s">
        <v>32</v>
      </c>
      <c r="B15" s="31"/>
      <c r="C15" s="31"/>
      <c r="D15" s="32"/>
      <c r="E15" s="32"/>
      <c r="F15" s="33"/>
      <c r="G15" s="33"/>
      <c r="H15" s="34"/>
      <c r="I15" s="35"/>
      <c r="J15" s="27"/>
      <c r="K15" s="29"/>
      <c r="L15" s="29"/>
    </row>
    <row r="16" spans="1:12" s="40" customFormat="1" ht="28.5" customHeight="1">
      <c r="A16" s="36" t="s">
        <v>33</v>
      </c>
      <c r="B16" s="257" t="s">
        <v>34</v>
      </c>
      <c r="C16" s="258"/>
      <c r="D16" s="259"/>
      <c r="E16" s="37" t="s">
        <v>20</v>
      </c>
      <c r="F16" s="260" t="s">
        <v>35</v>
      </c>
      <c r="G16" s="261"/>
      <c r="H16" s="261"/>
      <c r="I16" s="262"/>
      <c r="J16" s="38" t="s">
        <v>36</v>
      </c>
      <c r="K16" s="38" t="s">
        <v>37</v>
      </c>
      <c r="L16" s="39" t="s">
        <v>38</v>
      </c>
    </row>
    <row r="17" spans="1:12" s="40" customFormat="1" ht="27" hidden="1" customHeight="1">
      <c r="A17" s="199" t="s">
        <v>39</v>
      </c>
      <c r="B17" s="204" t="s">
        <v>40</v>
      </c>
      <c r="C17" s="205"/>
      <c r="D17" s="252"/>
      <c r="E17" s="41" t="s">
        <v>41</v>
      </c>
      <c r="F17" s="230" t="s">
        <v>168</v>
      </c>
      <c r="G17" s="231"/>
      <c r="H17" s="231"/>
      <c r="I17" s="232"/>
      <c r="J17" s="42"/>
      <c r="K17" s="42"/>
      <c r="L17" s="43"/>
    </row>
    <row r="18" spans="1:12" s="40" customFormat="1" ht="27" customHeight="1">
      <c r="A18" s="200"/>
      <c r="B18" s="207"/>
      <c r="C18" s="208"/>
      <c r="D18" s="209"/>
      <c r="E18" s="44" t="s">
        <v>43</v>
      </c>
      <c r="F18" s="233" t="s">
        <v>169</v>
      </c>
      <c r="G18" s="234"/>
      <c r="H18" s="234"/>
      <c r="I18" s="235"/>
      <c r="J18" s="45"/>
      <c r="K18" s="45"/>
      <c r="L18" s="46"/>
    </row>
    <row r="19" spans="1:12" s="40" customFormat="1" ht="27" customHeight="1">
      <c r="A19" s="200"/>
      <c r="B19" s="207"/>
      <c r="C19" s="208"/>
      <c r="D19" s="209"/>
      <c r="E19" s="44" t="s">
        <v>45</v>
      </c>
      <c r="F19" s="233" t="s">
        <v>170</v>
      </c>
      <c r="G19" s="234"/>
      <c r="H19" s="234"/>
      <c r="I19" s="235"/>
      <c r="J19" s="45"/>
      <c r="K19" s="45"/>
      <c r="L19" s="46"/>
    </row>
    <row r="20" spans="1:12" s="40" customFormat="1" ht="27" customHeight="1">
      <c r="A20" s="201"/>
      <c r="B20" s="210"/>
      <c r="C20" s="211"/>
      <c r="D20" s="212"/>
      <c r="E20" s="47" t="s">
        <v>47</v>
      </c>
      <c r="F20" s="241" t="s">
        <v>171</v>
      </c>
      <c r="G20" s="242"/>
      <c r="H20" s="242"/>
      <c r="I20" s="243"/>
      <c r="J20" s="48"/>
      <c r="K20" s="48"/>
      <c r="L20" s="49"/>
    </row>
    <row r="21" spans="1:12" s="40" customFormat="1" ht="27" hidden="1" customHeight="1">
      <c r="A21" s="199" t="s">
        <v>49</v>
      </c>
      <c r="B21" s="204" t="s">
        <v>187</v>
      </c>
      <c r="C21" s="205"/>
      <c r="D21" s="252"/>
      <c r="E21" s="41" t="s">
        <v>41</v>
      </c>
      <c r="F21" s="230" t="s">
        <v>51</v>
      </c>
      <c r="G21" s="231"/>
      <c r="H21" s="231"/>
      <c r="I21" s="232"/>
      <c r="J21" s="42"/>
      <c r="K21" s="42"/>
      <c r="L21" s="43"/>
    </row>
    <row r="22" spans="1:12" s="40" customFormat="1" ht="27" customHeight="1">
      <c r="A22" s="200"/>
      <c r="B22" s="207"/>
      <c r="C22" s="208"/>
      <c r="D22" s="209"/>
      <c r="E22" s="44" t="s">
        <v>43</v>
      </c>
      <c r="F22" s="233" t="s">
        <v>52</v>
      </c>
      <c r="G22" s="234"/>
      <c r="H22" s="234"/>
      <c r="I22" s="235"/>
      <c r="J22" s="45"/>
      <c r="K22" s="45"/>
      <c r="L22" s="46"/>
    </row>
    <row r="23" spans="1:12" s="40" customFormat="1" ht="27" customHeight="1">
      <c r="A23" s="200"/>
      <c r="B23" s="207"/>
      <c r="C23" s="208"/>
      <c r="D23" s="209"/>
      <c r="E23" s="44" t="s">
        <v>45</v>
      </c>
      <c r="F23" s="233" t="s">
        <v>53</v>
      </c>
      <c r="G23" s="234"/>
      <c r="H23" s="234"/>
      <c r="I23" s="235"/>
      <c r="J23" s="45"/>
      <c r="K23" s="45"/>
      <c r="L23" s="46"/>
    </row>
    <row r="24" spans="1:12" s="40" customFormat="1" ht="27" customHeight="1">
      <c r="A24" s="201"/>
      <c r="B24" s="210"/>
      <c r="C24" s="211"/>
      <c r="D24" s="212"/>
      <c r="E24" s="47" t="s">
        <v>47</v>
      </c>
      <c r="F24" s="241" t="s">
        <v>54</v>
      </c>
      <c r="G24" s="242"/>
      <c r="H24" s="242"/>
      <c r="I24" s="243"/>
      <c r="J24" s="48"/>
      <c r="K24" s="48"/>
      <c r="L24" s="49"/>
    </row>
    <row r="25" spans="1:12" s="40" customFormat="1" ht="27" hidden="1" customHeight="1">
      <c r="A25" s="199" t="s">
        <v>55</v>
      </c>
      <c r="B25" s="204" t="s">
        <v>173</v>
      </c>
      <c r="C25" s="205"/>
      <c r="D25" s="252"/>
      <c r="E25" s="41" t="s">
        <v>41</v>
      </c>
      <c r="F25" s="230" t="s">
        <v>57</v>
      </c>
      <c r="G25" s="231"/>
      <c r="H25" s="231"/>
      <c r="I25" s="232"/>
      <c r="J25" s="42"/>
      <c r="K25" s="42"/>
      <c r="L25" s="43"/>
    </row>
    <row r="26" spans="1:12" s="40" customFormat="1" ht="27" customHeight="1">
      <c r="A26" s="200"/>
      <c r="B26" s="207"/>
      <c r="C26" s="208"/>
      <c r="D26" s="209"/>
      <c r="E26" s="44" t="s">
        <v>43</v>
      </c>
      <c r="F26" s="233" t="s">
        <v>174</v>
      </c>
      <c r="G26" s="234"/>
      <c r="H26" s="234"/>
      <c r="I26" s="235"/>
      <c r="J26" s="45"/>
      <c r="K26" s="45"/>
      <c r="L26" s="46"/>
    </row>
    <row r="27" spans="1:12" s="40" customFormat="1" ht="27" customHeight="1">
      <c r="A27" s="200"/>
      <c r="B27" s="207"/>
      <c r="C27" s="208"/>
      <c r="D27" s="209"/>
      <c r="E27" s="44" t="s">
        <v>45</v>
      </c>
      <c r="F27" s="233" t="s">
        <v>175</v>
      </c>
      <c r="G27" s="234"/>
      <c r="H27" s="234"/>
      <c r="I27" s="235"/>
      <c r="J27" s="45"/>
      <c r="K27" s="45"/>
      <c r="L27" s="46"/>
    </row>
    <row r="28" spans="1:12" s="40" customFormat="1" ht="27" customHeight="1">
      <c r="A28" s="201"/>
      <c r="B28" s="210"/>
      <c r="C28" s="211"/>
      <c r="D28" s="212"/>
      <c r="E28" s="47" t="s">
        <v>47</v>
      </c>
      <c r="F28" s="241" t="s">
        <v>176</v>
      </c>
      <c r="G28" s="242"/>
      <c r="H28" s="242"/>
      <c r="I28" s="243"/>
      <c r="J28" s="48"/>
      <c r="K28" s="48"/>
      <c r="L28" s="49"/>
    </row>
    <row r="29" spans="1:12" s="40" customFormat="1" ht="27" hidden="1" customHeight="1">
      <c r="A29" s="199" t="s">
        <v>61</v>
      </c>
      <c r="B29" s="204" t="s">
        <v>177</v>
      </c>
      <c r="C29" s="205"/>
      <c r="D29" s="206"/>
      <c r="E29" s="41" t="s">
        <v>41</v>
      </c>
      <c r="F29" s="230" t="s">
        <v>178</v>
      </c>
      <c r="G29" s="231"/>
      <c r="H29" s="231"/>
      <c r="I29" s="232"/>
      <c r="J29" s="42"/>
      <c r="K29" s="42"/>
      <c r="L29" s="43"/>
    </row>
    <row r="30" spans="1:12" s="40" customFormat="1" ht="27" customHeight="1">
      <c r="A30" s="200"/>
      <c r="B30" s="207"/>
      <c r="C30" s="208"/>
      <c r="D30" s="209"/>
      <c r="E30" s="44" t="s">
        <v>43</v>
      </c>
      <c r="F30" s="233" t="s">
        <v>179</v>
      </c>
      <c r="G30" s="234"/>
      <c r="H30" s="234"/>
      <c r="I30" s="235"/>
      <c r="J30" s="45"/>
      <c r="K30" s="45"/>
      <c r="L30" s="46"/>
    </row>
    <row r="31" spans="1:12" s="40" customFormat="1" ht="27" customHeight="1">
      <c r="A31" s="200"/>
      <c r="B31" s="207"/>
      <c r="C31" s="208"/>
      <c r="D31" s="209"/>
      <c r="E31" s="44" t="s">
        <v>45</v>
      </c>
      <c r="F31" s="233" t="s">
        <v>180</v>
      </c>
      <c r="G31" s="292"/>
      <c r="H31" s="292"/>
      <c r="I31" s="293"/>
      <c r="J31" s="45"/>
      <c r="K31" s="45"/>
      <c r="L31" s="46"/>
    </row>
    <row r="32" spans="1:12" s="40" customFormat="1" ht="27" customHeight="1">
      <c r="A32" s="201"/>
      <c r="B32" s="210"/>
      <c r="C32" s="211"/>
      <c r="D32" s="212"/>
      <c r="E32" s="47" t="s">
        <v>47</v>
      </c>
      <c r="F32" s="241" t="s">
        <v>66</v>
      </c>
      <c r="G32" s="242"/>
      <c r="H32" s="242"/>
      <c r="I32" s="243"/>
      <c r="J32" s="48"/>
      <c r="K32" s="48"/>
      <c r="L32" s="49"/>
    </row>
    <row r="33" spans="1:12" s="40" customFormat="1" ht="27" hidden="1" customHeight="1">
      <c r="A33" s="199" t="s">
        <v>67</v>
      </c>
      <c r="B33" s="204" t="s">
        <v>181</v>
      </c>
      <c r="C33" s="205"/>
      <c r="D33" s="252"/>
      <c r="E33" s="41" t="s">
        <v>41</v>
      </c>
      <c r="F33" s="230" t="s">
        <v>182</v>
      </c>
      <c r="G33" s="231"/>
      <c r="H33" s="231"/>
      <c r="I33" s="232"/>
      <c r="J33" s="42"/>
      <c r="K33" s="42"/>
      <c r="L33" s="43"/>
    </row>
    <row r="34" spans="1:12" s="40" customFormat="1" ht="27" customHeight="1">
      <c r="A34" s="200"/>
      <c r="B34" s="207"/>
      <c r="C34" s="208"/>
      <c r="D34" s="209"/>
      <c r="E34" s="44" t="s">
        <v>43</v>
      </c>
      <c r="F34" s="233" t="s">
        <v>183</v>
      </c>
      <c r="G34" s="234"/>
      <c r="H34" s="234"/>
      <c r="I34" s="235"/>
      <c r="J34" s="45"/>
      <c r="K34" s="45"/>
      <c r="L34" s="46"/>
    </row>
    <row r="35" spans="1:12" s="40" customFormat="1" ht="27" customHeight="1">
      <c r="A35" s="200"/>
      <c r="B35" s="207"/>
      <c r="C35" s="208"/>
      <c r="D35" s="209"/>
      <c r="E35" s="44" t="s">
        <v>45</v>
      </c>
      <c r="F35" s="233" t="s">
        <v>158</v>
      </c>
      <c r="G35" s="234"/>
      <c r="H35" s="234"/>
      <c r="I35" s="235"/>
      <c r="J35" s="45"/>
      <c r="K35" s="45"/>
      <c r="L35" s="46"/>
    </row>
    <row r="36" spans="1:12" s="40" customFormat="1" ht="27" customHeight="1">
      <c r="A36" s="201"/>
      <c r="B36" s="210"/>
      <c r="C36" s="211"/>
      <c r="D36" s="212"/>
      <c r="E36" s="47" t="s">
        <v>47</v>
      </c>
      <c r="F36" s="241" t="s">
        <v>72</v>
      </c>
      <c r="G36" s="242"/>
      <c r="H36" s="242"/>
      <c r="I36" s="243"/>
      <c r="J36" s="48"/>
      <c r="K36" s="48"/>
      <c r="L36" s="49"/>
    </row>
    <row r="37" spans="1:12" s="40" customFormat="1" ht="27" hidden="1" customHeight="1">
      <c r="A37" s="199" t="s">
        <v>73</v>
      </c>
      <c r="B37" s="204" t="s">
        <v>188</v>
      </c>
      <c r="C37" s="205"/>
      <c r="D37" s="206"/>
      <c r="E37" s="41" t="s">
        <v>41</v>
      </c>
      <c r="F37" s="230" t="s">
        <v>160</v>
      </c>
      <c r="G37" s="231"/>
      <c r="H37" s="231"/>
      <c r="I37" s="232"/>
      <c r="J37" s="42"/>
      <c r="K37" s="42"/>
      <c r="L37" s="43"/>
    </row>
    <row r="38" spans="1:12" s="40" customFormat="1" ht="27" customHeight="1">
      <c r="A38" s="200"/>
      <c r="B38" s="207"/>
      <c r="C38" s="208"/>
      <c r="D38" s="209"/>
      <c r="E38" s="44" t="s">
        <v>43</v>
      </c>
      <c r="F38" s="233" t="s">
        <v>161</v>
      </c>
      <c r="G38" s="234"/>
      <c r="H38" s="234"/>
      <c r="I38" s="235"/>
      <c r="J38" s="45"/>
      <c r="K38" s="45"/>
      <c r="L38" s="46"/>
    </row>
    <row r="39" spans="1:12" s="40" customFormat="1" ht="27" customHeight="1">
      <c r="A39" s="200"/>
      <c r="B39" s="207"/>
      <c r="C39" s="208"/>
      <c r="D39" s="209"/>
      <c r="E39" s="44" t="s">
        <v>45</v>
      </c>
      <c r="F39" s="233" t="s">
        <v>77</v>
      </c>
      <c r="G39" s="234"/>
      <c r="H39" s="234"/>
      <c r="I39" s="235"/>
      <c r="J39" s="45"/>
      <c r="K39" s="45"/>
      <c r="L39" s="46"/>
    </row>
    <row r="40" spans="1:12" s="40" customFormat="1" ht="27" customHeight="1">
      <c r="A40" s="201"/>
      <c r="B40" s="210"/>
      <c r="C40" s="211"/>
      <c r="D40" s="212"/>
      <c r="E40" s="47" t="s">
        <v>47</v>
      </c>
      <c r="F40" s="241" t="s">
        <v>78</v>
      </c>
      <c r="G40" s="242"/>
      <c r="H40" s="242"/>
      <c r="I40" s="243"/>
      <c r="J40" s="48"/>
      <c r="K40" s="48"/>
      <c r="L40" s="49"/>
    </row>
    <row r="41" spans="1:12" s="40" customFormat="1" ht="27" hidden="1" customHeight="1">
      <c r="A41" s="199" t="s">
        <v>79</v>
      </c>
      <c r="B41" s="204" t="s">
        <v>80</v>
      </c>
      <c r="C41" s="205"/>
      <c r="D41" s="206"/>
      <c r="E41" s="41" t="s">
        <v>41</v>
      </c>
      <c r="F41" s="230" t="s">
        <v>163</v>
      </c>
      <c r="G41" s="231"/>
      <c r="H41" s="231"/>
      <c r="I41" s="232"/>
      <c r="J41" s="42"/>
      <c r="K41" s="42"/>
      <c r="L41" s="43"/>
    </row>
    <row r="42" spans="1:12" s="40" customFormat="1" ht="27" customHeight="1">
      <c r="A42" s="200"/>
      <c r="B42" s="207"/>
      <c r="C42" s="208"/>
      <c r="D42" s="209"/>
      <c r="E42" s="44" t="s">
        <v>43</v>
      </c>
      <c r="F42" s="233" t="s">
        <v>164</v>
      </c>
      <c r="G42" s="234"/>
      <c r="H42" s="234"/>
      <c r="I42" s="235"/>
      <c r="J42" s="45"/>
      <c r="K42" s="45"/>
      <c r="L42" s="46"/>
    </row>
    <row r="43" spans="1:12" s="40" customFormat="1" ht="27" customHeight="1">
      <c r="A43" s="200"/>
      <c r="B43" s="207"/>
      <c r="C43" s="208"/>
      <c r="D43" s="209"/>
      <c r="E43" s="44" t="s">
        <v>45</v>
      </c>
      <c r="F43" s="233" t="s">
        <v>165</v>
      </c>
      <c r="G43" s="234"/>
      <c r="H43" s="234"/>
      <c r="I43" s="235"/>
      <c r="J43" s="45"/>
      <c r="K43" s="45"/>
      <c r="L43" s="46"/>
    </row>
    <row r="44" spans="1:12" s="40" customFormat="1" ht="27" customHeight="1">
      <c r="A44" s="201"/>
      <c r="B44" s="210"/>
      <c r="C44" s="211"/>
      <c r="D44" s="212"/>
      <c r="E44" s="47" t="s">
        <v>47</v>
      </c>
      <c r="F44" s="241" t="s">
        <v>84</v>
      </c>
      <c r="G44" s="242"/>
      <c r="H44" s="242"/>
      <c r="I44" s="243"/>
      <c r="J44" s="48"/>
      <c r="K44" s="48"/>
      <c r="L44" s="49"/>
    </row>
    <row r="45" spans="1:12" s="2" customFormat="1" ht="39.950000000000003" customHeight="1">
      <c r="A45" s="50" t="s">
        <v>85</v>
      </c>
      <c r="B45" s="221" t="s">
        <v>86</v>
      </c>
      <c r="C45" s="222"/>
      <c r="D45" s="222"/>
      <c r="E45" s="225" t="s">
        <v>87</v>
      </c>
      <c r="F45" s="244" t="s">
        <v>88</v>
      </c>
      <c r="G45" s="245"/>
      <c r="H45" s="245"/>
      <c r="I45" s="246"/>
      <c r="J45" s="51"/>
      <c r="K45" s="52"/>
      <c r="L45" s="53"/>
    </row>
    <row r="46" spans="1:12" s="2" customFormat="1" ht="39.950000000000003" customHeight="1" thickBot="1">
      <c r="A46" s="54" t="s">
        <v>89</v>
      </c>
      <c r="B46" s="223" t="s">
        <v>90</v>
      </c>
      <c r="C46" s="224"/>
      <c r="D46" s="224"/>
      <c r="E46" s="226"/>
      <c r="F46" s="218" t="s">
        <v>91</v>
      </c>
      <c r="G46" s="219"/>
      <c r="H46" s="219"/>
      <c r="I46" s="220"/>
      <c r="J46" s="51"/>
      <c r="K46" s="52"/>
      <c r="L46" s="53"/>
    </row>
    <row r="47" spans="1:12" ht="24.95" customHeight="1" thickBot="1">
      <c r="A47" s="227" t="s">
        <v>92</v>
      </c>
      <c r="B47" s="228"/>
      <c r="C47" s="228"/>
      <c r="D47" s="228"/>
      <c r="E47" s="228"/>
      <c r="F47" s="228"/>
      <c r="G47" s="228"/>
      <c r="H47" s="228"/>
      <c r="I47" s="229"/>
      <c r="J47" s="55">
        <f>SUM(J17:J20)*4+SUM(J21:J32)*2+SUM(J33:J36)+SUM(J37:J44)*2+SUM(J45:J46)*0.5</f>
        <v>0</v>
      </c>
      <c r="K47" s="56">
        <f>SUM(K17:K20)*4+SUM(K21:K32)*2+SUM(K33:K36)+SUM(K37:K44)*2+SUM(K45:K46)*0.5</f>
        <v>0</v>
      </c>
      <c r="L47" s="57">
        <f>SUM(L17:L20)*4+SUM(L21:L32)*2+SUM(L33:L36)+SUM(L37:L44)*2+SUM(L45:L46)*0.5</f>
        <v>0</v>
      </c>
    </row>
    <row r="48" spans="1:12" ht="23.25" customHeight="1" thickBot="1">
      <c r="A48" s="202" t="s">
        <v>93</v>
      </c>
      <c r="B48" s="203"/>
      <c r="C48" s="203"/>
      <c r="D48" s="203"/>
      <c r="E48" s="203"/>
      <c r="F48" s="203"/>
      <c r="G48" s="203"/>
      <c r="H48" s="203"/>
      <c r="I48" s="203"/>
      <c r="J48" s="59"/>
      <c r="K48" s="59"/>
      <c r="L48" s="59"/>
    </row>
    <row r="49" spans="1:12" ht="29.25" customHeight="1">
      <c r="A49" s="60" t="s">
        <v>94</v>
      </c>
      <c r="B49" s="213"/>
      <c r="C49" s="213"/>
      <c r="D49" s="213"/>
      <c r="E49" s="214"/>
      <c r="F49" s="61" t="s">
        <v>95</v>
      </c>
      <c r="G49" s="215"/>
      <c r="H49" s="216"/>
      <c r="I49" s="216"/>
      <c r="J49" s="216"/>
      <c r="K49" s="217"/>
      <c r="L49" s="62"/>
    </row>
    <row r="50" spans="1:12" s="2" customFormat="1" ht="29.25" customHeight="1">
      <c r="A50" s="63" t="s">
        <v>96</v>
      </c>
      <c r="B50" s="250"/>
      <c r="C50" s="250"/>
      <c r="D50" s="250"/>
      <c r="E50" s="251"/>
      <c r="F50" s="64" t="s">
        <v>95</v>
      </c>
      <c r="G50" s="236"/>
      <c r="H50" s="237"/>
      <c r="I50" s="237"/>
      <c r="J50" s="237"/>
      <c r="K50" s="238"/>
      <c r="L50" s="65"/>
    </row>
    <row r="51" spans="1:12" s="69" customFormat="1" ht="29.25" customHeight="1" thickBot="1">
      <c r="A51" s="66" t="s">
        <v>94</v>
      </c>
      <c r="B51" s="239"/>
      <c r="C51" s="239"/>
      <c r="D51" s="239"/>
      <c r="E51" s="240"/>
      <c r="F51" s="67" t="s">
        <v>95</v>
      </c>
      <c r="G51" s="247"/>
      <c r="H51" s="248"/>
      <c r="I51" s="248"/>
      <c r="J51" s="248"/>
      <c r="K51" s="249"/>
      <c r="L51" s="68"/>
    </row>
    <row r="52" spans="1:12" s="69" customFormat="1" ht="24.95" customHeight="1" thickBot="1">
      <c r="A52" s="29"/>
      <c r="B52" s="12"/>
      <c r="C52" s="12"/>
      <c r="D52" s="70"/>
      <c r="E52" s="70"/>
      <c r="F52" s="70"/>
      <c r="G52" s="12"/>
      <c r="H52" s="70"/>
      <c r="I52" s="70"/>
      <c r="J52" s="191" t="s">
        <v>97</v>
      </c>
      <c r="K52" s="192"/>
      <c r="L52" s="71">
        <f>SUM(L49:L51)</f>
        <v>0</v>
      </c>
    </row>
    <row r="53" spans="1:12" s="69" customFormat="1" ht="18" customHeight="1" thickBot="1">
      <c r="A53" s="202" t="s">
        <v>98</v>
      </c>
      <c r="B53" s="202"/>
      <c r="C53" s="202"/>
      <c r="D53" s="202"/>
      <c r="E53" s="202"/>
      <c r="F53" s="202"/>
      <c r="G53" s="202"/>
      <c r="H53" s="202"/>
      <c r="I53" s="202"/>
      <c r="J53" s="202"/>
      <c r="K53" s="202"/>
      <c r="L53" s="73"/>
    </row>
    <row r="54" spans="1:12" s="69" customFormat="1" ht="44.25" customHeight="1" thickBot="1">
      <c r="A54" s="74" t="s">
        <v>99</v>
      </c>
      <c r="B54" s="197"/>
      <c r="C54" s="198"/>
      <c r="D54" s="198"/>
      <c r="E54" s="198"/>
      <c r="F54" s="198"/>
      <c r="G54" s="198"/>
      <c r="H54" s="198"/>
      <c r="I54" s="198"/>
      <c r="J54" s="198"/>
      <c r="K54" s="198"/>
      <c r="L54" s="98"/>
    </row>
    <row r="55" spans="1:12" s="69" customFormat="1" ht="30" customHeight="1" thickBot="1">
      <c r="A55" s="29"/>
      <c r="B55" s="255" t="s">
        <v>137</v>
      </c>
      <c r="C55" s="255"/>
      <c r="D55" s="255"/>
      <c r="E55" s="255"/>
      <c r="F55" s="255"/>
      <c r="G55" s="255"/>
      <c r="H55" s="255"/>
      <c r="I55" s="255"/>
      <c r="J55" s="254" t="s">
        <v>101</v>
      </c>
      <c r="K55" s="254"/>
      <c r="L55" s="75"/>
    </row>
    <row r="56" spans="1:12" s="69" customFormat="1" ht="24.95" customHeight="1" thickBot="1">
      <c r="A56" s="76" t="s">
        <v>102</v>
      </c>
      <c r="B56" s="20"/>
      <c r="C56" s="20"/>
      <c r="D56" s="20"/>
      <c r="E56" s="12"/>
      <c r="F56" s="20"/>
      <c r="G56" s="77"/>
      <c r="H56" s="78"/>
      <c r="I56" s="193" t="s">
        <v>103</v>
      </c>
      <c r="J56" s="193"/>
      <c r="K56" s="193"/>
      <c r="L56" s="71">
        <f>L47+L52+L54</f>
        <v>0</v>
      </c>
    </row>
    <row r="57" spans="1:12" ht="15" customHeight="1">
      <c r="A57" s="194" t="s">
        <v>104</v>
      </c>
      <c r="B57" s="195"/>
      <c r="C57" s="195"/>
      <c r="D57" s="196"/>
      <c r="E57" s="283" t="s">
        <v>105</v>
      </c>
      <c r="F57" s="644"/>
      <c r="G57" s="645"/>
      <c r="H57" s="282" t="s">
        <v>106</v>
      </c>
      <c r="I57" s="646"/>
      <c r="J57" s="646"/>
      <c r="K57" s="646"/>
      <c r="L57" s="647"/>
    </row>
    <row r="58" spans="1:12" s="2" customFormat="1" ht="116.25" customHeight="1">
      <c r="A58" s="273"/>
      <c r="B58" s="273"/>
      <c r="C58" s="273"/>
      <c r="D58" s="273"/>
      <c r="E58" s="274"/>
      <c r="F58" s="274"/>
      <c r="G58" s="274"/>
      <c r="H58" s="279"/>
      <c r="I58" s="280"/>
      <c r="J58" s="280"/>
      <c r="K58" s="280"/>
      <c r="L58" s="281"/>
    </row>
    <row r="59" spans="1:12" ht="31.5" customHeight="1">
      <c r="A59" s="273"/>
      <c r="B59" s="273"/>
      <c r="C59" s="273"/>
      <c r="D59" s="273"/>
      <c r="E59" s="274"/>
      <c r="F59" s="274"/>
      <c r="G59" s="274"/>
      <c r="H59" s="275" t="s">
        <v>107</v>
      </c>
      <c r="I59" s="276"/>
      <c r="J59" s="277"/>
      <c r="K59" s="278" t="s">
        <v>108</v>
      </c>
      <c r="L59" s="278"/>
    </row>
    <row r="61" spans="1:12" s="2" customFormat="1" ht="12" customHeight="1">
      <c r="F61" s="1" t="s">
        <v>109</v>
      </c>
      <c r="H61" s="1"/>
      <c r="I61" s="1"/>
      <c r="J61" s="1"/>
      <c r="K61" s="1"/>
      <c r="L61" s="1"/>
    </row>
    <row r="62" spans="1:12" s="5" customFormat="1" ht="12.75" customHeight="1">
      <c r="F62" s="3" t="s">
        <v>1</v>
      </c>
      <c r="G62" s="270" t="s">
        <v>2</v>
      </c>
      <c r="H62" s="270"/>
      <c r="I62" s="270"/>
      <c r="J62" s="270"/>
      <c r="K62" s="270"/>
      <c r="L62" s="270"/>
    </row>
    <row r="63" spans="1:12" s="5" customFormat="1" ht="17.100000000000001" customHeight="1">
      <c r="F63" s="8" t="s">
        <v>110</v>
      </c>
      <c r="G63" s="272" t="s">
        <v>111</v>
      </c>
      <c r="H63" s="272"/>
      <c r="I63" s="272"/>
      <c r="J63" s="272"/>
      <c r="K63" s="272"/>
      <c r="L63" s="272"/>
    </row>
    <row r="64" spans="1:12" s="5" customFormat="1" ht="17.100000000000001" customHeight="1">
      <c r="F64" s="8" t="s">
        <v>112</v>
      </c>
      <c r="G64" s="253" t="s">
        <v>113</v>
      </c>
      <c r="H64" s="253"/>
      <c r="I64" s="253"/>
      <c r="J64" s="253"/>
      <c r="K64" s="253"/>
      <c r="L64" s="253"/>
    </row>
    <row r="65" spans="5:12" s="5" customFormat="1" ht="17.100000000000001" customHeight="1">
      <c r="E65" s="99" t="s">
        <v>114</v>
      </c>
      <c r="F65" s="8" t="s">
        <v>115</v>
      </c>
      <c r="G65" s="253" t="s">
        <v>116</v>
      </c>
      <c r="H65" s="253"/>
      <c r="I65" s="253"/>
      <c r="J65" s="253"/>
      <c r="K65" s="253"/>
      <c r="L65" s="253"/>
    </row>
    <row r="66" spans="5:12" s="5" customFormat="1" ht="17.100000000000001" customHeight="1">
      <c r="F66" s="8" t="s">
        <v>117</v>
      </c>
      <c r="G66" s="253" t="s">
        <v>118</v>
      </c>
      <c r="H66" s="253"/>
      <c r="I66" s="253"/>
      <c r="J66" s="253"/>
      <c r="K66" s="253"/>
      <c r="L66" s="253"/>
    </row>
    <row r="67" spans="5:12" s="5" customFormat="1" ht="17.100000000000001" customHeight="1">
      <c r="F67" s="8" t="s">
        <v>119</v>
      </c>
      <c r="G67" s="253" t="s">
        <v>120</v>
      </c>
      <c r="H67" s="253"/>
      <c r="I67" s="253"/>
      <c r="J67" s="253"/>
      <c r="K67" s="253"/>
      <c r="L67" s="253"/>
    </row>
  </sheetData>
  <mergeCells count="93">
    <mergeCell ref="G67:L67"/>
    <mergeCell ref="A57:D57"/>
    <mergeCell ref="E57:G57"/>
    <mergeCell ref="H57:L57"/>
    <mergeCell ref="A58:D59"/>
    <mergeCell ref="E58:G59"/>
    <mergeCell ref="H58:L58"/>
    <mergeCell ref="H59:J59"/>
    <mergeCell ref="K59:L59"/>
    <mergeCell ref="G62:L62"/>
    <mergeCell ref="G63:L63"/>
    <mergeCell ref="G64:L64"/>
    <mergeCell ref="G65:L65"/>
    <mergeCell ref="G66:L66"/>
    <mergeCell ref="I56:K56"/>
    <mergeCell ref="A48:I48"/>
    <mergeCell ref="B49:E49"/>
    <mergeCell ref="G49:K49"/>
    <mergeCell ref="B50:E50"/>
    <mergeCell ref="G50:K50"/>
    <mergeCell ref="B51:E51"/>
    <mergeCell ref="G51:K51"/>
    <mergeCell ref="J52:K52"/>
    <mergeCell ref="A53:K53"/>
    <mergeCell ref="B54:K54"/>
    <mergeCell ref="B55:I55"/>
    <mergeCell ref="J55:K55"/>
    <mergeCell ref="A47:I47"/>
    <mergeCell ref="A41:A44"/>
    <mergeCell ref="B41:D44"/>
    <mergeCell ref="F41:I41"/>
    <mergeCell ref="F42:I42"/>
    <mergeCell ref="F43:I43"/>
    <mergeCell ref="F44:I44"/>
    <mergeCell ref="B45:D45"/>
    <mergeCell ref="E45:E46"/>
    <mergeCell ref="F45:I45"/>
    <mergeCell ref="B46:D46"/>
    <mergeCell ref="F46:I46"/>
    <mergeCell ref="A37:A40"/>
    <mergeCell ref="B37:D40"/>
    <mergeCell ref="F37:I37"/>
    <mergeCell ref="F38:I38"/>
    <mergeCell ref="F39:I39"/>
    <mergeCell ref="F40:I40"/>
    <mergeCell ref="A33:A36"/>
    <mergeCell ref="B33:D36"/>
    <mergeCell ref="F33:I33"/>
    <mergeCell ref="F34:I34"/>
    <mergeCell ref="F35:I35"/>
    <mergeCell ref="F36:I36"/>
    <mergeCell ref="A29:A32"/>
    <mergeCell ref="B29:D32"/>
    <mergeCell ref="F29:I29"/>
    <mergeCell ref="F30:I30"/>
    <mergeCell ref="F31:I31"/>
    <mergeCell ref="F32:I32"/>
    <mergeCell ref="A25:A28"/>
    <mergeCell ref="B25:D28"/>
    <mergeCell ref="F25:I25"/>
    <mergeCell ref="F26:I26"/>
    <mergeCell ref="F27:I27"/>
    <mergeCell ref="F28:I28"/>
    <mergeCell ref="A21:A24"/>
    <mergeCell ref="B21:D24"/>
    <mergeCell ref="F21:I21"/>
    <mergeCell ref="F22:I22"/>
    <mergeCell ref="F23:I23"/>
    <mergeCell ref="F24:I24"/>
    <mergeCell ref="A17:A20"/>
    <mergeCell ref="B17:D20"/>
    <mergeCell ref="F17:I17"/>
    <mergeCell ref="F18:I18"/>
    <mergeCell ref="F19:I19"/>
    <mergeCell ref="F20:I20"/>
    <mergeCell ref="B13:E13"/>
    <mergeCell ref="G13:I13"/>
    <mergeCell ref="B14:E14"/>
    <mergeCell ref="G14:I14"/>
    <mergeCell ref="B16:D16"/>
    <mergeCell ref="F16:I16"/>
    <mergeCell ref="B5:E5"/>
    <mergeCell ref="G5:H5"/>
    <mergeCell ref="B6:E6"/>
    <mergeCell ref="G6:H6"/>
    <mergeCell ref="B7:E7"/>
    <mergeCell ref="G7:H7"/>
    <mergeCell ref="B2:E2"/>
    <mergeCell ref="G2:H2"/>
    <mergeCell ref="B3:E3"/>
    <mergeCell ref="G3:H3"/>
    <mergeCell ref="B4:E4"/>
    <mergeCell ref="G4:H4"/>
  </mergeCells>
  <phoneticPr fontId="26"/>
  <conditionalFormatting sqref="E17:E45">
    <cfRule type="cellIs" dxfId="43" priority="1" stopIfTrue="1" operator="equal">
      <formula>$E$12</formula>
    </cfRule>
  </conditionalFormatting>
  <conditionalFormatting sqref="F31 J31:L31">
    <cfRule type="expression" dxfId="42" priority="17" stopIfTrue="1">
      <formula>IF($E$12=$E$31,TRUE)</formula>
    </cfRule>
  </conditionalFormatting>
  <conditionalFormatting sqref="F17:L17">
    <cfRule type="expression" dxfId="41" priority="5" stopIfTrue="1">
      <formula>IF($E$12=$E$17,TRUE)</formula>
    </cfRule>
  </conditionalFormatting>
  <conditionalFormatting sqref="F18:L18">
    <cfRule type="expression" dxfId="40" priority="4" stopIfTrue="1">
      <formula>IF($E$12=$E$18,TRUE)</formula>
    </cfRule>
  </conditionalFormatting>
  <conditionalFormatting sqref="F19:L19">
    <cfRule type="expression" dxfId="39" priority="3" stopIfTrue="1">
      <formula>IF($E$12=$E$19,TRUE)</formula>
    </cfRule>
  </conditionalFormatting>
  <conditionalFormatting sqref="F20:L20">
    <cfRule type="expression" dxfId="38" priority="6" stopIfTrue="1">
      <formula>IF($E$12=$E$20,TRUE)</formula>
    </cfRule>
  </conditionalFormatting>
  <conditionalFormatting sqref="F21:L21">
    <cfRule type="expression" dxfId="37" priority="7" stopIfTrue="1">
      <formula>IF($E$12=$E$21,TRUE)</formula>
    </cfRule>
  </conditionalFormatting>
  <conditionalFormatting sqref="F22:L22">
    <cfRule type="expression" dxfId="36" priority="8" stopIfTrue="1">
      <formula>IF($E$12=$E$22,TRUE)</formula>
    </cfRule>
  </conditionalFormatting>
  <conditionalFormatting sqref="F23:L23">
    <cfRule type="expression" dxfId="35" priority="9" stopIfTrue="1">
      <formula>IF($E$12=$E$23,TRUE)</formula>
    </cfRule>
  </conditionalFormatting>
  <conditionalFormatting sqref="F24:L24">
    <cfRule type="expression" dxfId="34" priority="10" stopIfTrue="1">
      <formula>IF($E$12=$E$24,TRUE)</formula>
    </cfRule>
  </conditionalFormatting>
  <conditionalFormatting sqref="F25:L25">
    <cfRule type="expression" dxfId="33" priority="11" stopIfTrue="1">
      <formula>IF($E$12=$E$25,TRUE)</formula>
    </cfRule>
  </conditionalFormatting>
  <conditionalFormatting sqref="F26:L26">
    <cfRule type="expression" dxfId="32" priority="12" stopIfTrue="1">
      <formula>IF($E$12=$E$26,TRUE)</formula>
    </cfRule>
  </conditionalFormatting>
  <conditionalFormatting sqref="F27:L27">
    <cfRule type="expression" dxfId="31" priority="13" stopIfTrue="1">
      <formula>IF($E$12=$E$27,TRUE)</formula>
    </cfRule>
  </conditionalFormatting>
  <conditionalFormatting sqref="F28:L28">
    <cfRule type="expression" dxfId="30" priority="14" stopIfTrue="1">
      <formula>IF($E$12=$E$28,TRUE)</formula>
    </cfRule>
  </conditionalFormatting>
  <conditionalFormatting sqref="F29:L29">
    <cfRule type="expression" dxfId="29" priority="15" stopIfTrue="1">
      <formula>IF($E$12=$E$29,TRUE)</formula>
    </cfRule>
  </conditionalFormatting>
  <conditionalFormatting sqref="F30:L30">
    <cfRule type="expression" dxfId="28" priority="16" stopIfTrue="1">
      <formula>IF($E$12=$E$30,TRUE)</formula>
    </cfRule>
  </conditionalFormatting>
  <conditionalFormatting sqref="F32:L32">
    <cfRule type="expression" dxfId="27" priority="18" stopIfTrue="1">
      <formula>IF($E$12=$E$32,TRUE)</formula>
    </cfRule>
  </conditionalFormatting>
  <conditionalFormatting sqref="F33:L33">
    <cfRule type="expression" dxfId="26" priority="19" stopIfTrue="1">
      <formula>IF($E$12=$E$33,TRUE)</formula>
    </cfRule>
  </conditionalFormatting>
  <conditionalFormatting sqref="F34:L34">
    <cfRule type="expression" dxfId="25" priority="20" stopIfTrue="1">
      <formula>IF($E$12=$E$34,TRUE)</formula>
    </cfRule>
  </conditionalFormatting>
  <conditionalFormatting sqref="F35:L35">
    <cfRule type="expression" dxfId="24" priority="21" stopIfTrue="1">
      <formula>IF($E$12=$E$35,TRUE)</formula>
    </cfRule>
  </conditionalFormatting>
  <conditionalFormatting sqref="F36:L36">
    <cfRule type="expression" dxfId="23" priority="22" stopIfTrue="1">
      <formula>IF($E$12=$E$36,TRUE)</formula>
    </cfRule>
  </conditionalFormatting>
  <conditionalFormatting sqref="F37:L37">
    <cfRule type="expression" dxfId="22" priority="23" stopIfTrue="1">
      <formula>IF($E$12=$E$37,TRUE)</formula>
    </cfRule>
  </conditionalFormatting>
  <conditionalFormatting sqref="F38:L38">
    <cfRule type="expression" dxfId="21" priority="24" stopIfTrue="1">
      <formula>IF($E$12=$E$38,TRUE)</formula>
    </cfRule>
  </conditionalFormatting>
  <conditionalFormatting sqref="F39:L39">
    <cfRule type="expression" dxfId="20" priority="25" stopIfTrue="1">
      <formula>IF($E$12=$E$39,TRUE)</formula>
    </cfRule>
  </conditionalFormatting>
  <conditionalFormatting sqref="F40:L40">
    <cfRule type="expression" dxfId="19" priority="26" stopIfTrue="1">
      <formula>IF($E$12=$E$40,TRUE)</formula>
    </cfRule>
  </conditionalFormatting>
  <conditionalFormatting sqref="F41:L41">
    <cfRule type="expression" dxfId="18" priority="27" stopIfTrue="1">
      <formula>IF($E$12=$E$41,TRUE)</formula>
    </cfRule>
  </conditionalFormatting>
  <conditionalFormatting sqref="F42:L42">
    <cfRule type="expression" dxfId="17" priority="28" stopIfTrue="1">
      <formula>IF($E$12=$E$42,TRUE)</formula>
    </cfRule>
  </conditionalFormatting>
  <conditionalFormatting sqref="F43:L43">
    <cfRule type="expression" dxfId="16" priority="29" stopIfTrue="1">
      <formula>IF($E$12=$E$43,TRUE)</formula>
    </cfRule>
  </conditionalFormatting>
  <conditionalFormatting sqref="F44:L44">
    <cfRule type="expression" dxfId="15" priority="30" stopIfTrue="1">
      <formula>IF($E$12=$E$44,TRUE)</formula>
    </cfRule>
  </conditionalFormatting>
  <dataValidations count="2">
    <dataValidation type="list" allowBlank="1" showInputMessage="1" showErrorMessage="1" sqref="E12" xr:uid="{00000000-0002-0000-0500-000001000000}">
      <formula1>"Ｒ３,Ｒ２,Ｒ１"</formula1>
    </dataValidation>
    <dataValidation type="list" allowBlank="1" showInputMessage="1" showErrorMessage="1" sqref="K59:L59" xr:uid="{FBA39668-9C4D-4B8C-A9D1-656C4D24A916}">
      <formula1>"　,Ａ,Ｂ,Ｃ,Ｄ,Ｅ"</formula1>
    </dataValidation>
  </dataValidations>
  <pageMargins left="1.1811023622047245" right="0.27559055118110237" top="0.59055118110236227" bottom="0.43307086614173229" header="0.43307086614173229" footer="0.23622047244094491"/>
  <pageSetup paperSize="9" scale="59" orientation="portrait" r:id="rId1"/>
  <headerFooter alignWithMargins="0">
    <oddFooter>&amp;L&amp;"ＭＳ Ｐゴシック,標準"NCT日本コムシンク株式会社&amp;R&amp;"ＭＳ Ｐゴシック,標準"印刷&amp;D</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67"/>
  <sheetViews>
    <sheetView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1" width="7.83203125" style="58" customWidth="1"/>
    <col min="12" max="16384" width="12" style="58"/>
  </cols>
  <sheetData>
    <row r="1" spans="1:11" s="2" customFormat="1" ht="12" customHeight="1">
      <c r="A1" s="1" t="s">
        <v>0</v>
      </c>
      <c r="B1" s="1"/>
      <c r="C1" s="1"/>
      <c r="D1" s="1"/>
      <c r="E1" s="1"/>
      <c r="F1" s="1"/>
      <c r="G1" s="1"/>
      <c r="H1" s="1"/>
      <c r="I1" s="1"/>
      <c r="J1" s="1"/>
      <c r="K1" s="1"/>
    </row>
    <row r="2" spans="1:11" s="5" customFormat="1" ht="12.75" customHeight="1">
      <c r="A2" s="3" t="s">
        <v>1</v>
      </c>
      <c r="B2" s="270" t="s">
        <v>2</v>
      </c>
      <c r="C2" s="270"/>
      <c r="D2" s="270"/>
      <c r="E2" s="270"/>
      <c r="F2" s="4" t="s">
        <v>3</v>
      </c>
      <c r="G2" s="271" t="s">
        <v>4</v>
      </c>
      <c r="H2" s="271"/>
    </row>
    <row r="3" spans="1:11" s="5" customFormat="1" ht="28.5" customHeight="1">
      <c r="A3" s="6">
        <v>5</v>
      </c>
      <c r="B3" s="272" t="s">
        <v>5</v>
      </c>
      <c r="C3" s="272"/>
      <c r="D3" s="272"/>
      <c r="E3" s="272"/>
      <c r="F3" s="7" t="s">
        <v>6</v>
      </c>
      <c r="G3" s="256" t="s">
        <v>7</v>
      </c>
      <c r="H3" s="256"/>
    </row>
    <row r="4" spans="1:11" s="5" customFormat="1" ht="30" customHeight="1">
      <c r="A4" s="8">
        <v>4</v>
      </c>
      <c r="B4" s="253" t="s">
        <v>8</v>
      </c>
      <c r="C4" s="253"/>
      <c r="D4" s="253"/>
      <c r="E4" s="253"/>
      <c r="F4" s="7" t="s">
        <v>6</v>
      </c>
      <c r="G4" s="256" t="s">
        <v>9</v>
      </c>
      <c r="H4" s="256"/>
    </row>
    <row r="5" spans="1:11" s="5" customFormat="1" ht="27" customHeight="1">
      <c r="A5" s="8">
        <v>3</v>
      </c>
      <c r="B5" s="253" t="s">
        <v>10</v>
      </c>
      <c r="C5" s="253"/>
      <c r="D5" s="253"/>
      <c r="E5" s="253"/>
      <c r="F5" s="7" t="s">
        <v>6</v>
      </c>
      <c r="G5" s="256" t="s">
        <v>11</v>
      </c>
      <c r="H5" s="256"/>
      <c r="I5" s="2" t="s">
        <v>12</v>
      </c>
    </row>
    <row r="6" spans="1:11" s="5" customFormat="1" ht="28.5" customHeight="1">
      <c r="A6" s="8">
        <v>2</v>
      </c>
      <c r="B6" s="253" t="s">
        <v>13</v>
      </c>
      <c r="C6" s="253"/>
      <c r="D6" s="253"/>
      <c r="E6" s="253"/>
      <c r="F6" s="7" t="s">
        <v>14</v>
      </c>
      <c r="G6" s="256" t="s">
        <v>15</v>
      </c>
      <c r="H6" s="256"/>
    </row>
    <row r="7" spans="1:11" s="5" customFormat="1" ht="30.75" customHeight="1">
      <c r="A7" s="8">
        <v>1</v>
      </c>
      <c r="B7" s="253" t="s">
        <v>16</v>
      </c>
      <c r="C7" s="253"/>
      <c r="D7" s="253"/>
      <c r="E7" s="253"/>
      <c r="F7" s="7" t="s">
        <v>15</v>
      </c>
      <c r="G7" s="256" t="s">
        <v>15</v>
      </c>
      <c r="H7" s="256"/>
    </row>
    <row r="8" spans="1:11" s="5" customFormat="1" ht="12.75" customHeight="1">
      <c r="A8" s="9"/>
      <c r="B8" s="10"/>
      <c r="C8" s="10"/>
      <c r="D8" s="11"/>
      <c r="E8" s="11"/>
      <c r="F8" s="11"/>
      <c r="G8" s="12"/>
      <c r="H8" s="12"/>
      <c r="I8" s="12"/>
      <c r="J8" s="12"/>
      <c r="K8" s="13"/>
    </row>
    <row r="9" spans="1:11" s="2" customFormat="1" ht="27.75" customHeight="1">
      <c r="A9" s="14" t="s">
        <v>17</v>
      </c>
      <c r="B9" s="15"/>
      <c r="C9" s="15"/>
      <c r="D9" s="100" t="s">
        <v>18</v>
      </c>
      <c r="E9" s="16"/>
      <c r="F9" s="17"/>
      <c r="G9" s="18"/>
      <c r="H9" s="18"/>
      <c r="I9" s="18"/>
      <c r="J9" s="18"/>
      <c r="K9" s="18"/>
    </row>
    <row r="10" spans="1:11" s="2" customFormat="1" ht="12.75" customHeight="1">
      <c r="A10" s="19"/>
      <c r="B10" s="15"/>
      <c r="C10" s="15"/>
      <c r="D10" s="15"/>
      <c r="E10" s="16"/>
      <c r="F10" s="17"/>
      <c r="G10" s="18"/>
      <c r="H10" s="18"/>
      <c r="I10" s="18"/>
      <c r="J10" s="18"/>
      <c r="K10" s="18"/>
    </row>
    <row r="11" spans="1:11" s="2" customFormat="1" ht="23.45">
      <c r="A11" s="14" t="s">
        <v>189</v>
      </c>
      <c r="B11" s="15"/>
      <c r="C11" s="15"/>
      <c r="D11" s="15"/>
      <c r="E11" s="16"/>
      <c r="F11" s="20"/>
    </row>
    <row r="12" spans="1:11" s="2" customFormat="1" ht="24.75" customHeight="1">
      <c r="A12" s="21"/>
      <c r="B12" s="21"/>
      <c r="C12" s="21"/>
      <c r="D12" s="22" t="s">
        <v>20</v>
      </c>
      <c r="E12" s="23" t="s">
        <v>190</v>
      </c>
      <c r="F12" s="22" t="s">
        <v>22</v>
      </c>
      <c r="G12" s="24">
        <v>45383</v>
      </c>
      <c r="H12" s="25" t="s">
        <v>23</v>
      </c>
      <c r="I12" s="26">
        <v>45565</v>
      </c>
      <c r="J12" s="27"/>
      <c r="K12" s="20"/>
    </row>
    <row r="13" spans="1:11" s="2" customFormat="1" ht="30" customHeight="1">
      <c r="A13" s="3" t="s">
        <v>24</v>
      </c>
      <c r="B13" s="263" t="s">
        <v>25</v>
      </c>
      <c r="C13" s="264"/>
      <c r="D13" s="264"/>
      <c r="E13" s="311"/>
      <c r="F13" s="28" t="s">
        <v>26</v>
      </c>
      <c r="G13" s="267" t="s">
        <v>27</v>
      </c>
      <c r="H13" s="267"/>
      <c r="I13" s="267"/>
      <c r="J13" s="27"/>
      <c r="K13" s="29"/>
    </row>
    <row r="14" spans="1:11" s="2" customFormat="1" ht="30" customHeight="1">
      <c r="A14" s="89"/>
      <c r="B14" s="312"/>
      <c r="C14" s="312"/>
      <c r="D14" s="313"/>
      <c r="E14" s="314"/>
      <c r="F14" s="28" t="s">
        <v>191</v>
      </c>
      <c r="G14" s="267" t="s">
        <v>31</v>
      </c>
      <c r="H14" s="267"/>
      <c r="I14" s="267"/>
      <c r="J14" s="27"/>
      <c r="K14" s="29"/>
    </row>
    <row r="15" spans="1:11" s="2" customFormat="1" ht="41.25" customHeight="1" thickBot="1">
      <c r="A15" s="30" t="s">
        <v>32</v>
      </c>
      <c r="B15" s="31"/>
      <c r="C15" s="31"/>
      <c r="D15" s="32"/>
      <c r="E15" s="32"/>
      <c r="F15" s="33"/>
      <c r="G15" s="33"/>
      <c r="H15" s="34"/>
      <c r="I15" s="35"/>
      <c r="J15" s="27"/>
      <c r="K15" s="29"/>
    </row>
    <row r="16" spans="1:11" s="40" customFormat="1" ht="28.5" customHeight="1">
      <c r="A16" s="36" t="s">
        <v>33</v>
      </c>
      <c r="B16" s="257" t="s">
        <v>34</v>
      </c>
      <c r="C16" s="258"/>
      <c r="D16" s="259"/>
      <c r="E16" s="90" t="s">
        <v>20</v>
      </c>
      <c r="F16" s="260" t="s">
        <v>35</v>
      </c>
      <c r="G16" s="261"/>
      <c r="H16" s="261"/>
      <c r="I16" s="262"/>
      <c r="J16" s="38" t="s">
        <v>36</v>
      </c>
      <c r="K16" s="39" t="s">
        <v>192</v>
      </c>
    </row>
    <row r="17" spans="1:12" s="40" customFormat="1" ht="38.1" customHeight="1">
      <c r="A17" s="308" t="s">
        <v>193</v>
      </c>
      <c r="B17" s="299" t="s">
        <v>194</v>
      </c>
      <c r="C17" s="300"/>
      <c r="D17" s="301"/>
      <c r="E17" s="41" t="s">
        <v>195</v>
      </c>
      <c r="F17" s="230" t="s">
        <v>196</v>
      </c>
      <c r="G17" s="231"/>
      <c r="H17" s="231"/>
      <c r="I17" s="232"/>
      <c r="J17" s="42"/>
      <c r="K17" s="43"/>
    </row>
    <row r="18" spans="1:12" s="40" customFormat="1" ht="38.1" customHeight="1">
      <c r="A18" s="309"/>
      <c r="B18" s="302"/>
      <c r="C18" s="303"/>
      <c r="D18" s="304"/>
      <c r="E18" s="91" t="s">
        <v>190</v>
      </c>
      <c r="F18" s="296" t="s">
        <v>197</v>
      </c>
      <c r="G18" s="297"/>
      <c r="H18" s="297"/>
      <c r="I18" s="298"/>
      <c r="J18" s="45"/>
      <c r="K18" s="46"/>
    </row>
    <row r="19" spans="1:12" s="40" customFormat="1" ht="38.1" customHeight="1">
      <c r="A19" s="310"/>
      <c r="B19" s="305"/>
      <c r="C19" s="306"/>
      <c r="D19" s="307"/>
      <c r="E19" s="47" t="s">
        <v>198</v>
      </c>
      <c r="F19" s="241" t="s">
        <v>199</v>
      </c>
      <c r="G19" s="242"/>
      <c r="H19" s="242"/>
      <c r="I19" s="243"/>
      <c r="J19" s="48"/>
      <c r="K19" s="49"/>
    </row>
    <row r="20" spans="1:12" s="40" customFormat="1" ht="38.1" customHeight="1">
      <c r="A20" s="308" t="s">
        <v>200</v>
      </c>
      <c r="B20" s="299" t="s">
        <v>201</v>
      </c>
      <c r="C20" s="300"/>
      <c r="D20" s="301"/>
      <c r="E20" s="41" t="s">
        <v>195</v>
      </c>
      <c r="F20" s="230" t="s">
        <v>202</v>
      </c>
      <c r="G20" s="231"/>
      <c r="H20" s="231"/>
      <c r="I20" s="232"/>
      <c r="J20" s="42"/>
      <c r="K20" s="43"/>
    </row>
    <row r="21" spans="1:12" s="40" customFormat="1" ht="38.1" customHeight="1">
      <c r="A21" s="309"/>
      <c r="B21" s="302"/>
      <c r="C21" s="303"/>
      <c r="D21" s="304"/>
      <c r="E21" s="44" t="s">
        <v>190</v>
      </c>
      <c r="F21" s="296" t="s">
        <v>203</v>
      </c>
      <c r="G21" s="297"/>
      <c r="H21" s="297"/>
      <c r="I21" s="298"/>
      <c r="J21" s="45"/>
      <c r="K21" s="46"/>
    </row>
    <row r="22" spans="1:12" s="40" customFormat="1" ht="38.1" customHeight="1">
      <c r="A22" s="310"/>
      <c r="B22" s="305"/>
      <c r="C22" s="306"/>
      <c r="D22" s="307"/>
      <c r="E22" s="47" t="s">
        <v>198</v>
      </c>
      <c r="F22" s="241" t="s">
        <v>204</v>
      </c>
      <c r="G22" s="242"/>
      <c r="H22" s="242"/>
      <c r="I22" s="243"/>
      <c r="J22" s="48"/>
      <c r="K22" s="49"/>
    </row>
    <row r="23" spans="1:12" s="40" customFormat="1" ht="38.1" customHeight="1">
      <c r="A23" s="308" t="s">
        <v>205</v>
      </c>
      <c r="B23" s="299" t="s">
        <v>206</v>
      </c>
      <c r="C23" s="300"/>
      <c r="D23" s="301"/>
      <c r="E23" s="41" t="s">
        <v>195</v>
      </c>
      <c r="F23" s="230" t="s">
        <v>207</v>
      </c>
      <c r="G23" s="231"/>
      <c r="H23" s="231"/>
      <c r="I23" s="232"/>
      <c r="J23" s="42"/>
      <c r="K23" s="43"/>
    </row>
    <row r="24" spans="1:12" s="40" customFormat="1" ht="38.1" customHeight="1">
      <c r="A24" s="309"/>
      <c r="B24" s="302"/>
      <c r="C24" s="303"/>
      <c r="D24" s="304"/>
      <c r="E24" s="44" t="s">
        <v>190</v>
      </c>
      <c r="F24" s="296" t="s">
        <v>208</v>
      </c>
      <c r="G24" s="297"/>
      <c r="H24" s="297"/>
      <c r="I24" s="298"/>
      <c r="J24" s="45"/>
      <c r="K24" s="46"/>
    </row>
    <row r="25" spans="1:12" s="40" customFormat="1" ht="38.1" customHeight="1">
      <c r="A25" s="310"/>
      <c r="B25" s="305"/>
      <c r="C25" s="306"/>
      <c r="D25" s="307"/>
      <c r="E25" s="47" t="s">
        <v>198</v>
      </c>
      <c r="F25" s="241" t="s">
        <v>209</v>
      </c>
      <c r="G25" s="242"/>
      <c r="H25" s="242"/>
      <c r="I25" s="243"/>
      <c r="J25" s="48"/>
      <c r="K25" s="49"/>
    </row>
    <row r="26" spans="1:12" s="40" customFormat="1" ht="38.1" customHeight="1">
      <c r="A26" s="315" t="s">
        <v>210</v>
      </c>
      <c r="B26" s="299" t="s">
        <v>211</v>
      </c>
      <c r="C26" s="300"/>
      <c r="D26" s="301"/>
      <c r="E26" s="41" t="s">
        <v>195</v>
      </c>
      <c r="F26" s="230" t="s">
        <v>212</v>
      </c>
      <c r="G26" s="231"/>
      <c r="H26" s="231"/>
      <c r="I26" s="232"/>
      <c r="J26" s="42"/>
      <c r="K26" s="43"/>
    </row>
    <row r="27" spans="1:12" s="40" customFormat="1" ht="38.1" customHeight="1">
      <c r="A27" s="309"/>
      <c r="B27" s="302"/>
      <c r="C27" s="303"/>
      <c r="D27" s="304"/>
      <c r="E27" s="44" t="s">
        <v>190</v>
      </c>
      <c r="F27" s="296" t="s">
        <v>213</v>
      </c>
      <c r="G27" s="297"/>
      <c r="H27" s="297"/>
      <c r="I27" s="298"/>
      <c r="J27" s="45"/>
      <c r="K27" s="46"/>
      <c r="L27" s="93"/>
    </row>
    <row r="28" spans="1:12" s="40" customFormat="1" ht="38.1" customHeight="1">
      <c r="A28" s="310"/>
      <c r="B28" s="305"/>
      <c r="C28" s="306"/>
      <c r="D28" s="307"/>
      <c r="E28" s="47" t="s">
        <v>198</v>
      </c>
      <c r="F28" s="241" t="s">
        <v>214</v>
      </c>
      <c r="G28" s="242"/>
      <c r="H28" s="242"/>
      <c r="I28" s="243"/>
      <c r="J28" s="48"/>
      <c r="K28" s="49"/>
      <c r="L28" s="93"/>
    </row>
    <row r="29" spans="1:12" s="40" customFormat="1" ht="38.1" customHeight="1">
      <c r="A29" s="308" t="s">
        <v>215</v>
      </c>
      <c r="B29" s="299" t="s">
        <v>216</v>
      </c>
      <c r="C29" s="300"/>
      <c r="D29" s="301"/>
      <c r="E29" s="41" t="s">
        <v>195</v>
      </c>
      <c r="F29" s="230" t="s">
        <v>217</v>
      </c>
      <c r="G29" s="231"/>
      <c r="H29" s="231"/>
      <c r="I29" s="232"/>
      <c r="J29" s="42"/>
      <c r="K29" s="43"/>
    </row>
    <row r="30" spans="1:12" s="40" customFormat="1" ht="38.1" customHeight="1">
      <c r="A30" s="309"/>
      <c r="B30" s="302"/>
      <c r="C30" s="303"/>
      <c r="D30" s="304"/>
      <c r="E30" s="44" t="s">
        <v>190</v>
      </c>
      <c r="F30" s="296" t="s">
        <v>218</v>
      </c>
      <c r="G30" s="297"/>
      <c r="H30" s="297"/>
      <c r="I30" s="298"/>
      <c r="J30" s="45"/>
      <c r="K30" s="46"/>
    </row>
    <row r="31" spans="1:12" s="40" customFormat="1" ht="38.1" customHeight="1">
      <c r="A31" s="310"/>
      <c r="B31" s="305"/>
      <c r="C31" s="306"/>
      <c r="D31" s="307"/>
      <c r="E31" s="47" t="s">
        <v>198</v>
      </c>
      <c r="F31" s="241" t="s">
        <v>219</v>
      </c>
      <c r="G31" s="242"/>
      <c r="H31" s="242"/>
      <c r="I31" s="243"/>
      <c r="J31" s="48"/>
      <c r="K31" s="49"/>
    </row>
    <row r="32" spans="1:12" s="40" customFormat="1" ht="38.1" customHeight="1">
      <c r="A32" s="308" t="s">
        <v>220</v>
      </c>
      <c r="B32" s="299" t="s">
        <v>221</v>
      </c>
      <c r="C32" s="300"/>
      <c r="D32" s="301"/>
      <c r="E32" s="41" t="s">
        <v>195</v>
      </c>
      <c r="F32" s="230" t="s">
        <v>222</v>
      </c>
      <c r="G32" s="231"/>
      <c r="H32" s="231"/>
      <c r="I32" s="232"/>
      <c r="J32" s="42"/>
      <c r="K32" s="43"/>
    </row>
    <row r="33" spans="1:12" s="40" customFormat="1" ht="38.1" customHeight="1">
      <c r="A33" s="309"/>
      <c r="B33" s="302"/>
      <c r="C33" s="303"/>
      <c r="D33" s="304"/>
      <c r="E33" s="44" t="s">
        <v>190</v>
      </c>
      <c r="F33" s="296" t="s">
        <v>223</v>
      </c>
      <c r="G33" s="297"/>
      <c r="H33" s="297"/>
      <c r="I33" s="298"/>
      <c r="J33" s="45"/>
      <c r="K33" s="46"/>
    </row>
    <row r="34" spans="1:12" s="40" customFormat="1" ht="38.1" customHeight="1" thickBot="1">
      <c r="A34" s="310"/>
      <c r="B34" s="305"/>
      <c r="C34" s="306"/>
      <c r="D34" s="307"/>
      <c r="E34" s="47" t="s">
        <v>198</v>
      </c>
      <c r="F34" s="241" t="s">
        <v>224</v>
      </c>
      <c r="G34" s="242"/>
      <c r="H34" s="242"/>
      <c r="I34" s="243"/>
      <c r="J34" s="48"/>
      <c r="K34" s="49"/>
    </row>
    <row r="35" spans="1:12" ht="35.1" customHeight="1" thickBot="1">
      <c r="A35" s="227" t="s">
        <v>225</v>
      </c>
      <c r="B35" s="228"/>
      <c r="C35" s="228"/>
      <c r="D35" s="228"/>
      <c r="E35" s="228"/>
      <c r="F35" s="228"/>
      <c r="G35" s="228"/>
      <c r="H35" s="228"/>
      <c r="I35" s="229"/>
      <c r="J35" s="55">
        <f>(J17+J20)*2+(J23+J26+J29+J32)+(J18+J19+J21+J22+J24+J25+J27+J28+J30+J31+J33+J34)*2</f>
        <v>0</v>
      </c>
      <c r="K35" s="95">
        <f>(K17+K20)*2+(K23+K26+K29+K32)+(K18+K19+K21+K22+K24+K25+K27+K28+K30+K31+K33+K34)*2</f>
        <v>0</v>
      </c>
    </row>
    <row r="36" spans="1:12" ht="35.1" customHeight="1" thickBot="1">
      <c r="A36" s="202" t="s">
        <v>93</v>
      </c>
      <c r="B36" s="203"/>
      <c r="C36" s="203"/>
      <c r="D36" s="203"/>
      <c r="E36" s="203"/>
      <c r="F36" s="203"/>
      <c r="G36" s="203"/>
      <c r="H36" s="203"/>
      <c r="I36" s="203"/>
      <c r="J36" s="59"/>
      <c r="K36" s="59"/>
    </row>
    <row r="37" spans="1:12" ht="38.1" customHeight="1">
      <c r="A37" s="60" t="s">
        <v>94</v>
      </c>
      <c r="B37" s="213"/>
      <c r="C37" s="213"/>
      <c r="D37" s="213"/>
      <c r="E37" s="214"/>
      <c r="F37" s="61" t="s">
        <v>95</v>
      </c>
      <c r="G37" s="215"/>
      <c r="H37" s="216"/>
      <c r="I37" s="216"/>
      <c r="J37" s="217"/>
      <c r="K37" s="62"/>
    </row>
    <row r="38" spans="1:12" s="2" customFormat="1" ht="38.1" customHeight="1">
      <c r="A38" s="63" t="s">
        <v>96</v>
      </c>
      <c r="B38" s="250"/>
      <c r="C38" s="250"/>
      <c r="D38" s="250"/>
      <c r="E38" s="251"/>
      <c r="F38" s="64" t="s">
        <v>95</v>
      </c>
      <c r="G38" s="236"/>
      <c r="H38" s="237"/>
      <c r="I38" s="237"/>
      <c r="J38" s="238"/>
      <c r="K38" s="65"/>
    </row>
    <row r="39" spans="1:12" s="69" customFormat="1" ht="38.1" customHeight="1" thickBot="1">
      <c r="A39" s="66" t="s">
        <v>94</v>
      </c>
      <c r="B39" s="239"/>
      <c r="C39" s="239"/>
      <c r="D39" s="239"/>
      <c r="E39" s="240"/>
      <c r="F39" s="67" t="s">
        <v>95</v>
      </c>
      <c r="G39" s="247"/>
      <c r="H39" s="248"/>
      <c r="I39" s="248"/>
      <c r="J39" s="249"/>
      <c r="K39" s="68"/>
    </row>
    <row r="40" spans="1:12" s="69" customFormat="1" ht="35.1" customHeight="1" thickBot="1">
      <c r="A40" s="316" t="s">
        <v>226</v>
      </c>
      <c r="B40" s="316"/>
      <c r="C40" s="316"/>
      <c r="D40" s="316"/>
      <c r="E40" s="316"/>
      <c r="F40" s="316"/>
      <c r="G40" s="316"/>
      <c r="H40" s="316"/>
      <c r="I40" s="316"/>
      <c r="J40" s="317"/>
      <c r="K40" s="71">
        <f>SUM(K37:K39)</f>
        <v>0</v>
      </c>
    </row>
    <row r="41" spans="1:12" s="69" customFormat="1" ht="15" customHeight="1" thickBot="1">
      <c r="A41" s="318"/>
      <c r="B41" s="318"/>
      <c r="C41" s="318"/>
      <c r="D41" s="318"/>
      <c r="E41" s="70"/>
      <c r="F41" s="70"/>
      <c r="G41" s="12"/>
      <c r="H41" s="70"/>
      <c r="I41" s="70"/>
      <c r="J41" s="72"/>
      <c r="K41" s="73"/>
    </row>
    <row r="42" spans="1:12" s="69" customFormat="1" ht="35.1" customHeight="1">
      <c r="A42" s="76" t="s">
        <v>102</v>
      </c>
      <c r="B42" s="20"/>
      <c r="C42" s="20"/>
      <c r="D42" s="20"/>
      <c r="E42" s="12"/>
      <c r="F42" s="20"/>
      <c r="H42" s="70"/>
      <c r="I42" s="327" t="s">
        <v>103</v>
      </c>
      <c r="J42" s="327"/>
      <c r="K42" s="92">
        <f>K35+K40</f>
        <v>0</v>
      </c>
    </row>
    <row r="43" spans="1:12" s="40" customFormat="1" ht="25.5" customHeight="1">
      <c r="A43" s="194" t="s">
        <v>104</v>
      </c>
      <c r="B43" s="322"/>
      <c r="C43" s="322"/>
      <c r="D43" s="322"/>
      <c r="E43" s="323"/>
      <c r="F43" s="275" t="s">
        <v>227</v>
      </c>
      <c r="G43" s="276"/>
      <c r="H43" s="276"/>
      <c r="I43" s="276"/>
      <c r="J43" s="276"/>
      <c r="K43" s="277"/>
    </row>
    <row r="44" spans="1:12" s="2" customFormat="1" ht="110.25" customHeight="1">
      <c r="A44" s="319"/>
      <c r="B44" s="320"/>
      <c r="C44" s="320"/>
      <c r="D44" s="320"/>
      <c r="E44" s="321"/>
      <c r="F44" s="319"/>
      <c r="G44" s="320"/>
      <c r="H44" s="320"/>
      <c r="I44" s="320"/>
      <c r="J44" s="320"/>
      <c r="K44" s="321"/>
    </row>
    <row r="45" spans="1:12" ht="31.5" customHeight="1">
      <c r="A45" s="324"/>
      <c r="B45" s="325"/>
      <c r="C45" s="325"/>
      <c r="D45" s="325"/>
      <c r="E45" s="326"/>
      <c r="F45" s="94"/>
      <c r="G45" s="275" t="s">
        <v>107</v>
      </c>
      <c r="H45" s="276"/>
      <c r="I45" s="277"/>
      <c r="J45" s="278" t="s">
        <v>108</v>
      </c>
      <c r="K45" s="278"/>
    </row>
    <row r="47" spans="1:12" s="2" customFormat="1" ht="12" customHeight="1">
      <c r="F47" s="1" t="s">
        <v>109</v>
      </c>
      <c r="H47" s="1"/>
      <c r="I47" s="1"/>
      <c r="J47" s="1"/>
      <c r="K47" s="1"/>
      <c r="L47" s="1"/>
    </row>
    <row r="48" spans="1:12" s="5" customFormat="1" ht="12.75" customHeight="1">
      <c r="F48" s="3" t="s">
        <v>1</v>
      </c>
      <c r="G48" s="270" t="s">
        <v>2</v>
      </c>
      <c r="H48" s="270"/>
      <c r="I48" s="270"/>
      <c r="J48" s="270"/>
      <c r="K48" s="270"/>
      <c r="L48" s="270"/>
    </row>
    <row r="49" spans="5:12" s="5" customFormat="1" ht="17.100000000000001" customHeight="1">
      <c r="F49" s="8" t="s">
        <v>110</v>
      </c>
      <c r="G49" s="272" t="s">
        <v>111</v>
      </c>
      <c r="H49" s="272"/>
      <c r="I49" s="272"/>
      <c r="J49" s="272"/>
      <c r="K49" s="272"/>
      <c r="L49" s="272"/>
    </row>
    <row r="50" spans="5:12" s="5" customFormat="1" ht="17.100000000000001" customHeight="1">
      <c r="F50" s="8" t="s">
        <v>112</v>
      </c>
      <c r="G50" s="253" t="s">
        <v>113</v>
      </c>
      <c r="H50" s="253"/>
      <c r="I50" s="253"/>
      <c r="J50" s="253"/>
      <c r="K50" s="253"/>
      <c r="L50" s="253"/>
    </row>
    <row r="51" spans="5:12" s="5" customFormat="1" ht="17.100000000000001" customHeight="1">
      <c r="E51" s="99" t="s">
        <v>114</v>
      </c>
      <c r="F51" s="8" t="s">
        <v>115</v>
      </c>
      <c r="G51" s="253" t="s">
        <v>116</v>
      </c>
      <c r="H51" s="253"/>
      <c r="I51" s="253"/>
      <c r="J51" s="253"/>
      <c r="K51" s="253"/>
      <c r="L51" s="253"/>
    </row>
    <row r="52" spans="5:12" s="5" customFormat="1" ht="17.100000000000001" customHeight="1">
      <c r="F52" s="8" t="s">
        <v>117</v>
      </c>
      <c r="G52" s="253" t="s">
        <v>118</v>
      </c>
      <c r="H52" s="253"/>
      <c r="I52" s="253"/>
      <c r="J52" s="253"/>
      <c r="K52" s="253"/>
      <c r="L52" s="253"/>
    </row>
    <row r="53" spans="5:12" s="5" customFormat="1" ht="17.100000000000001" customHeight="1">
      <c r="F53" s="8" t="s">
        <v>119</v>
      </c>
      <c r="G53" s="253" t="s">
        <v>120</v>
      </c>
      <c r="H53" s="253"/>
      <c r="I53" s="253"/>
      <c r="J53" s="253"/>
      <c r="K53" s="253"/>
      <c r="L53" s="253"/>
    </row>
    <row r="55" spans="5:12" ht="13.5" customHeight="1"/>
    <row r="61" spans="5:12" s="2" customFormat="1" ht="12" customHeight="1"/>
    <row r="62" spans="5:12" s="5" customFormat="1" ht="12.75" customHeight="1"/>
    <row r="63" spans="5:12" s="5" customFormat="1" ht="28.5" customHeight="1"/>
    <row r="64" spans="5:12" s="5" customFormat="1" ht="30" customHeight="1"/>
    <row r="65" s="5" customFormat="1" ht="27" customHeight="1"/>
    <row r="66" s="5" customFormat="1" ht="28.5" customHeight="1"/>
    <row r="67" s="5" customFormat="1" ht="30.75" customHeight="1"/>
  </sheetData>
  <mergeCells count="71">
    <mergeCell ref="G48:L48"/>
    <mergeCell ref="G49:L49"/>
    <mergeCell ref="G50:L50"/>
    <mergeCell ref="G51:L51"/>
    <mergeCell ref="A40:J40"/>
    <mergeCell ref="F43:K43"/>
    <mergeCell ref="A41:D41"/>
    <mergeCell ref="F44:K44"/>
    <mergeCell ref="A43:E43"/>
    <mergeCell ref="A44:E45"/>
    <mergeCell ref="I42:J42"/>
    <mergeCell ref="G45:I45"/>
    <mergeCell ref="J45:K45"/>
    <mergeCell ref="B39:E39"/>
    <mergeCell ref="G39:J39"/>
    <mergeCell ref="F32:I32"/>
    <mergeCell ref="B37:E37"/>
    <mergeCell ref="A36:I36"/>
    <mergeCell ref="G37:J37"/>
    <mergeCell ref="F33:I33"/>
    <mergeCell ref="F34:I34"/>
    <mergeCell ref="A35:I35"/>
    <mergeCell ref="A32:A34"/>
    <mergeCell ref="A26:A28"/>
    <mergeCell ref="A29:A31"/>
    <mergeCell ref="F24:I24"/>
    <mergeCell ref="B20:D22"/>
    <mergeCell ref="F27:I27"/>
    <mergeCell ref="A23:A25"/>
    <mergeCell ref="F28:I28"/>
    <mergeCell ref="F29:I29"/>
    <mergeCell ref="F30:I30"/>
    <mergeCell ref="A20:A22"/>
    <mergeCell ref="F25:I25"/>
    <mergeCell ref="F26:I26"/>
    <mergeCell ref="B23:D25"/>
    <mergeCell ref="B26:D28"/>
    <mergeCell ref="B29:D31"/>
    <mergeCell ref="F20:I20"/>
    <mergeCell ref="A17:A19"/>
    <mergeCell ref="B16:D16"/>
    <mergeCell ref="F16:I16"/>
    <mergeCell ref="B13:E13"/>
    <mergeCell ref="G13:I13"/>
    <mergeCell ref="B14:E14"/>
    <mergeCell ref="G14:I14"/>
    <mergeCell ref="F18:I18"/>
    <mergeCell ref="B17:D19"/>
    <mergeCell ref="F19:I19"/>
    <mergeCell ref="B2:E2"/>
    <mergeCell ref="G2:H2"/>
    <mergeCell ref="G3:H3"/>
    <mergeCell ref="G4:H4"/>
    <mergeCell ref="B3:E3"/>
    <mergeCell ref="B4:E4"/>
    <mergeCell ref="G52:L52"/>
    <mergeCell ref="G53:L53"/>
    <mergeCell ref="G5:H5"/>
    <mergeCell ref="F17:I17"/>
    <mergeCell ref="B5:E5"/>
    <mergeCell ref="B6:E6"/>
    <mergeCell ref="B7:E7"/>
    <mergeCell ref="F23:I23"/>
    <mergeCell ref="B38:E38"/>
    <mergeCell ref="G38:J38"/>
    <mergeCell ref="G6:H6"/>
    <mergeCell ref="G7:H7"/>
    <mergeCell ref="F21:I21"/>
    <mergeCell ref="F22:I22"/>
    <mergeCell ref="F31:I31"/>
    <mergeCell ref="B32:D34"/>
  </mergeCells>
  <phoneticPr fontId="24"/>
  <conditionalFormatting sqref="E17:E34">
    <cfRule type="cellIs" dxfId="14" priority="5" stopIfTrue="1" operator="equal">
      <formula>$E$12</formula>
    </cfRule>
  </conditionalFormatting>
  <conditionalFormatting sqref="F17:I34">
    <cfRule type="expression" dxfId="13" priority="1" stopIfTrue="1">
      <formula>IF($E$12=E17,TRUE)</formula>
    </cfRule>
  </conditionalFormatting>
  <conditionalFormatting sqref="J17:K17 J20:K20 J23:K23 J26:K26 J29:K29 J32:K32">
    <cfRule type="expression" dxfId="12" priority="4" stopIfTrue="1">
      <formula>IF($E$12=$E$17,TRUE)</formula>
    </cfRule>
  </conditionalFormatting>
  <conditionalFormatting sqref="J18:K18 J21:K21 J24:K24 J27:K27 J30:K30 J33:K33">
    <cfRule type="expression" dxfId="11" priority="3" stopIfTrue="1">
      <formula>IF($E$12=$E$18,TRUE)</formula>
    </cfRule>
  </conditionalFormatting>
  <conditionalFormatting sqref="J19:K19 J22:K22 J25:K25 J28:K28 J31:K31 J34:K34">
    <cfRule type="expression" dxfId="10" priority="2" stopIfTrue="1">
      <formula>IF($E$12=$E$19,TRUE)</formula>
    </cfRule>
  </conditionalFormatting>
  <dataValidations count="2">
    <dataValidation type="list" allowBlank="1" showInputMessage="1" showErrorMessage="1" sqref="E12" xr:uid="{00000000-0002-0000-0600-000001000000}">
      <formula1>"Ｍ３,Ｍ２,Ｍ１"</formula1>
    </dataValidation>
    <dataValidation type="list" allowBlank="1" showInputMessage="1" showErrorMessage="1" sqref="J45:K45" xr:uid="{B75A2AF4-36C5-4807-823D-A666300F631A}">
      <formula1>"　,Ａ,Ｂ,Ｃ,Ｄ,Ｅ"</formula1>
    </dataValidation>
  </dataValidations>
  <pageMargins left="1.1811023622047245" right="0.27559055118110237" top="0.59055118110236227" bottom="0.43307086614173229" header="0.43307086614173229" footer="0.23622047244094491"/>
  <pageSetup paperSize="9" scale="62" orientation="portrait" r:id="rId1"/>
  <headerFooter alignWithMargins="0">
    <oddFooter>&amp;L&amp;"ＭＳ Ｐゴシック,標準"NCT日本コムシンク株式会社&amp;R&amp;"ＭＳ Ｐゴシック,標準"印刷&amp;D</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6725-517C-4EFD-93B9-5F76BEDA0A74}">
  <dimension ref="A1:K66"/>
  <sheetViews>
    <sheetView topLeftCell="A17" workbookViewId="0">
      <selection activeCell="I9" sqref="I9"/>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1" width="7.83203125" style="58" customWidth="1"/>
    <col min="12" max="16384" width="12" style="58"/>
  </cols>
  <sheetData>
    <row r="1" spans="1:11" s="2" customFormat="1" ht="12" customHeight="1">
      <c r="A1" s="1" t="s">
        <v>0</v>
      </c>
      <c r="B1" s="1"/>
      <c r="C1" s="1"/>
      <c r="D1" s="1"/>
      <c r="E1" s="1"/>
      <c r="F1" s="1"/>
      <c r="G1" s="1"/>
      <c r="H1" s="1"/>
      <c r="I1" s="1"/>
      <c r="J1" s="1"/>
      <c r="K1" s="1"/>
    </row>
    <row r="2" spans="1:11" s="5" customFormat="1" ht="12.75" customHeight="1">
      <c r="A2" s="3" t="s">
        <v>1</v>
      </c>
      <c r="B2" s="270" t="s">
        <v>2</v>
      </c>
      <c r="C2" s="270"/>
      <c r="D2" s="270"/>
      <c r="E2" s="270"/>
      <c r="F2" s="139" t="s">
        <v>3</v>
      </c>
      <c r="G2" s="328" t="s">
        <v>4</v>
      </c>
      <c r="H2" s="328"/>
    </row>
    <row r="3" spans="1:11" s="5" customFormat="1" ht="28.5" customHeight="1">
      <c r="A3" s="6">
        <v>5</v>
      </c>
      <c r="B3" s="272" t="s">
        <v>5</v>
      </c>
      <c r="C3" s="272"/>
      <c r="D3" s="272"/>
      <c r="E3" s="272"/>
      <c r="F3" s="7" t="s">
        <v>6</v>
      </c>
      <c r="G3" s="256" t="s">
        <v>7</v>
      </c>
      <c r="H3" s="256"/>
    </row>
    <row r="4" spans="1:11" s="5" customFormat="1" ht="30" customHeight="1">
      <c r="A4" s="140">
        <v>4</v>
      </c>
      <c r="B4" s="329" t="s">
        <v>8</v>
      </c>
      <c r="C4" s="329"/>
      <c r="D4" s="329"/>
      <c r="E4" s="329"/>
      <c r="F4" s="7" t="s">
        <v>6</v>
      </c>
      <c r="G4" s="256" t="s">
        <v>9</v>
      </c>
      <c r="H4" s="256"/>
    </row>
    <row r="5" spans="1:11" s="5" customFormat="1" ht="27" customHeight="1">
      <c r="A5" s="140">
        <v>3</v>
      </c>
      <c r="B5" s="329" t="s">
        <v>228</v>
      </c>
      <c r="C5" s="329"/>
      <c r="D5" s="329"/>
      <c r="E5" s="329"/>
      <c r="F5" s="7" t="s">
        <v>6</v>
      </c>
      <c r="G5" s="256" t="s">
        <v>11</v>
      </c>
      <c r="H5" s="256"/>
      <c r="I5" s="2" t="s">
        <v>12</v>
      </c>
    </row>
    <row r="6" spans="1:11" s="5" customFormat="1" ht="28.5" customHeight="1">
      <c r="A6" s="140">
        <v>2</v>
      </c>
      <c r="B6" s="329" t="s">
        <v>13</v>
      </c>
      <c r="C6" s="329"/>
      <c r="D6" s="329"/>
      <c r="E6" s="329"/>
      <c r="F6" s="7" t="s">
        <v>14</v>
      </c>
      <c r="G6" s="256" t="s">
        <v>15</v>
      </c>
      <c r="H6" s="256"/>
    </row>
    <row r="7" spans="1:11" s="5" customFormat="1" ht="30.75" customHeight="1">
      <c r="A7" s="140">
        <v>1</v>
      </c>
      <c r="B7" s="329" t="s">
        <v>16</v>
      </c>
      <c r="C7" s="329"/>
      <c r="D7" s="329"/>
      <c r="E7" s="329"/>
      <c r="F7" s="7" t="s">
        <v>15</v>
      </c>
      <c r="G7" s="256" t="s">
        <v>15</v>
      </c>
      <c r="H7" s="256"/>
    </row>
    <row r="8" spans="1:11" s="5" customFormat="1" ht="12.75" customHeight="1">
      <c r="A8" s="141"/>
      <c r="B8" s="10"/>
      <c r="C8" s="10"/>
      <c r="D8" s="142"/>
      <c r="E8" s="142"/>
      <c r="F8" s="142"/>
      <c r="G8" s="12"/>
      <c r="H8" s="12"/>
      <c r="I8" s="12"/>
      <c r="J8" s="12"/>
      <c r="K8" s="13"/>
    </row>
    <row r="9" spans="1:11" s="2" customFormat="1" ht="27.75" customHeight="1">
      <c r="A9" s="14" t="s">
        <v>17</v>
      </c>
      <c r="B9" s="15"/>
      <c r="C9" s="15"/>
      <c r="D9" s="100" t="s">
        <v>18</v>
      </c>
      <c r="E9" s="16"/>
      <c r="F9" s="17"/>
      <c r="G9" s="143"/>
      <c r="H9" s="143"/>
      <c r="I9" s="143"/>
      <c r="J9" s="143"/>
      <c r="K9" s="143"/>
    </row>
    <row r="10" spans="1:11" s="2" customFormat="1" ht="12.75" customHeight="1">
      <c r="A10" s="19"/>
      <c r="B10" s="15"/>
      <c r="C10" s="15"/>
      <c r="D10" s="15"/>
      <c r="E10" s="16"/>
      <c r="F10" s="17"/>
      <c r="G10" s="143"/>
      <c r="H10" s="143"/>
      <c r="I10" s="143"/>
      <c r="J10" s="143"/>
      <c r="K10" s="143"/>
    </row>
    <row r="11" spans="1:11" s="2" customFormat="1" ht="23.45">
      <c r="A11" s="14" t="s">
        <v>229</v>
      </c>
      <c r="B11" s="15"/>
      <c r="C11" s="15"/>
      <c r="D11" s="15"/>
      <c r="E11" s="16"/>
      <c r="F11" s="20"/>
    </row>
    <row r="12" spans="1:11" s="2" customFormat="1" ht="24.75" customHeight="1">
      <c r="A12" s="21"/>
      <c r="B12" s="21"/>
      <c r="C12" s="21"/>
      <c r="D12" s="22" t="s">
        <v>20</v>
      </c>
      <c r="E12" s="23" t="s">
        <v>230</v>
      </c>
      <c r="F12" s="22" t="s">
        <v>22</v>
      </c>
      <c r="G12" s="24">
        <v>45383</v>
      </c>
      <c r="H12" s="25" t="s">
        <v>23</v>
      </c>
      <c r="I12" s="26">
        <v>45565</v>
      </c>
      <c r="J12" s="144"/>
      <c r="K12" s="20"/>
    </row>
    <row r="13" spans="1:11" s="2" customFormat="1" ht="30" customHeight="1">
      <c r="A13" s="3" t="s">
        <v>24</v>
      </c>
      <c r="B13" s="263" t="s">
        <v>25</v>
      </c>
      <c r="C13" s="264"/>
      <c r="D13" s="264"/>
      <c r="E13" s="311"/>
      <c r="F13" s="28" t="s">
        <v>26</v>
      </c>
      <c r="G13" s="267" t="s">
        <v>27</v>
      </c>
      <c r="H13" s="267"/>
      <c r="I13" s="267"/>
      <c r="J13" s="144"/>
      <c r="K13" s="29"/>
    </row>
    <row r="14" spans="1:11" s="2" customFormat="1" ht="30" customHeight="1">
      <c r="A14" s="89"/>
      <c r="B14" s="312"/>
      <c r="C14" s="312"/>
      <c r="D14" s="330"/>
      <c r="E14" s="331"/>
      <c r="F14" s="28" t="s">
        <v>191</v>
      </c>
      <c r="G14" s="267" t="s">
        <v>31</v>
      </c>
      <c r="H14" s="267"/>
      <c r="I14" s="267"/>
      <c r="J14" s="144"/>
      <c r="K14" s="29"/>
    </row>
    <row r="15" spans="1:11" s="2" customFormat="1" ht="41.25" customHeight="1" thickBot="1">
      <c r="A15" s="30" t="s">
        <v>32</v>
      </c>
      <c r="B15" s="31"/>
      <c r="C15" s="31"/>
      <c r="D15" s="145"/>
      <c r="E15" s="145"/>
      <c r="F15" s="33"/>
      <c r="G15" s="33"/>
      <c r="H15" s="146"/>
      <c r="I15" s="147"/>
      <c r="J15" s="144"/>
      <c r="K15" s="29"/>
    </row>
    <row r="16" spans="1:11" s="40" customFormat="1" ht="28.5" customHeight="1">
      <c r="A16" s="36" t="s">
        <v>33</v>
      </c>
      <c r="B16" s="257" t="s">
        <v>34</v>
      </c>
      <c r="C16" s="258"/>
      <c r="D16" s="259"/>
      <c r="E16" s="148" t="s">
        <v>20</v>
      </c>
      <c r="F16" s="260" t="s">
        <v>35</v>
      </c>
      <c r="G16" s="332"/>
      <c r="H16" s="332"/>
      <c r="I16" s="333"/>
      <c r="J16" s="38" t="s">
        <v>36</v>
      </c>
      <c r="K16" s="39" t="s">
        <v>192</v>
      </c>
    </row>
    <row r="17" spans="1:11" s="40" customFormat="1" ht="38.1" customHeight="1">
      <c r="A17" s="334" t="s">
        <v>231</v>
      </c>
      <c r="B17" s="299" t="s">
        <v>232</v>
      </c>
      <c r="C17" s="300"/>
      <c r="D17" s="301"/>
      <c r="E17" s="149" t="s">
        <v>233</v>
      </c>
      <c r="F17" s="204" t="s">
        <v>234</v>
      </c>
      <c r="G17" s="338"/>
      <c r="H17" s="338"/>
      <c r="I17" s="339"/>
      <c r="J17" s="150"/>
      <c r="K17" s="151"/>
    </row>
    <row r="18" spans="1:11" s="40" customFormat="1" ht="38.1" customHeight="1">
      <c r="A18" s="340"/>
      <c r="B18" s="302"/>
      <c r="C18" s="303"/>
      <c r="D18" s="304"/>
      <c r="E18" s="44" t="s">
        <v>235</v>
      </c>
      <c r="F18" s="233" t="s">
        <v>236</v>
      </c>
      <c r="G18" s="234"/>
      <c r="H18" s="234"/>
      <c r="I18" s="235"/>
      <c r="J18" s="45"/>
      <c r="K18" s="46"/>
    </row>
    <row r="19" spans="1:11" s="40" customFormat="1" ht="38.1" customHeight="1">
      <c r="A19" s="336"/>
      <c r="B19" s="302"/>
      <c r="C19" s="303"/>
      <c r="D19" s="304"/>
      <c r="E19" s="91" t="s">
        <v>237</v>
      </c>
      <c r="F19" s="296" t="s">
        <v>238</v>
      </c>
      <c r="G19" s="297"/>
      <c r="H19" s="297"/>
      <c r="I19" s="298"/>
      <c r="J19" s="45"/>
      <c r="K19" s="46"/>
    </row>
    <row r="20" spans="1:11" s="40" customFormat="1" ht="38.1" customHeight="1">
      <c r="A20" s="336"/>
      <c r="B20" s="302"/>
      <c r="C20" s="303"/>
      <c r="D20" s="304"/>
      <c r="E20" s="47" t="s">
        <v>239</v>
      </c>
      <c r="F20" s="241" t="s">
        <v>240</v>
      </c>
      <c r="G20" s="242"/>
      <c r="H20" s="242"/>
      <c r="I20" s="243"/>
      <c r="J20" s="48"/>
      <c r="K20" s="49"/>
    </row>
    <row r="21" spans="1:11" s="40" customFormat="1" ht="38.1" customHeight="1">
      <c r="A21" s="334" t="s">
        <v>241</v>
      </c>
      <c r="B21" s="299" t="s">
        <v>242</v>
      </c>
      <c r="C21" s="300"/>
      <c r="D21" s="301"/>
      <c r="E21" s="149" t="s">
        <v>233</v>
      </c>
      <c r="F21" s="204" t="s">
        <v>243</v>
      </c>
      <c r="G21" s="338"/>
      <c r="H21" s="338"/>
      <c r="I21" s="339"/>
      <c r="J21" s="150"/>
      <c r="K21" s="151"/>
    </row>
    <row r="22" spans="1:11" s="40" customFormat="1" ht="38.1" customHeight="1">
      <c r="A22" s="335"/>
      <c r="B22" s="302"/>
      <c r="C22" s="303"/>
      <c r="D22" s="304"/>
      <c r="E22" s="44" t="s">
        <v>235</v>
      </c>
      <c r="F22" s="233" t="s">
        <v>244</v>
      </c>
      <c r="G22" s="234"/>
      <c r="H22" s="234"/>
      <c r="I22" s="235"/>
      <c r="J22" s="45"/>
      <c r="K22" s="46"/>
    </row>
    <row r="23" spans="1:11" s="40" customFormat="1" ht="38.1" customHeight="1">
      <c r="A23" s="336"/>
      <c r="B23" s="302"/>
      <c r="C23" s="303"/>
      <c r="D23" s="304"/>
      <c r="E23" s="91" t="s">
        <v>237</v>
      </c>
      <c r="F23" s="296" t="s">
        <v>245</v>
      </c>
      <c r="G23" s="297"/>
      <c r="H23" s="297"/>
      <c r="I23" s="298"/>
      <c r="J23" s="45"/>
      <c r="K23" s="46"/>
    </row>
    <row r="24" spans="1:11" s="40" customFormat="1" ht="38.1" customHeight="1">
      <c r="A24" s="337"/>
      <c r="B24" s="305"/>
      <c r="C24" s="306"/>
      <c r="D24" s="307"/>
      <c r="E24" s="47" t="s">
        <v>239</v>
      </c>
      <c r="F24" s="241" t="s">
        <v>246</v>
      </c>
      <c r="G24" s="242"/>
      <c r="H24" s="242"/>
      <c r="I24" s="243"/>
      <c r="J24" s="48"/>
      <c r="K24" s="49"/>
    </row>
    <row r="25" spans="1:11" s="40" customFormat="1" ht="38.1" customHeight="1">
      <c r="A25" s="334" t="s">
        <v>247</v>
      </c>
      <c r="B25" s="299" t="s">
        <v>248</v>
      </c>
      <c r="C25" s="300"/>
      <c r="D25" s="301"/>
      <c r="E25" s="149" t="s">
        <v>233</v>
      </c>
      <c r="F25" s="204" t="s">
        <v>249</v>
      </c>
      <c r="G25" s="338"/>
      <c r="H25" s="338"/>
      <c r="I25" s="339"/>
      <c r="J25" s="150"/>
      <c r="K25" s="151"/>
    </row>
    <row r="26" spans="1:11" s="40" customFormat="1" ht="38.1" customHeight="1">
      <c r="A26" s="340"/>
      <c r="B26" s="302"/>
      <c r="C26" s="303"/>
      <c r="D26" s="304"/>
      <c r="E26" s="44" t="s">
        <v>235</v>
      </c>
      <c r="F26" s="233" t="s">
        <v>250</v>
      </c>
      <c r="G26" s="234"/>
      <c r="H26" s="234"/>
      <c r="I26" s="235"/>
      <c r="J26" s="45"/>
      <c r="K26" s="46"/>
    </row>
    <row r="27" spans="1:11" s="40" customFormat="1" ht="38.1" customHeight="1">
      <c r="A27" s="336"/>
      <c r="B27" s="302"/>
      <c r="C27" s="303"/>
      <c r="D27" s="304"/>
      <c r="E27" s="91" t="s">
        <v>237</v>
      </c>
      <c r="F27" s="296" t="s">
        <v>251</v>
      </c>
      <c r="G27" s="297"/>
      <c r="H27" s="297"/>
      <c r="I27" s="298"/>
      <c r="J27" s="45"/>
      <c r="K27" s="46"/>
    </row>
    <row r="28" spans="1:11" s="40" customFormat="1" ht="38.1" customHeight="1">
      <c r="A28" s="337"/>
      <c r="B28" s="305"/>
      <c r="C28" s="306"/>
      <c r="D28" s="307"/>
      <c r="E28" s="47" t="s">
        <v>239</v>
      </c>
      <c r="F28" s="241" t="s">
        <v>252</v>
      </c>
      <c r="G28" s="242"/>
      <c r="H28" s="242"/>
      <c r="I28" s="243"/>
      <c r="J28" s="48"/>
      <c r="K28" s="49"/>
    </row>
    <row r="29" spans="1:11" s="40" customFormat="1" ht="38.1" customHeight="1">
      <c r="A29" s="334" t="s">
        <v>253</v>
      </c>
      <c r="B29" s="299" t="s">
        <v>254</v>
      </c>
      <c r="C29" s="300"/>
      <c r="D29" s="301"/>
      <c r="E29" s="149" t="s">
        <v>233</v>
      </c>
      <c r="F29" s="204" t="s">
        <v>255</v>
      </c>
      <c r="G29" s="338"/>
      <c r="H29" s="338"/>
      <c r="I29" s="339"/>
      <c r="J29" s="150"/>
      <c r="K29" s="151"/>
    </row>
    <row r="30" spans="1:11" s="40" customFormat="1" ht="38.1" customHeight="1">
      <c r="A30" s="340"/>
      <c r="B30" s="302"/>
      <c r="C30" s="303"/>
      <c r="D30" s="304"/>
      <c r="E30" s="44" t="s">
        <v>235</v>
      </c>
      <c r="F30" s="233" t="s">
        <v>256</v>
      </c>
      <c r="G30" s="234"/>
      <c r="H30" s="234"/>
      <c r="I30" s="235"/>
      <c r="J30" s="45"/>
      <c r="K30" s="46"/>
    </row>
    <row r="31" spans="1:11" s="40" customFormat="1" ht="38.1" customHeight="1">
      <c r="A31" s="336"/>
      <c r="B31" s="302"/>
      <c r="C31" s="303"/>
      <c r="D31" s="304"/>
      <c r="E31" s="91" t="s">
        <v>237</v>
      </c>
      <c r="F31" s="296" t="s">
        <v>257</v>
      </c>
      <c r="G31" s="297"/>
      <c r="H31" s="297"/>
      <c r="I31" s="298"/>
      <c r="J31" s="45"/>
      <c r="K31" s="46"/>
    </row>
    <row r="32" spans="1:11" s="40" customFormat="1" ht="38.1" customHeight="1" thickBot="1">
      <c r="A32" s="337"/>
      <c r="B32" s="305"/>
      <c r="C32" s="306"/>
      <c r="D32" s="307"/>
      <c r="E32" s="47" t="s">
        <v>239</v>
      </c>
      <c r="F32" s="241" t="s">
        <v>258</v>
      </c>
      <c r="G32" s="242"/>
      <c r="H32" s="242"/>
      <c r="I32" s="243"/>
      <c r="J32" s="48"/>
      <c r="K32" s="49"/>
    </row>
    <row r="33" spans="1:11" ht="35.1" customHeight="1" thickBot="1">
      <c r="A33" s="345" t="s">
        <v>259</v>
      </c>
      <c r="B33" s="346"/>
      <c r="C33" s="346"/>
      <c r="D33" s="346"/>
      <c r="E33" s="346"/>
      <c r="F33" s="346"/>
      <c r="G33" s="346"/>
      <c r="H33" s="346"/>
      <c r="I33" s="347"/>
      <c r="J33" s="55">
        <f>(J19+J20)*3+(J23+J24)*3+(J17+J18+J21+J22+J25+J26+J27+J28+J29+J30+J31+J32)</f>
        <v>0</v>
      </c>
      <c r="K33" s="95">
        <f>(K19+K20)*3+(K23+K24)*3+(K17+K18+K21+K22+K25+K26+K27+K28+K29+K30+K31+K32)</f>
        <v>0</v>
      </c>
    </row>
    <row r="34" spans="1:11" ht="35.1" customHeight="1" thickBot="1">
      <c r="A34" s="202" t="s">
        <v>260</v>
      </c>
      <c r="B34" s="348"/>
      <c r="C34" s="348"/>
      <c r="D34" s="348"/>
      <c r="E34" s="348"/>
      <c r="F34" s="348"/>
      <c r="G34" s="348"/>
      <c r="H34" s="348"/>
      <c r="I34" s="348"/>
      <c r="J34" s="59"/>
      <c r="K34" s="59"/>
    </row>
    <row r="35" spans="1:11" ht="38.1" customHeight="1">
      <c r="A35" s="60" t="s">
        <v>94</v>
      </c>
      <c r="B35" s="213"/>
      <c r="C35" s="213"/>
      <c r="D35" s="213"/>
      <c r="E35" s="214"/>
      <c r="F35" s="61" t="s">
        <v>95</v>
      </c>
      <c r="G35" s="215"/>
      <c r="H35" s="341"/>
      <c r="I35" s="341"/>
      <c r="J35" s="342"/>
      <c r="K35" s="62"/>
    </row>
    <row r="36" spans="1:11" s="2" customFormat="1" ht="38.1" customHeight="1">
      <c r="A36" s="63" t="s">
        <v>96</v>
      </c>
      <c r="B36" s="250"/>
      <c r="C36" s="250"/>
      <c r="D36" s="250"/>
      <c r="E36" s="251"/>
      <c r="F36" s="64" t="s">
        <v>95</v>
      </c>
      <c r="G36" s="236"/>
      <c r="H36" s="343"/>
      <c r="I36" s="343"/>
      <c r="J36" s="344"/>
      <c r="K36" s="65"/>
    </row>
    <row r="37" spans="1:11" s="2" customFormat="1" ht="38.1" customHeight="1">
      <c r="A37" s="63" t="s">
        <v>96</v>
      </c>
      <c r="B37" s="250"/>
      <c r="C37" s="250"/>
      <c r="D37" s="250"/>
      <c r="E37" s="251"/>
      <c r="F37" s="64" t="s">
        <v>95</v>
      </c>
      <c r="G37" s="236"/>
      <c r="H37" s="343"/>
      <c r="I37" s="343"/>
      <c r="J37" s="344"/>
      <c r="K37" s="65"/>
    </row>
    <row r="38" spans="1:11" s="69" customFormat="1" ht="38.1" customHeight="1" thickBot="1">
      <c r="A38" s="66" t="s">
        <v>94</v>
      </c>
      <c r="B38" s="239"/>
      <c r="C38" s="239"/>
      <c r="D38" s="239"/>
      <c r="E38" s="240"/>
      <c r="F38" s="67" t="s">
        <v>95</v>
      </c>
      <c r="G38" s="247"/>
      <c r="H38" s="351"/>
      <c r="I38" s="351"/>
      <c r="J38" s="352"/>
      <c r="K38" s="68"/>
    </row>
    <row r="39" spans="1:11" s="69" customFormat="1" ht="35.1" customHeight="1" thickBot="1">
      <c r="A39" s="349" t="s">
        <v>261</v>
      </c>
      <c r="B39" s="349"/>
      <c r="C39" s="349"/>
      <c r="D39" s="349"/>
      <c r="E39" s="349"/>
      <c r="F39" s="349"/>
      <c r="G39" s="349"/>
      <c r="H39" s="349"/>
      <c r="I39" s="349"/>
      <c r="J39" s="350"/>
      <c r="K39" s="152">
        <f>SUM(K35:K38)</f>
        <v>0</v>
      </c>
    </row>
    <row r="40" spans="1:11" s="69" customFormat="1" ht="15" customHeight="1" thickBot="1">
      <c r="A40" s="318"/>
      <c r="B40" s="318"/>
      <c r="C40" s="318"/>
      <c r="D40" s="318"/>
      <c r="E40" s="153"/>
      <c r="F40" s="153"/>
      <c r="G40" s="12"/>
      <c r="H40" s="153"/>
      <c r="I40" s="153"/>
      <c r="J40" s="154"/>
      <c r="K40" s="73"/>
    </row>
    <row r="41" spans="1:11" s="69" customFormat="1" ht="35.1" customHeight="1">
      <c r="A41" s="76" t="s">
        <v>102</v>
      </c>
      <c r="B41" s="20"/>
      <c r="C41" s="20"/>
      <c r="D41" s="20"/>
      <c r="E41" s="12"/>
      <c r="F41" s="20"/>
      <c r="H41" s="153"/>
      <c r="I41" s="327" t="s">
        <v>103</v>
      </c>
      <c r="J41" s="327"/>
      <c r="K41" s="92">
        <f>K33+K39</f>
        <v>0</v>
      </c>
    </row>
    <row r="42" spans="1:11" s="40" customFormat="1" ht="25.5" customHeight="1">
      <c r="A42" s="194" t="s">
        <v>104</v>
      </c>
      <c r="B42" s="322"/>
      <c r="C42" s="322"/>
      <c r="D42" s="322"/>
      <c r="E42" s="323"/>
      <c r="F42" s="353" t="s">
        <v>227</v>
      </c>
      <c r="G42" s="354"/>
      <c r="H42" s="354"/>
      <c r="I42" s="354"/>
      <c r="J42" s="354"/>
      <c r="K42" s="355"/>
    </row>
    <row r="43" spans="1:11" s="2" customFormat="1" ht="110.25" customHeight="1">
      <c r="A43" s="319"/>
      <c r="B43" s="320"/>
      <c r="C43" s="320"/>
      <c r="D43" s="320"/>
      <c r="E43" s="321"/>
      <c r="F43" s="319"/>
      <c r="G43" s="320"/>
      <c r="H43" s="320"/>
      <c r="I43" s="320"/>
      <c r="J43" s="320"/>
      <c r="K43" s="321"/>
    </row>
    <row r="44" spans="1:11" ht="31.5" customHeight="1">
      <c r="A44" s="324"/>
      <c r="B44" s="325"/>
      <c r="C44" s="325"/>
      <c r="D44" s="325"/>
      <c r="E44" s="326"/>
      <c r="F44" s="94"/>
      <c r="G44" s="275" t="s">
        <v>107</v>
      </c>
      <c r="H44" s="276"/>
      <c r="I44" s="277"/>
      <c r="J44" s="278" t="s">
        <v>108</v>
      </c>
      <c r="K44" s="278"/>
    </row>
    <row r="46" spans="1:11" s="2" customFormat="1" ht="12" customHeight="1">
      <c r="F46" s="1" t="s">
        <v>109</v>
      </c>
      <c r="H46" s="1"/>
      <c r="I46" s="1"/>
      <c r="J46" s="1"/>
      <c r="K46" s="1"/>
    </row>
    <row r="47" spans="1:11" s="5" customFormat="1" ht="12.75" customHeight="1">
      <c r="F47" s="3" t="s">
        <v>1</v>
      </c>
      <c r="G47" s="270" t="s">
        <v>2</v>
      </c>
      <c r="H47" s="270"/>
      <c r="I47" s="270"/>
      <c r="J47" s="270"/>
      <c r="K47" s="270"/>
    </row>
    <row r="48" spans="1:11" s="5" customFormat="1" ht="17.100000000000001" customHeight="1">
      <c r="F48" s="8" t="s">
        <v>110</v>
      </c>
      <c r="G48" s="272" t="s">
        <v>111</v>
      </c>
      <c r="H48" s="272"/>
      <c r="I48" s="272"/>
      <c r="J48" s="272"/>
      <c r="K48" s="272"/>
    </row>
    <row r="49" spans="5:11" s="5" customFormat="1" ht="17.100000000000001" customHeight="1">
      <c r="F49" s="8" t="s">
        <v>112</v>
      </c>
      <c r="G49" s="329" t="s">
        <v>113</v>
      </c>
      <c r="H49" s="329"/>
      <c r="I49" s="329"/>
      <c r="J49" s="329"/>
      <c r="K49" s="329"/>
    </row>
    <row r="50" spans="5:11" s="5" customFormat="1" ht="17.100000000000001" customHeight="1">
      <c r="E50" s="99" t="s">
        <v>114</v>
      </c>
      <c r="F50" s="8" t="s">
        <v>115</v>
      </c>
      <c r="G50" s="329" t="s">
        <v>116</v>
      </c>
      <c r="H50" s="329"/>
      <c r="I50" s="329"/>
      <c r="J50" s="329"/>
      <c r="K50" s="329"/>
    </row>
    <row r="51" spans="5:11" s="5" customFormat="1" ht="17.100000000000001" customHeight="1">
      <c r="F51" s="8" t="s">
        <v>117</v>
      </c>
      <c r="G51" s="329" t="s">
        <v>118</v>
      </c>
      <c r="H51" s="329"/>
      <c r="I51" s="329"/>
      <c r="J51" s="329"/>
      <c r="K51" s="329"/>
    </row>
    <row r="52" spans="5:11" s="5" customFormat="1" ht="17.100000000000001" customHeight="1">
      <c r="F52" s="8" t="s">
        <v>119</v>
      </c>
      <c r="G52" s="329" t="s">
        <v>120</v>
      </c>
      <c r="H52" s="329"/>
      <c r="I52" s="329"/>
      <c r="J52" s="329"/>
      <c r="K52" s="329"/>
    </row>
    <row r="54" spans="5:11" ht="13.5" customHeight="1"/>
    <row r="60" spans="5:11" s="2" customFormat="1" ht="12" customHeight="1"/>
    <row r="61" spans="5:11" s="5" customFormat="1" ht="12.75" customHeight="1"/>
    <row r="62" spans="5:11" s="5" customFormat="1" ht="28.5" customHeight="1"/>
    <row r="63" spans="5:11" s="5" customFormat="1" ht="30" customHeight="1"/>
    <row r="64" spans="5:11" s="5" customFormat="1" ht="27" customHeight="1"/>
    <row r="65" s="5" customFormat="1" ht="28.5" customHeight="1"/>
    <row r="66" s="5" customFormat="1" ht="30.75" customHeight="1"/>
  </sheetData>
  <mergeCells count="67">
    <mergeCell ref="G52:K52"/>
    <mergeCell ref="G49:K49"/>
    <mergeCell ref="G50:K50"/>
    <mergeCell ref="G51:K51"/>
    <mergeCell ref="G47:K47"/>
    <mergeCell ref="G48:K48"/>
    <mergeCell ref="A42:E42"/>
    <mergeCell ref="F42:K42"/>
    <mergeCell ref="A43:E44"/>
    <mergeCell ref="F43:K43"/>
    <mergeCell ref="G44:I44"/>
    <mergeCell ref="J44:K44"/>
    <mergeCell ref="A39:J39"/>
    <mergeCell ref="A40:D40"/>
    <mergeCell ref="I41:J41"/>
    <mergeCell ref="B37:E37"/>
    <mergeCell ref="G37:J37"/>
    <mergeCell ref="B38:E38"/>
    <mergeCell ref="G38:J38"/>
    <mergeCell ref="B35:E35"/>
    <mergeCell ref="G35:J35"/>
    <mergeCell ref="B36:E36"/>
    <mergeCell ref="G36:J36"/>
    <mergeCell ref="F31:I31"/>
    <mergeCell ref="F32:I32"/>
    <mergeCell ref="A33:I33"/>
    <mergeCell ref="A34:I34"/>
    <mergeCell ref="F28:I28"/>
    <mergeCell ref="A29:A32"/>
    <mergeCell ref="B29:D32"/>
    <mergeCell ref="F29:I29"/>
    <mergeCell ref="F30:I30"/>
    <mergeCell ref="A25:A28"/>
    <mergeCell ref="B25:D28"/>
    <mergeCell ref="F25:I25"/>
    <mergeCell ref="F26:I26"/>
    <mergeCell ref="F27:I27"/>
    <mergeCell ref="F23:I23"/>
    <mergeCell ref="F24:I24"/>
    <mergeCell ref="F20:I20"/>
    <mergeCell ref="A21:A24"/>
    <mergeCell ref="B21:D24"/>
    <mergeCell ref="F21:I21"/>
    <mergeCell ref="F22:I22"/>
    <mergeCell ref="A17:A20"/>
    <mergeCell ref="B17:D20"/>
    <mergeCell ref="F17:I17"/>
    <mergeCell ref="F18:I18"/>
    <mergeCell ref="F19:I19"/>
    <mergeCell ref="B14:E14"/>
    <mergeCell ref="G14:I14"/>
    <mergeCell ref="B16:D16"/>
    <mergeCell ref="F16:I16"/>
    <mergeCell ref="B7:E7"/>
    <mergeCell ref="G7:H7"/>
    <mergeCell ref="B13:E13"/>
    <mergeCell ref="G13:I13"/>
    <mergeCell ref="B2:E2"/>
    <mergeCell ref="G2:H2"/>
    <mergeCell ref="B5:E5"/>
    <mergeCell ref="G5:H5"/>
    <mergeCell ref="B6:E6"/>
    <mergeCell ref="G6:H6"/>
    <mergeCell ref="B3:E3"/>
    <mergeCell ref="G3:H3"/>
    <mergeCell ref="B4:E4"/>
    <mergeCell ref="G4:H4"/>
  </mergeCells>
  <phoneticPr fontId="26"/>
  <conditionalFormatting sqref="E17:E32">
    <cfRule type="cellIs" dxfId="9" priority="7" stopIfTrue="1" operator="equal">
      <formula>$E$12</formula>
    </cfRule>
  </conditionalFormatting>
  <conditionalFormatting sqref="E17:K17 E21:K21 E25:K25 E29:K29">
    <cfRule type="expression" dxfId="8" priority="4" stopIfTrue="1">
      <formula>IF($E$12=$E$17,TRUE)</formula>
    </cfRule>
  </conditionalFormatting>
  <conditionalFormatting sqref="E18:K18 E22:K22 E26:K26 E30:K30">
    <cfRule type="expression" dxfId="7" priority="3" stopIfTrue="1">
      <formula>IF($E$12=$E$18,TRUE)</formula>
    </cfRule>
  </conditionalFormatting>
  <conditionalFormatting sqref="E19:K19 E23:K23 E27:K27 E31:K31">
    <cfRule type="expression" dxfId="6" priority="2">
      <formula>IF($E$12=$E$19,TRUE)</formula>
    </cfRule>
  </conditionalFormatting>
  <conditionalFormatting sqref="E20:K20 E24:K24 E28:K28 E32:K32">
    <cfRule type="expression" dxfId="5" priority="1">
      <formula>IF($E$12=$E$20,TRUE)</formula>
    </cfRule>
  </conditionalFormatting>
  <dataValidations count="2">
    <dataValidation type="list" allowBlank="1" showInputMessage="1" showErrorMessage="1" sqref="E12" xr:uid="{F5F0DE91-99B0-48C8-BEB9-5C0ABFEC0CCC}">
      <formula1>"Ｓ４,Ｓ３,Ｓ２,Ｓ１"</formula1>
    </dataValidation>
    <dataValidation type="list" allowBlank="1" showInputMessage="1" showErrorMessage="1" sqref="J44:K44" xr:uid="{FC84A953-DA5A-4988-952E-230E7DAC570D}">
      <formula1>"　,Ａ,Ｂ,Ｃ,Ｄ,Ｅ"</formula1>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BF80-92DE-4E26-8A7D-BFBB39A99041}">
  <dimension ref="A1:K66"/>
  <sheetViews>
    <sheetView topLeftCell="A9" workbookViewId="0">
      <selection activeCell="N15" sqref="N15"/>
    </sheetView>
  </sheetViews>
  <sheetFormatPr defaultColWidth="12" defaultRowHeight="13.15"/>
  <cols>
    <col min="1" max="1" width="16.83203125" style="79" customWidth="1"/>
    <col min="2" max="3" width="16.6640625" style="58" customWidth="1"/>
    <col min="4" max="4" width="15.83203125" style="58" customWidth="1"/>
    <col min="5" max="5" width="12.5" style="80" customWidth="1"/>
    <col min="6" max="6" width="20" style="58" customWidth="1"/>
    <col min="7" max="7" width="20.83203125" style="58" customWidth="1"/>
    <col min="8" max="9" width="18.1640625" style="58" customWidth="1"/>
    <col min="10" max="11" width="7.83203125" style="58" customWidth="1"/>
    <col min="12" max="16384" width="12" style="58"/>
  </cols>
  <sheetData>
    <row r="1" spans="1:11" s="2" customFormat="1" ht="12" customHeight="1">
      <c r="A1" s="1" t="s">
        <v>0</v>
      </c>
      <c r="B1" s="1"/>
      <c r="C1" s="1"/>
      <c r="D1" s="1"/>
      <c r="E1" s="1"/>
      <c r="F1" s="1"/>
      <c r="G1" s="1"/>
      <c r="H1" s="1"/>
      <c r="I1" s="1"/>
      <c r="J1" s="1"/>
      <c r="K1" s="1"/>
    </row>
    <row r="2" spans="1:11" s="5" customFormat="1" ht="12.75" customHeight="1">
      <c r="A2" s="3" t="s">
        <v>1</v>
      </c>
      <c r="B2" s="270" t="s">
        <v>2</v>
      </c>
      <c r="C2" s="270"/>
      <c r="D2" s="270"/>
      <c r="E2" s="270"/>
      <c r="F2" s="139" t="s">
        <v>3</v>
      </c>
      <c r="G2" s="328" t="s">
        <v>4</v>
      </c>
      <c r="H2" s="328"/>
    </row>
    <row r="3" spans="1:11" s="5" customFormat="1" ht="28.5" customHeight="1">
      <c r="A3" s="6">
        <v>5</v>
      </c>
      <c r="B3" s="272" t="s">
        <v>5</v>
      </c>
      <c r="C3" s="272"/>
      <c r="D3" s="272"/>
      <c r="E3" s="272"/>
      <c r="F3" s="7" t="s">
        <v>6</v>
      </c>
      <c r="G3" s="256" t="s">
        <v>7</v>
      </c>
      <c r="H3" s="256"/>
    </row>
    <row r="4" spans="1:11" s="5" customFormat="1" ht="30" customHeight="1">
      <c r="A4" s="140">
        <v>4</v>
      </c>
      <c r="B4" s="329" t="s">
        <v>8</v>
      </c>
      <c r="C4" s="329"/>
      <c r="D4" s="329"/>
      <c r="E4" s="329"/>
      <c r="F4" s="7" t="s">
        <v>6</v>
      </c>
      <c r="G4" s="256" t="s">
        <v>9</v>
      </c>
      <c r="H4" s="256"/>
    </row>
    <row r="5" spans="1:11" s="5" customFormat="1" ht="27" customHeight="1">
      <c r="A5" s="140">
        <v>3</v>
      </c>
      <c r="B5" s="329" t="s">
        <v>228</v>
      </c>
      <c r="C5" s="329"/>
      <c r="D5" s="329"/>
      <c r="E5" s="329"/>
      <c r="F5" s="7" t="s">
        <v>6</v>
      </c>
      <c r="G5" s="256" t="s">
        <v>11</v>
      </c>
      <c r="H5" s="256"/>
      <c r="I5" s="2" t="s">
        <v>12</v>
      </c>
    </row>
    <row r="6" spans="1:11" s="5" customFormat="1" ht="28.5" customHeight="1">
      <c r="A6" s="140">
        <v>2</v>
      </c>
      <c r="B6" s="329" t="s">
        <v>13</v>
      </c>
      <c r="C6" s="329"/>
      <c r="D6" s="329"/>
      <c r="E6" s="329"/>
      <c r="F6" s="7" t="s">
        <v>14</v>
      </c>
      <c r="G6" s="256" t="s">
        <v>15</v>
      </c>
      <c r="H6" s="256"/>
    </row>
    <row r="7" spans="1:11" s="5" customFormat="1" ht="30.75" customHeight="1">
      <c r="A7" s="140">
        <v>1</v>
      </c>
      <c r="B7" s="329" t="s">
        <v>16</v>
      </c>
      <c r="C7" s="329"/>
      <c r="D7" s="329"/>
      <c r="E7" s="329"/>
      <c r="F7" s="7" t="s">
        <v>15</v>
      </c>
      <c r="G7" s="256" t="s">
        <v>15</v>
      </c>
      <c r="H7" s="256"/>
    </row>
    <row r="8" spans="1:11" s="5" customFormat="1" ht="12.75" customHeight="1">
      <c r="A8" s="141"/>
      <c r="B8" s="10"/>
      <c r="C8" s="10"/>
      <c r="D8" s="142"/>
      <c r="E8" s="142"/>
      <c r="F8" s="142"/>
      <c r="G8" s="12"/>
      <c r="H8" s="12"/>
      <c r="I8" s="12"/>
      <c r="J8" s="12"/>
      <c r="K8" s="13"/>
    </row>
    <row r="9" spans="1:11" s="2" customFormat="1" ht="27.75" customHeight="1">
      <c r="A9" s="14" t="s">
        <v>17</v>
      </c>
      <c r="B9" s="15"/>
      <c r="C9" s="15"/>
      <c r="D9" s="100" t="s">
        <v>262</v>
      </c>
      <c r="E9" s="16"/>
      <c r="F9" s="17"/>
      <c r="G9" s="143"/>
      <c r="H9" s="143"/>
      <c r="I9" s="143"/>
      <c r="J9" s="143"/>
      <c r="K9" s="143"/>
    </row>
    <row r="10" spans="1:11" s="2" customFormat="1" ht="12.75" customHeight="1">
      <c r="A10" s="19"/>
      <c r="B10" s="15"/>
      <c r="C10" s="15"/>
      <c r="D10" s="15"/>
      <c r="E10" s="16"/>
      <c r="F10" s="17"/>
      <c r="G10" s="143"/>
      <c r="H10" s="143"/>
      <c r="I10" s="143"/>
      <c r="J10" s="143"/>
      <c r="K10" s="143"/>
    </row>
    <row r="11" spans="1:11" s="2" customFormat="1" ht="23.45">
      <c r="A11" s="14" t="s">
        <v>229</v>
      </c>
      <c r="B11" s="15"/>
      <c r="C11" s="15"/>
      <c r="D11" s="15"/>
      <c r="E11" s="16"/>
      <c r="F11" s="20"/>
    </row>
    <row r="12" spans="1:11" s="2" customFormat="1" ht="24.75" customHeight="1">
      <c r="A12" s="21"/>
      <c r="B12" s="21"/>
      <c r="C12" s="21"/>
      <c r="D12" s="22" t="s">
        <v>20</v>
      </c>
      <c r="E12" s="23" t="s">
        <v>230</v>
      </c>
      <c r="F12" s="22" t="s">
        <v>22</v>
      </c>
      <c r="G12" s="24">
        <v>45566</v>
      </c>
      <c r="H12" s="25" t="s">
        <v>23</v>
      </c>
      <c r="I12" s="26">
        <v>45747</v>
      </c>
      <c r="J12" s="144"/>
      <c r="K12" s="20"/>
    </row>
    <row r="13" spans="1:11" s="2" customFormat="1" ht="30" customHeight="1">
      <c r="A13" s="3" t="s">
        <v>24</v>
      </c>
      <c r="B13" s="263" t="s">
        <v>25</v>
      </c>
      <c r="C13" s="264"/>
      <c r="D13" s="264"/>
      <c r="E13" s="311"/>
      <c r="F13" s="28" t="s">
        <v>26</v>
      </c>
      <c r="G13" s="267" t="s">
        <v>27</v>
      </c>
      <c r="H13" s="267"/>
      <c r="I13" s="267"/>
      <c r="J13" s="144"/>
      <c r="K13" s="29"/>
    </row>
    <row r="14" spans="1:11" s="2" customFormat="1" ht="30" customHeight="1">
      <c r="A14" s="89"/>
      <c r="B14" s="312"/>
      <c r="C14" s="312"/>
      <c r="D14" s="330"/>
      <c r="E14" s="331"/>
      <c r="F14" s="28" t="s">
        <v>191</v>
      </c>
      <c r="G14" s="267" t="s">
        <v>31</v>
      </c>
      <c r="H14" s="267"/>
      <c r="I14" s="267"/>
      <c r="J14" s="144"/>
      <c r="K14" s="29"/>
    </row>
    <row r="15" spans="1:11" s="2" customFormat="1" ht="41.25" customHeight="1" thickBot="1">
      <c r="A15" s="30" t="s">
        <v>32</v>
      </c>
      <c r="B15" s="31"/>
      <c r="C15" s="31"/>
      <c r="D15" s="145"/>
      <c r="E15" s="145"/>
      <c r="F15" s="33"/>
      <c r="G15" s="33"/>
      <c r="H15" s="146"/>
      <c r="I15" s="147"/>
      <c r="J15" s="144"/>
      <c r="K15" s="29"/>
    </row>
    <row r="16" spans="1:11" s="40" customFormat="1" ht="28.5" customHeight="1">
      <c r="A16" s="36" t="s">
        <v>33</v>
      </c>
      <c r="B16" s="257" t="s">
        <v>34</v>
      </c>
      <c r="C16" s="258"/>
      <c r="D16" s="259"/>
      <c r="E16" s="148" t="s">
        <v>20</v>
      </c>
      <c r="F16" s="260" t="s">
        <v>35</v>
      </c>
      <c r="G16" s="332"/>
      <c r="H16" s="332"/>
      <c r="I16" s="333"/>
      <c r="J16" s="38" t="s">
        <v>36</v>
      </c>
      <c r="K16" s="39" t="s">
        <v>192</v>
      </c>
    </row>
    <row r="17" spans="1:11" s="40" customFormat="1" ht="38.1" customHeight="1">
      <c r="A17" s="334" t="s">
        <v>231</v>
      </c>
      <c r="B17" s="299" t="s">
        <v>232</v>
      </c>
      <c r="C17" s="300"/>
      <c r="D17" s="301"/>
      <c r="E17" s="149" t="s">
        <v>233</v>
      </c>
      <c r="F17" s="204" t="s">
        <v>234</v>
      </c>
      <c r="G17" s="338"/>
      <c r="H17" s="338"/>
      <c r="I17" s="339"/>
      <c r="J17" s="150"/>
      <c r="K17" s="151"/>
    </row>
    <row r="18" spans="1:11" s="40" customFormat="1" ht="38.1" customHeight="1">
      <c r="A18" s="340"/>
      <c r="B18" s="302"/>
      <c r="C18" s="303"/>
      <c r="D18" s="304"/>
      <c r="E18" s="44" t="s">
        <v>235</v>
      </c>
      <c r="F18" s="233" t="s">
        <v>236</v>
      </c>
      <c r="G18" s="234"/>
      <c r="H18" s="234"/>
      <c r="I18" s="235"/>
      <c r="J18" s="45"/>
      <c r="K18" s="46"/>
    </row>
    <row r="19" spans="1:11" s="40" customFormat="1" ht="38.1" customHeight="1">
      <c r="A19" s="336"/>
      <c r="B19" s="302"/>
      <c r="C19" s="303"/>
      <c r="D19" s="304"/>
      <c r="E19" s="91" t="s">
        <v>237</v>
      </c>
      <c r="F19" s="296" t="s">
        <v>238</v>
      </c>
      <c r="G19" s="297"/>
      <c r="H19" s="297"/>
      <c r="I19" s="298"/>
      <c r="J19" s="45"/>
      <c r="K19" s="46"/>
    </row>
    <row r="20" spans="1:11" s="40" customFormat="1" ht="38.1" customHeight="1">
      <c r="A20" s="336"/>
      <c r="B20" s="302"/>
      <c r="C20" s="303"/>
      <c r="D20" s="304"/>
      <c r="E20" s="47" t="s">
        <v>239</v>
      </c>
      <c r="F20" s="241" t="s">
        <v>240</v>
      </c>
      <c r="G20" s="242"/>
      <c r="H20" s="242"/>
      <c r="I20" s="243"/>
      <c r="J20" s="48"/>
      <c r="K20" s="49"/>
    </row>
    <row r="21" spans="1:11" s="40" customFormat="1" ht="38.1" customHeight="1">
      <c r="A21" s="356" t="s">
        <v>263</v>
      </c>
      <c r="B21" s="299" t="s">
        <v>242</v>
      </c>
      <c r="C21" s="300"/>
      <c r="D21" s="301"/>
      <c r="E21" s="149" t="s">
        <v>233</v>
      </c>
      <c r="F21" s="204" t="s">
        <v>243</v>
      </c>
      <c r="G21" s="338"/>
      <c r="H21" s="338"/>
      <c r="I21" s="339"/>
      <c r="J21" s="150"/>
      <c r="K21" s="151"/>
    </row>
    <row r="22" spans="1:11" s="40" customFormat="1" ht="38.1" customHeight="1">
      <c r="A22" s="357"/>
      <c r="B22" s="302"/>
      <c r="C22" s="303"/>
      <c r="D22" s="304"/>
      <c r="E22" s="44" t="s">
        <v>235</v>
      </c>
      <c r="F22" s="233" t="s">
        <v>244</v>
      </c>
      <c r="G22" s="234"/>
      <c r="H22" s="234"/>
      <c r="I22" s="235"/>
      <c r="J22" s="45"/>
      <c r="K22" s="46"/>
    </row>
    <row r="23" spans="1:11" s="40" customFormat="1" ht="38.1" customHeight="1">
      <c r="A23" s="358"/>
      <c r="B23" s="302"/>
      <c r="C23" s="303"/>
      <c r="D23" s="304"/>
      <c r="E23" s="91" t="s">
        <v>237</v>
      </c>
      <c r="F23" s="296" t="s">
        <v>245</v>
      </c>
      <c r="G23" s="297"/>
      <c r="H23" s="297"/>
      <c r="I23" s="298"/>
      <c r="J23" s="45"/>
      <c r="K23" s="46"/>
    </row>
    <row r="24" spans="1:11" s="40" customFormat="1" ht="38.1" customHeight="1">
      <c r="A24" s="359"/>
      <c r="B24" s="305"/>
      <c r="C24" s="306"/>
      <c r="D24" s="307"/>
      <c r="E24" s="47" t="s">
        <v>239</v>
      </c>
      <c r="F24" s="241" t="s">
        <v>246</v>
      </c>
      <c r="G24" s="242"/>
      <c r="H24" s="242"/>
      <c r="I24" s="243"/>
      <c r="J24" s="48"/>
      <c r="K24" s="49"/>
    </row>
    <row r="25" spans="1:11" s="40" customFormat="1" ht="38.1" customHeight="1">
      <c r="A25" s="356" t="s">
        <v>264</v>
      </c>
      <c r="B25" s="299" t="s">
        <v>248</v>
      </c>
      <c r="C25" s="300"/>
      <c r="D25" s="301"/>
      <c r="E25" s="149" t="s">
        <v>233</v>
      </c>
      <c r="F25" s="204" t="s">
        <v>249</v>
      </c>
      <c r="G25" s="338"/>
      <c r="H25" s="338"/>
      <c r="I25" s="339"/>
      <c r="J25" s="150"/>
      <c r="K25" s="151"/>
    </row>
    <row r="26" spans="1:11" s="40" customFormat="1" ht="38.1" customHeight="1">
      <c r="A26" s="360"/>
      <c r="B26" s="302"/>
      <c r="C26" s="303"/>
      <c r="D26" s="304"/>
      <c r="E26" s="44" t="s">
        <v>235</v>
      </c>
      <c r="F26" s="233" t="s">
        <v>250</v>
      </c>
      <c r="G26" s="234"/>
      <c r="H26" s="234"/>
      <c r="I26" s="235"/>
      <c r="J26" s="45"/>
      <c r="K26" s="46"/>
    </row>
    <row r="27" spans="1:11" s="40" customFormat="1" ht="38.1" customHeight="1">
      <c r="A27" s="358"/>
      <c r="B27" s="302"/>
      <c r="C27" s="303"/>
      <c r="D27" s="304"/>
      <c r="E27" s="91" t="s">
        <v>237</v>
      </c>
      <c r="F27" s="296" t="s">
        <v>251</v>
      </c>
      <c r="G27" s="297"/>
      <c r="H27" s="297"/>
      <c r="I27" s="298"/>
      <c r="J27" s="45"/>
      <c r="K27" s="46"/>
    </row>
    <row r="28" spans="1:11" s="40" customFormat="1" ht="38.1" customHeight="1">
      <c r="A28" s="359"/>
      <c r="B28" s="305"/>
      <c r="C28" s="306"/>
      <c r="D28" s="307"/>
      <c r="E28" s="47" t="s">
        <v>239</v>
      </c>
      <c r="F28" s="241" t="s">
        <v>252</v>
      </c>
      <c r="G28" s="242"/>
      <c r="H28" s="242"/>
      <c r="I28" s="243"/>
      <c r="J28" s="48"/>
      <c r="K28" s="49"/>
    </row>
    <row r="29" spans="1:11" s="40" customFormat="1" ht="38.1" customHeight="1">
      <c r="A29" s="334" t="s">
        <v>253</v>
      </c>
      <c r="B29" s="299" t="s">
        <v>254</v>
      </c>
      <c r="C29" s="300"/>
      <c r="D29" s="301"/>
      <c r="E29" s="149" t="s">
        <v>233</v>
      </c>
      <c r="F29" s="204" t="s">
        <v>255</v>
      </c>
      <c r="G29" s="338"/>
      <c r="H29" s="338"/>
      <c r="I29" s="339"/>
      <c r="J29" s="150"/>
      <c r="K29" s="151"/>
    </row>
    <row r="30" spans="1:11" s="40" customFormat="1" ht="38.1" customHeight="1">
      <c r="A30" s="340"/>
      <c r="B30" s="302"/>
      <c r="C30" s="303"/>
      <c r="D30" s="304"/>
      <c r="E30" s="44" t="s">
        <v>235</v>
      </c>
      <c r="F30" s="233" t="s">
        <v>256</v>
      </c>
      <c r="G30" s="234"/>
      <c r="H30" s="234"/>
      <c r="I30" s="235"/>
      <c r="J30" s="45"/>
      <c r="K30" s="46"/>
    </row>
    <row r="31" spans="1:11" s="40" customFormat="1" ht="38.1" customHeight="1">
      <c r="A31" s="336"/>
      <c r="B31" s="302"/>
      <c r="C31" s="303"/>
      <c r="D31" s="304"/>
      <c r="E31" s="91" t="s">
        <v>237</v>
      </c>
      <c r="F31" s="296" t="s">
        <v>257</v>
      </c>
      <c r="G31" s="297"/>
      <c r="H31" s="297"/>
      <c r="I31" s="298"/>
      <c r="J31" s="45"/>
      <c r="K31" s="46"/>
    </row>
    <row r="32" spans="1:11" s="40" customFormat="1" ht="38.1" customHeight="1" thickBot="1">
      <c r="A32" s="337"/>
      <c r="B32" s="305"/>
      <c r="C32" s="306"/>
      <c r="D32" s="307"/>
      <c r="E32" s="47" t="s">
        <v>239</v>
      </c>
      <c r="F32" s="241" t="s">
        <v>258</v>
      </c>
      <c r="G32" s="242"/>
      <c r="H32" s="242"/>
      <c r="I32" s="243"/>
      <c r="J32" s="48"/>
      <c r="K32" s="49"/>
    </row>
    <row r="33" spans="1:11" ht="35.1" customHeight="1" thickBot="1">
      <c r="A33" s="345" t="s">
        <v>259</v>
      </c>
      <c r="B33" s="346"/>
      <c r="C33" s="346"/>
      <c r="D33" s="346"/>
      <c r="E33" s="346"/>
      <c r="F33" s="346"/>
      <c r="G33" s="346"/>
      <c r="H33" s="346"/>
      <c r="I33" s="347"/>
      <c r="J33" s="55">
        <f>(J19+J20)*3+(J27+J28)*3+(J17+J18+J21+J22+J23+J24+J25+J26+J29+J30+J31+J32)</f>
        <v>0</v>
      </c>
      <c r="K33" s="95">
        <f>(K19+K20)*3+(K23+K24)*3+(K17+K18+K21+K22+K25+K26+K27+K28+K29+K30+K31+K32)</f>
        <v>0</v>
      </c>
    </row>
    <row r="34" spans="1:11" ht="35.1" customHeight="1" thickBot="1">
      <c r="A34" s="202" t="s">
        <v>260</v>
      </c>
      <c r="B34" s="348"/>
      <c r="C34" s="348"/>
      <c r="D34" s="348"/>
      <c r="E34" s="348"/>
      <c r="F34" s="348"/>
      <c r="G34" s="348"/>
      <c r="H34" s="348"/>
      <c r="I34" s="348"/>
      <c r="J34" s="59"/>
      <c r="K34" s="59"/>
    </row>
    <row r="35" spans="1:11" ht="38.1" customHeight="1">
      <c r="A35" s="60" t="s">
        <v>94</v>
      </c>
      <c r="B35" s="213"/>
      <c r="C35" s="213"/>
      <c r="D35" s="213"/>
      <c r="E35" s="214"/>
      <c r="F35" s="61" t="s">
        <v>95</v>
      </c>
      <c r="G35" s="215"/>
      <c r="H35" s="341"/>
      <c r="I35" s="341"/>
      <c r="J35" s="342"/>
      <c r="K35" s="62"/>
    </row>
    <row r="36" spans="1:11" s="2" customFormat="1" ht="38.1" customHeight="1">
      <c r="A36" s="63" t="s">
        <v>96</v>
      </c>
      <c r="B36" s="250"/>
      <c r="C36" s="250"/>
      <c r="D36" s="250"/>
      <c r="E36" s="251"/>
      <c r="F36" s="64" t="s">
        <v>95</v>
      </c>
      <c r="G36" s="236"/>
      <c r="H36" s="343"/>
      <c r="I36" s="343"/>
      <c r="J36" s="344"/>
      <c r="K36" s="65"/>
    </row>
    <row r="37" spans="1:11" s="2" customFormat="1" ht="38.1" customHeight="1">
      <c r="A37" s="63" t="s">
        <v>96</v>
      </c>
      <c r="B37" s="250"/>
      <c r="C37" s="250"/>
      <c r="D37" s="250"/>
      <c r="E37" s="251"/>
      <c r="F37" s="64" t="s">
        <v>95</v>
      </c>
      <c r="G37" s="236"/>
      <c r="H37" s="343"/>
      <c r="I37" s="343"/>
      <c r="J37" s="344"/>
      <c r="K37" s="65"/>
    </row>
    <row r="38" spans="1:11" s="69" customFormat="1" ht="38.1" customHeight="1" thickBot="1">
      <c r="A38" s="66" t="s">
        <v>94</v>
      </c>
      <c r="B38" s="239"/>
      <c r="C38" s="239"/>
      <c r="D38" s="239"/>
      <c r="E38" s="240"/>
      <c r="F38" s="67" t="s">
        <v>95</v>
      </c>
      <c r="G38" s="247"/>
      <c r="H38" s="351"/>
      <c r="I38" s="351"/>
      <c r="J38" s="352"/>
      <c r="K38" s="68"/>
    </row>
    <row r="39" spans="1:11" s="69" customFormat="1" ht="35.1" customHeight="1" thickBot="1">
      <c r="A39" s="349" t="s">
        <v>261</v>
      </c>
      <c r="B39" s="349"/>
      <c r="C39" s="349"/>
      <c r="D39" s="349"/>
      <c r="E39" s="349"/>
      <c r="F39" s="349"/>
      <c r="G39" s="349"/>
      <c r="H39" s="349"/>
      <c r="I39" s="349"/>
      <c r="J39" s="350"/>
      <c r="K39" s="152">
        <f>SUM(K35:K38)</f>
        <v>0</v>
      </c>
    </row>
    <row r="40" spans="1:11" s="69" customFormat="1" ht="15" customHeight="1" thickBot="1">
      <c r="A40" s="318"/>
      <c r="B40" s="318"/>
      <c r="C40" s="318"/>
      <c r="D40" s="318"/>
      <c r="E40" s="153"/>
      <c r="F40" s="153"/>
      <c r="G40" s="12"/>
      <c r="H40" s="153"/>
      <c r="I40" s="153"/>
      <c r="J40" s="154"/>
      <c r="K40" s="73"/>
    </row>
    <row r="41" spans="1:11" s="69" customFormat="1" ht="35.1" customHeight="1">
      <c r="A41" s="76" t="s">
        <v>102</v>
      </c>
      <c r="B41" s="20"/>
      <c r="C41" s="20"/>
      <c r="D41" s="20"/>
      <c r="E41" s="12"/>
      <c r="F41" s="20"/>
      <c r="H41" s="153"/>
      <c r="I41" s="327" t="s">
        <v>103</v>
      </c>
      <c r="J41" s="327"/>
      <c r="K41" s="92">
        <f>K33+K39</f>
        <v>0</v>
      </c>
    </row>
    <row r="42" spans="1:11" s="40" customFormat="1" ht="25.5" customHeight="1">
      <c r="A42" s="194" t="s">
        <v>104</v>
      </c>
      <c r="B42" s="322"/>
      <c r="C42" s="322"/>
      <c r="D42" s="322"/>
      <c r="E42" s="323"/>
      <c r="F42" s="353" t="s">
        <v>227</v>
      </c>
      <c r="G42" s="354"/>
      <c r="H42" s="354"/>
      <c r="I42" s="354"/>
      <c r="J42" s="354"/>
      <c r="K42" s="355"/>
    </row>
    <row r="43" spans="1:11" s="2" customFormat="1" ht="110.25" customHeight="1">
      <c r="A43" s="319"/>
      <c r="B43" s="320"/>
      <c r="C43" s="320"/>
      <c r="D43" s="320"/>
      <c r="E43" s="321"/>
      <c r="F43" s="319"/>
      <c r="G43" s="320"/>
      <c r="H43" s="320"/>
      <c r="I43" s="320"/>
      <c r="J43" s="320"/>
      <c r="K43" s="321"/>
    </row>
    <row r="44" spans="1:11" ht="31.5" customHeight="1">
      <c r="A44" s="324"/>
      <c r="B44" s="325"/>
      <c r="C44" s="325"/>
      <c r="D44" s="325"/>
      <c r="E44" s="326"/>
      <c r="F44" s="94"/>
      <c r="G44" s="275" t="s">
        <v>107</v>
      </c>
      <c r="H44" s="276"/>
      <c r="I44" s="277"/>
      <c r="J44" s="278" t="s">
        <v>108</v>
      </c>
      <c r="K44" s="278"/>
    </row>
    <row r="46" spans="1:11" s="2" customFormat="1" ht="12" customHeight="1">
      <c r="F46" s="1" t="s">
        <v>109</v>
      </c>
      <c r="H46" s="1"/>
      <c r="I46" s="1"/>
      <c r="J46" s="1"/>
      <c r="K46" s="1"/>
    </row>
    <row r="47" spans="1:11" s="5" customFormat="1" ht="12.75" customHeight="1">
      <c r="F47" s="3" t="s">
        <v>1</v>
      </c>
      <c r="G47" s="270" t="s">
        <v>2</v>
      </c>
      <c r="H47" s="270"/>
      <c r="I47" s="270"/>
      <c r="J47" s="270"/>
      <c r="K47" s="270"/>
    </row>
    <row r="48" spans="1:11" s="5" customFormat="1" ht="17.100000000000001" customHeight="1">
      <c r="F48" s="8" t="s">
        <v>110</v>
      </c>
      <c r="G48" s="272" t="s">
        <v>111</v>
      </c>
      <c r="H48" s="272"/>
      <c r="I48" s="272"/>
      <c r="J48" s="272"/>
      <c r="K48" s="272"/>
    </row>
    <row r="49" spans="5:11" s="5" customFormat="1" ht="17.100000000000001" customHeight="1">
      <c r="F49" s="8" t="s">
        <v>112</v>
      </c>
      <c r="G49" s="329" t="s">
        <v>113</v>
      </c>
      <c r="H49" s="329"/>
      <c r="I49" s="329"/>
      <c r="J49" s="329"/>
      <c r="K49" s="329"/>
    </row>
    <row r="50" spans="5:11" s="5" customFormat="1" ht="17.100000000000001" customHeight="1">
      <c r="E50" s="99" t="s">
        <v>114</v>
      </c>
      <c r="F50" s="8" t="s">
        <v>115</v>
      </c>
      <c r="G50" s="329" t="s">
        <v>116</v>
      </c>
      <c r="H50" s="329"/>
      <c r="I50" s="329"/>
      <c r="J50" s="329"/>
      <c r="K50" s="329"/>
    </row>
    <row r="51" spans="5:11" s="5" customFormat="1" ht="17.100000000000001" customHeight="1">
      <c r="F51" s="8" t="s">
        <v>117</v>
      </c>
      <c r="G51" s="329" t="s">
        <v>118</v>
      </c>
      <c r="H51" s="329"/>
      <c r="I51" s="329"/>
      <c r="J51" s="329"/>
      <c r="K51" s="329"/>
    </row>
    <row r="52" spans="5:11" s="5" customFormat="1" ht="17.100000000000001" customHeight="1">
      <c r="F52" s="8" t="s">
        <v>119</v>
      </c>
      <c r="G52" s="329" t="s">
        <v>120</v>
      </c>
      <c r="H52" s="329"/>
      <c r="I52" s="329"/>
      <c r="J52" s="329"/>
      <c r="K52" s="329"/>
    </row>
    <row r="54" spans="5:11" ht="13.5" customHeight="1"/>
    <row r="60" spans="5:11" s="2" customFormat="1" ht="12" customHeight="1"/>
    <row r="61" spans="5:11" s="5" customFormat="1" ht="12.75" customHeight="1"/>
    <row r="62" spans="5:11" s="5" customFormat="1" ht="28.5" customHeight="1"/>
    <row r="63" spans="5:11" s="5" customFormat="1" ht="30" customHeight="1"/>
    <row r="64" spans="5:11" s="5" customFormat="1" ht="27" customHeight="1"/>
    <row r="65" s="5" customFormat="1" ht="28.5" customHeight="1"/>
    <row r="66" s="5" customFormat="1" ht="30.75" customHeight="1"/>
  </sheetData>
  <mergeCells count="67">
    <mergeCell ref="G52:K52"/>
    <mergeCell ref="I41:J41"/>
    <mergeCell ref="A42:E42"/>
    <mergeCell ref="F42:K42"/>
    <mergeCell ref="A43:E44"/>
    <mergeCell ref="F43:K43"/>
    <mergeCell ref="G44:I44"/>
    <mergeCell ref="J44:K44"/>
    <mergeCell ref="G47:K47"/>
    <mergeCell ref="G48:K48"/>
    <mergeCell ref="G49:K49"/>
    <mergeCell ref="G50:K50"/>
    <mergeCell ref="G51:K51"/>
    <mergeCell ref="A40:D40"/>
    <mergeCell ref="A33:I33"/>
    <mergeCell ref="A34:I34"/>
    <mergeCell ref="B35:E35"/>
    <mergeCell ref="G35:J35"/>
    <mergeCell ref="B36:E36"/>
    <mergeCell ref="G36:J36"/>
    <mergeCell ref="B37:E37"/>
    <mergeCell ref="G37:J37"/>
    <mergeCell ref="B38:E38"/>
    <mergeCell ref="G38:J38"/>
    <mergeCell ref="A39:J39"/>
    <mergeCell ref="A29:A32"/>
    <mergeCell ref="B29:D32"/>
    <mergeCell ref="F29:I29"/>
    <mergeCell ref="F30:I30"/>
    <mergeCell ref="F31:I31"/>
    <mergeCell ref="F32:I32"/>
    <mergeCell ref="A25:A28"/>
    <mergeCell ref="B25:D28"/>
    <mergeCell ref="F25:I25"/>
    <mergeCell ref="F26:I26"/>
    <mergeCell ref="F27:I27"/>
    <mergeCell ref="F28:I28"/>
    <mergeCell ref="A21:A24"/>
    <mergeCell ref="B21:D24"/>
    <mergeCell ref="F21:I21"/>
    <mergeCell ref="F22:I22"/>
    <mergeCell ref="F23:I23"/>
    <mergeCell ref="F24:I24"/>
    <mergeCell ref="A17:A20"/>
    <mergeCell ref="B17:D20"/>
    <mergeCell ref="F17:I17"/>
    <mergeCell ref="F18:I18"/>
    <mergeCell ref="F19:I19"/>
    <mergeCell ref="F20:I20"/>
    <mergeCell ref="B13:E13"/>
    <mergeCell ref="G13:I13"/>
    <mergeCell ref="B14:E14"/>
    <mergeCell ref="G14:I14"/>
    <mergeCell ref="B16:D16"/>
    <mergeCell ref="F16:I16"/>
    <mergeCell ref="B5:E5"/>
    <mergeCell ref="G5:H5"/>
    <mergeCell ref="B6:E6"/>
    <mergeCell ref="G6:H6"/>
    <mergeCell ref="B7:E7"/>
    <mergeCell ref="G7:H7"/>
    <mergeCell ref="B2:E2"/>
    <mergeCell ref="G2:H2"/>
    <mergeCell ref="B3:E3"/>
    <mergeCell ref="G3:H3"/>
    <mergeCell ref="B4:E4"/>
    <mergeCell ref="G4:H4"/>
  </mergeCells>
  <phoneticPr fontId="26"/>
  <conditionalFormatting sqref="E17:E32">
    <cfRule type="cellIs" dxfId="4" priority="5" stopIfTrue="1" operator="equal">
      <formula>$E$12</formula>
    </cfRule>
  </conditionalFormatting>
  <conditionalFormatting sqref="E17:K17 E21:K21 E25:K25 E29:K29">
    <cfRule type="expression" dxfId="3" priority="4" stopIfTrue="1">
      <formula>IF($E$12=$E$17,TRUE)</formula>
    </cfRule>
  </conditionalFormatting>
  <conditionalFormatting sqref="E18:K18 E22:K22 E26:K26 E30:K30">
    <cfRule type="expression" dxfId="2" priority="3" stopIfTrue="1">
      <formula>IF($E$12=$E$18,TRUE)</formula>
    </cfRule>
  </conditionalFormatting>
  <conditionalFormatting sqref="E19:K19 E23:K23 E27:K27 E31:K31">
    <cfRule type="expression" dxfId="1" priority="2">
      <formula>IF($E$12=$E$19,TRUE)</formula>
    </cfRule>
  </conditionalFormatting>
  <conditionalFormatting sqref="E20:K20 E24:K24 E28:K28 E32:K32">
    <cfRule type="expression" dxfId="0" priority="1">
      <formula>IF($E$12=$E$20,TRUE)</formula>
    </cfRule>
  </conditionalFormatting>
  <dataValidations count="2">
    <dataValidation type="list" allowBlank="1" showInputMessage="1" showErrorMessage="1" sqref="J44:K44" xr:uid="{DCAC77AC-43F1-4AAE-96C6-6EBCD7279F70}">
      <formula1>"　,Ａ,Ｂ,Ｃ,Ｄ,Ｅ"</formula1>
    </dataValidation>
    <dataValidation type="list" allowBlank="1" showInputMessage="1" showErrorMessage="1" sqref="E12" xr:uid="{61E6DCEB-FF55-4B06-B176-5847DA10B37F}">
      <formula1>"Ｓ４,Ｓ３,Ｓ２,Ｓ１"</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9641A-303F-401F-B031-37454E8D9208}">
  <sheetPr>
    <pageSetUpPr fitToPage="1"/>
  </sheetPr>
  <dimension ref="A1:H24"/>
  <sheetViews>
    <sheetView zoomScale="60" zoomScaleNormal="60" workbookViewId="0">
      <selection activeCell="B22" sqref="B22"/>
    </sheetView>
  </sheetViews>
  <sheetFormatPr defaultColWidth="3.5" defaultRowHeight="13.15"/>
  <cols>
    <col min="1" max="1" width="6.83203125" style="82" customWidth="1"/>
    <col min="2" max="2" width="65.6640625" style="83" bestFit="1" customWidth="1"/>
    <col min="3" max="3" width="6.83203125" style="82" customWidth="1"/>
    <col min="4" max="4" width="67" style="82" bestFit="1" customWidth="1"/>
    <col min="5" max="5" width="6.83203125" style="82" customWidth="1"/>
    <col min="6" max="6" width="63.5" style="82" bestFit="1" customWidth="1"/>
    <col min="7" max="7" width="6.83203125" style="82" customWidth="1"/>
    <col min="8" max="8" width="62.83203125" style="82" customWidth="1"/>
    <col min="9" max="96" width="3.5" style="82"/>
    <col min="97" max="114" width="5.83203125" style="82" customWidth="1"/>
    <col min="115" max="115" width="7.33203125" style="82" customWidth="1"/>
    <col min="116" max="125" width="5.83203125" style="82" customWidth="1"/>
    <col min="126" max="126" width="9.5" style="82" customWidth="1"/>
    <col min="127" max="144" width="5.83203125" style="82" customWidth="1"/>
    <col min="145" max="352" width="3.5" style="82"/>
    <col min="353" max="370" width="5.83203125" style="82" customWidth="1"/>
    <col min="371" max="371" width="7.33203125" style="82" customWidth="1"/>
    <col min="372" max="381" width="5.83203125" style="82" customWidth="1"/>
    <col min="382" max="382" width="9.5" style="82" customWidth="1"/>
    <col min="383" max="400" width="5.83203125" style="82" customWidth="1"/>
    <col min="401" max="608" width="3.5" style="82"/>
    <col min="609" max="626" width="5.83203125" style="82" customWidth="1"/>
    <col min="627" max="627" width="7.33203125" style="82" customWidth="1"/>
    <col min="628" max="637" width="5.83203125" style="82" customWidth="1"/>
    <col min="638" max="638" width="9.5" style="82" customWidth="1"/>
    <col min="639" max="656" width="5.83203125" style="82" customWidth="1"/>
    <col min="657" max="864" width="3.5" style="82"/>
    <col min="865" max="882" width="5.83203125" style="82" customWidth="1"/>
    <col min="883" max="883" width="7.33203125" style="82" customWidth="1"/>
    <col min="884" max="893" width="5.83203125" style="82" customWidth="1"/>
    <col min="894" max="894" width="9.5" style="82" customWidth="1"/>
    <col min="895" max="912" width="5.83203125" style="82" customWidth="1"/>
    <col min="913" max="1120" width="3.5" style="82"/>
    <col min="1121" max="1138" width="5.83203125" style="82" customWidth="1"/>
    <col min="1139" max="1139" width="7.33203125" style="82" customWidth="1"/>
    <col min="1140" max="1149" width="5.83203125" style="82" customWidth="1"/>
    <col min="1150" max="1150" width="9.5" style="82" customWidth="1"/>
    <col min="1151" max="1168" width="5.83203125" style="82" customWidth="1"/>
    <col min="1169" max="1376" width="3.5" style="82"/>
    <col min="1377" max="1394" width="5.83203125" style="82" customWidth="1"/>
    <col min="1395" max="1395" width="7.33203125" style="82" customWidth="1"/>
    <col min="1396" max="1405" width="5.83203125" style="82" customWidth="1"/>
    <col min="1406" max="1406" width="9.5" style="82" customWidth="1"/>
    <col min="1407" max="1424" width="5.83203125" style="82" customWidth="1"/>
    <col min="1425" max="1632" width="3.5" style="82"/>
    <col min="1633" max="1650" width="5.83203125" style="82" customWidth="1"/>
    <col min="1651" max="1651" width="7.33203125" style="82" customWidth="1"/>
    <col min="1652" max="1661" width="5.83203125" style="82" customWidth="1"/>
    <col min="1662" max="1662" width="9.5" style="82" customWidth="1"/>
    <col min="1663" max="1680" width="5.83203125" style="82" customWidth="1"/>
    <col min="1681" max="1888" width="3.5" style="82"/>
    <col min="1889" max="1906" width="5.83203125" style="82" customWidth="1"/>
    <col min="1907" max="1907" width="7.33203125" style="82" customWidth="1"/>
    <col min="1908" max="1917" width="5.83203125" style="82" customWidth="1"/>
    <col min="1918" max="1918" width="9.5" style="82" customWidth="1"/>
    <col min="1919" max="1936" width="5.83203125" style="82" customWidth="1"/>
    <col min="1937" max="2144" width="3.5" style="82"/>
    <col min="2145" max="2162" width="5.83203125" style="82" customWidth="1"/>
    <col min="2163" max="2163" width="7.33203125" style="82" customWidth="1"/>
    <col min="2164" max="2173" width="5.83203125" style="82" customWidth="1"/>
    <col min="2174" max="2174" width="9.5" style="82" customWidth="1"/>
    <col min="2175" max="2192" width="5.83203125" style="82" customWidth="1"/>
    <col min="2193" max="2400" width="3.5" style="82"/>
    <col min="2401" max="2418" width="5.83203125" style="82" customWidth="1"/>
    <col min="2419" max="2419" width="7.33203125" style="82" customWidth="1"/>
    <col min="2420" max="2429" width="5.83203125" style="82" customWidth="1"/>
    <col min="2430" max="2430" width="9.5" style="82" customWidth="1"/>
    <col min="2431" max="2448" width="5.83203125" style="82" customWidth="1"/>
    <col min="2449" max="2656" width="3.5" style="82"/>
    <col min="2657" max="2674" width="5.83203125" style="82" customWidth="1"/>
    <col min="2675" max="2675" width="7.33203125" style="82" customWidth="1"/>
    <col min="2676" max="2685" width="5.83203125" style="82" customWidth="1"/>
    <col min="2686" max="2686" width="9.5" style="82" customWidth="1"/>
    <col min="2687" max="2704" width="5.83203125" style="82" customWidth="1"/>
    <col min="2705" max="2912" width="3.5" style="82"/>
    <col min="2913" max="2930" width="5.83203125" style="82" customWidth="1"/>
    <col min="2931" max="2931" width="7.33203125" style="82" customWidth="1"/>
    <col min="2932" max="2941" width="5.83203125" style="82" customWidth="1"/>
    <col min="2942" max="2942" width="9.5" style="82" customWidth="1"/>
    <col min="2943" max="2960" width="5.83203125" style="82" customWidth="1"/>
    <col min="2961" max="3168" width="3.5" style="82"/>
    <col min="3169" max="3186" width="5.83203125" style="82" customWidth="1"/>
    <col min="3187" max="3187" width="7.33203125" style="82" customWidth="1"/>
    <col min="3188" max="3197" width="5.83203125" style="82" customWidth="1"/>
    <col min="3198" max="3198" width="9.5" style="82" customWidth="1"/>
    <col min="3199" max="3216" width="5.83203125" style="82" customWidth="1"/>
    <col min="3217" max="3424" width="3.5" style="82"/>
    <col min="3425" max="3442" width="5.83203125" style="82" customWidth="1"/>
    <col min="3443" max="3443" width="7.33203125" style="82" customWidth="1"/>
    <col min="3444" max="3453" width="5.83203125" style="82" customWidth="1"/>
    <col min="3454" max="3454" width="9.5" style="82" customWidth="1"/>
    <col min="3455" max="3472" width="5.83203125" style="82" customWidth="1"/>
    <col min="3473" max="3680" width="3.5" style="82"/>
    <col min="3681" max="3698" width="5.83203125" style="82" customWidth="1"/>
    <col min="3699" max="3699" width="7.33203125" style="82" customWidth="1"/>
    <col min="3700" max="3709" width="5.83203125" style="82" customWidth="1"/>
    <col min="3710" max="3710" width="9.5" style="82" customWidth="1"/>
    <col min="3711" max="3728" width="5.83203125" style="82" customWidth="1"/>
    <col min="3729" max="3936" width="3.5" style="82"/>
    <col min="3937" max="3954" width="5.83203125" style="82" customWidth="1"/>
    <col min="3955" max="3955" width="7.33203125" style="82" customWidth="1"/>
    <col min="3956" max="3965" width="5.83203125" style="82" customWidth="1"/>
    <col min="3966" max="3966" width="9.5" style="82" customWidth="1"/>
    <col min="3967" max="3984" width="5.83203125" style="82" customWidth="1"/>
    <col min="3985" max="4192" width="3.5" style="82"/>
    <col min="4193" max="4210" width="5.83203125" style="82" customWidth="1"/>
    <col min="4211" max="4211" width="7.33203125" style="82" customWidth="1"/>
    <col min="4212" max="4221" width="5.83203125" style="82" customWidth="1"/>
    <col min="4222" max="4222" width="9.5" style="82" customWidth="1"/>
    <col min="4223" max="4240" width="5.83203125" style="82" customWidth="1"/>
    <col min="4241" max="4448" width="3.5" style="82"/>
    <col min="4449" max="4466" width="5.83203125" style="82" customWidth="1"/>
    <col min="4467" max="4467" width="7.33203125" style="82" customWidth="1"/>
    <col min="4468" max="4477" width="5.83203125" style="82" customWidth="1"/>
    <col min="4478" max="4478" width="9.5" style="82" customWidth="1"/>
    <col min="4479" max="4496" width="5.83203125" style="82" customWidth="1"/>
    <col min="4497" max="4704" width="3.5" style="82"/>
    <col min="4705" max="4722" width="5.83203125" style="82" customWidth="1"/>
    <col min="4723" max="4723" width="7.33203125" style="82" customWidth="1"/>
    <col min="4724" max="4733" width="5.83203125" style="82" customWidth="1"/>
    <col min="4734" max="4734" width="9.5" style="82" customWidth="1"/>
    <col min="4735" max="4752" width="5.83203125" style="82" customWidth="1"/>
    <col min="4753" max="4960" width="3.5" style="82"/>
    <col min="4961" max="4978" width="5.83203125" style="82" customWidth="1"/>
    <col min="4979" max="4979" width="7.33203125" style="82" customWidth="1"/>
    <col min="4980" max="4989" width="5.83203125" style="82" customWidth="1"/>
    <col min="4990" max="4990" width="9.5" style="82" customWidth="1"/>
    <col min="4991" max="5008" width="5.83203125" style="82" customWidth="1"/>
    <col min="5009" max="5216" width="3.5" style="82"/>
    <col min="5217" max="5234" width="5.83203125" style="82" customWidth="1"/>
    <col min="5235" max="5235" width="7.33203125" style="82" customWidth="1"/>
    <col min="5236" max="5245" width="5.83203125" style="82" customWidth="1"/>
    <col min="5246" max="5246" width="9.5" style="82" customWidth="1"/>
    <col min="5247" max="5264" width="5.83203125" style="82" customWidth="1"/>
    <col min="5265" max="5472" width="3.5" style="82"/>
    <col min="5473" max="5490" width="5.83203125" style="82" customWidth="1"/>
    <col min="5491" max="5491" width="7.33203125" style="82" customWidth="1"/>
    <col min="5492" max="5501" width="5.83203125" style="82" customWidth="1"/>
    <col min="5502" max="5502" width="9.5" style="82" customWidth="1"/>
    <col min="5503" max="5520" width="5.83203125" style="82" customWidth="1"/>
    <col min="5521" max="5728" width="3.5" style="82"/>
    <col min="5729" max="5746" width="5.83203125" style="82" customWidth="1"/>
    <col min="5747" max="5747" width="7.33203125" style="82" customWidth="1"/>
    <col min="5748" max="5757" width="5.83203125" style="82" customWidth="1"/>
    <col min="5758" max="5758" width="9.5" style="82" customWidth="1"/>
    <col min="5759" max="5776" width="5.83203125" style="82" customWidth="1"/>
    <col min="5777" max="5984" width="3.5" style="82"/>
    <col min="5985" max="6002" width="5.83203125" style="82" customWidth="1"/>
    <col min="6003" max="6003" width="7.33203125" style="82" customWidth="1"/>
    <col min="6004" max="6013" width="5.83203125" style="82" customWidth="1"/>
    <col min="6014" max="6014" width="9.5" style="82" customWidth="1"/>
    <col min="6015" max="6032" width="5.83203125" style="82" customWidth="1"/>
    <col min="6033" max="6240" width="3.5" style="82"/>
    <col min="6241" max="6258" width="5.83203125" style="82" customWidth="1"/>
    <col min="6259" max="6259" width="7.33203125" style="82" customWidth="1"/>
    <col min="6260" max="6269" width="5.83203125" style="82" customWidth="1"/>
    <col min="6270" max="6270" width="9.5" style="82" customWidth="1"/>
    <col min="6271" max="6288" width="5.83203125" style="82" customWidth="1"/>
    <col min="6289" max="6496" width="3.5" style="82"/>
    <col min="6497" max="6514" width="5.83203125" style="82" customWidth="1"/>
    <col min="6515" max="6515" width="7.33203125" style="82" customWidth="1"/>
    <col min="6516" max="6525" width="5.83203125" style="82" customWidth="1"/>
    <col min="6526" max="6526" width="9.5" style="82" customWidth="1"/>
    <col min="6527" max="6544" width="5.83203125" style="82" customWidth="1"/>
    <col min="6545" max="6752" width="3.5" style="82"/>
    <col min="6753" max="6770" width="5.83203125" style="82" customWidth="1"/>
    <col min="6771" max="6771" width="7.33203125" style="82" customWidth="1"/>
    <col min="6772" max="6781" width="5.83203125" style="82" customWidth="1"/>
    <col min="6782" max="6782" width="9.5" style="82" customWidth="1"/>
    <col min="6783" max="6800" width="5.83203125" style="82" customWidth="1"/>
    <col min="6801" max="7008" width="3.5" style="82"/>
    <col min="7009" max="7026" width="5.83203125" style="82" customWidth="1"/>
    <col min="7027" max="7027" width="7.33203125" style="82" customWidth="1"/>
    <col min="7028" max="7037" width="5.83203125" style="82" customWidth="1"/>
    <col min="7038" max="7038" width="9.5" style="82" customWidth="1"/>
    <col min="7039" max="7056" width="5.83203125" style="82" customWidth="1"/>
    <col min="7057" max="7264" width="3.5" style="82"/>
    <col min="7265" max="7282" width="5.83203125" style="82" customWidth="1"/>
    <col min="7283" max="7283" width="7.33203125" style="82" customWidth="1"/>
    <col min="7284" max="7293" width="5.83203125" style="82" customWidth="1"/>
    <col min="7294" max="7294" width="9.5" style="82" customWidth="1"/>
    <col min="7295" max="7312" width="5.83203125" style="82" customWidth="1"/>
    <col min="7313" max="7520" width="3.5" style="82"/>
    <col min="7521" max="7538" width="5.83203125" style="82" customWidth="1"/>
    <col min="7539" max="7539" width="7.33203125" style="82" customWidth="1"/>
    <col min="7540" max="7549" width="5.83203125" style="82" customWidth="1"/>
    <col min="7550" max="7550" width="9.5" style="82" customWidth="1"/>
    <col min="7551" max="7568" width="5.83203125" style="82" customWidth="1"/>
    <col min="7569" max="7776" width="3.5" style="82"/>
    <col min="7777" max="7794" width="5.83203125" style="82" customWidth="1"/>
    <col min="7795" max="7795" width="7.33203125" style="82" customWidth="1"/>
    <col min="7796" max="7805" width="5.83203125" style="82" customWidth="1"/>
    <col min="7806" max="7806" width="9.5" style="82" customWidth="1"/>
    <col min="7807" max="7824" width="5.83203125" style="82" customWidth="1"/>
    <col min="7825" max="8032" width="3.5" style="82"/>
    <col min="8033" max="8050" width="5.83203125" style="82" customWidth="1"/>
    <col min="8051" max="8051" width="7.33203125" style="82" customWidth="1"/>
    <col min="8052" max="8061" width="5.83203125" style="82" customWidth="1"/>
    <col min="8062" max="8062" width="9.5" style="82" customWidth="1"/>
    <col min="8063" max="8080" width="5.83203125" style="82" customWidth="1"/>
    <col min="8081" max="8288" width="3.5" style="82"/>
    <col min="8289" max="8306" width="5.83203125" style="82" customWidth="1"/>
    <col min="8307" max="8307" width="7.33203125" style="82" customWidth="1"/>
    <col min="8308" max="8317" width="5.83203125" style="82" customWidth="1"/>
    <col min="8318" max="8318" width="9.5" style="82" customWidth="1"/>
    <col min="8319" max="8336" width="5.83203125" style="82" customWidth="1"/>
    <col min="8337" max="8544" width="3.5" style="82"/>
    <col min="8545" max="8562" width="5.83203125" style="82" customWidth="1"/>
    <col min="8563" max="8563" width="7.33203125" style="82" customWidth="1"/>
    <col min="8564" max="8573" width="5.83203125" style="82" customWidth="1"/>
    <col min="8574" max="8574" width="9.5" style="82" customWidth="1"/>
    <col min="8575" max="8592" width="5.83203125" style="82" customWidth="1"/>
    <col min="8593" max="8800" width="3.5" style="82"/>
    <col min="8801" max="8818" width="5.83203125" style="82" customWidth="1"/>
    <col min="8819" max="8819" width="7.33203125" style="82" customWidth="1"/>
    <col min="8820" max="8829" width="5.83203125" style="82" customWidth="1"/>
    <col min="8830" max="8830" width="9.5" style="82" customWidth="1"/>
    <col min="8831" max="8848" width="5.83203125" style="82" customWidth="1"/>
    <col min="8849" max="9056" width="3.5" style="82"/>
    <col min="9057" max="9074" width="5.83203125" style="82" customWidth="1"/>
    <col min="9075" max="9075" width="7.33203125" style="82" customWidth="1"/>
    <col min="9076" max="9085" width="5.83203125" style="82" customWidth="1"/>
    <col min="9086" max="9086" width="9.5" style="82" customWidth="1"/>
    <col min="9087" max="9104" width="5.83203125" style="82" customWidth="1"/>
    <col min="9105" max="9312" width="3.5" style="82"/>
    <col min="9313" max="9330" width="5.83203125" style="82" customWidth="1"/>
    <col min="9331" max="9331" width="7.33203125" style="82" customWidth="1"/>
    <col min="9332" max="9341" width="5.83203125" style="82" customWidth="1"/>
    <col min="9342" max="9342" width="9.5" style="82" customWidth="1"/>
    <col min="9343" max="9360" width="5.83203125" style="82" customWidth="1"/>
    <col min="9361" max="9568" width="3.5" style="82"/>
    <col min="9569" max="9586" width="5.83203125" style="82" customWidth="1"/>
    <col min="9587" max="9587" width="7.33203125" style="82" customWidth="1"/>
    <col min="9588" max="9597" width="5.83203125" style="82" customWidth="1"/>
    <col min="9598" max="9598" width="9.5" style="82" customWidth="1"/>
    <col min="9599" max="9616" width="5.83203125" style="82" customWidth="1"/>
    <col min="9617" max="9824" width="3.5" style="82"/>
    <col min="9825" max="9842" width="5.83203125" style="82" customWidth="1"/>
    <col min="9843" max="9843" width="7.33203125" style="82" customWidth="1"/>
    <col min="9844" max="9853" width="5.83203125" style="82" customWidth="1"/>
    <col min="9854" max="9854" width="9.5" style="82" customWidth="1"/>
    <col min="9855" max="9872" width="5.83203125" style="82" customWidth="1"/>
    <col min="9873" max="10080" width="3.5" style="82"/>
    <col min="10081" max="10098" width="5.83203125" style="82" customWidth="1"/>
    <col min="10099" max="10099" width="7.33203125" style="82" customWidth="1"/>
    <col min="10100" max="10109" width="5.83203125" style="82" customWidth="1"/>
    <col min="10110" max="10110" width="9.5" style="82" customWidth="1"/>
    <col min="10111" max="10128" width="5.83203125" style="82" customWidth="1"/>
    <col min="10129" max="10336" width="3.5" style="82"/>
    <col min="10337" max="10354" width="5.83203125" style="82" customWidth="1"/>
    <col min="10355" max="10355" width="7.33203125" style="82" customWidth="1"/>
    <col min="10356" max="10365" width="5.83203125" style="82" customWidth="1"/>
    <col min="10366" max="10366" width="9.5" style="82" customWidth="1"/>
    <col min="10367" max="10384" width="5.83203125" style="82" customWidth="1"/>
    <col min="10385" max="10592" width="3.5" style="82"/>
    <col min="10593" max="10610" width="5.83203125" style="82" customWidth="1"/>
    <col min="10611" max="10611" width="7.33203125" style="82" customWidth="1"/>
    <col min="10612" max="10621" width="5.83203125" style="82" customWidth="1"/>
    <col min="10622" max="10622" width="9.5" style="82" customWidth="1"/>
    <col min="10623" max="10640" width="5.83203125" style="82" customWidth="1"/>
    <col min="10641" max="10848" width="3.5" style="82"/>
    <col min="10849" max="10866" width="5.83203125" style="82" customWidth="1"/>
    <col min="10867" max="10867" width="7.33203125" style="82" customWidth="1"/>
    <col min="10868" max="10877" width="5.83203125" style="82" customWidth="1"/>
    <col min="10878" max="10878" width="9.5" style="82" customWidth="1"/>
    <col min="10879" max="10896" width="5.83203125" style="82" customWidth="1"/>
    <col min="10897" max="11104" width="3.5" style="82"/>
    <col min="11105" max="11122" width="5.83203125" style="82" customWidth="1"/>
    <col min="11123" max="11123" width="7.33203125" style="82" customWidth="1"/>
    <col min="11124" max="11133" width="5.83203125" style="82" customWidth="1"/>
    <col min="11134" max="11134" width="9.5" style="82" customWidth="1"/>
    <col min="11135" max="11152" width="5.83203125" style="82" customWidth="1"/>
    <col min="11153" max="11360" width="3.5" style="82"/>
    <col min="11361" max="11378" width="5.83203125" style="82" customWidth="1"/>
    <col min="11379" max="11379" width="7.33203125" style="82" customWidth="1"/>
    <col min="11380" max="11389" width="5.83203125" style="82" customWidth="1"/>
    <col min="11390" max="11390" width="9.5" style="82" customWidth="1"/>
    <col min="11391" max="11408" width="5.83203125" style="82" customWidth="1"/>
    <col min="11409" max="11616" width="3.5" style="82"/>
    <col min="11617" max="11634" width="5.83203125" style="82" customWidth="1"/>
    <col min="11635" max="11635" width="7.33203125" style="82" customWidth="1"/>
    <col min="11636" max="11645" width="5.83203125" style="82" customWidth="1"/>
    <col min="11646" max="11646" width="9.5" style="82" customWidth="1"/>
    <col min="11647" max="11664" width="5.83203125" style="82" customWidth="1"/>
    <col min="11665" max="11872" width="3.5" style="82"/>
    <col min="11873" max="11890" width="5.83203125" style="82" customWidth="1"/>
    <col min="11891" max="11891" width="7.33203125" style="82" customWidth="1"/>
    <col min="11892" max="11901" width="5.83203125" style="82" customWidth="1"/>
    <col min="11902" max="11902" width="9.5" style="82" customWidth="1"/>
    <col min="11903" max="11920" width="5.83203125" style="82" customWidth="1"/>
    <col min="11921" max="12128" width="3.5" style="82"/>
    <col min="12129" max="12146" width="5.83203125" style="82" customWidth="1"/>
    <col min="12147" max="12147" width="7.33203125" style="82" customWidth="1"/>
    <col min="12148" max="12157" width="5.83203125" style="82" customWidth="1"/>
    <col min="12158" max="12158" width="9.5" style="82" customWidth="1"/>
    <col min="12159" max="12176" width="5.83203125" style="82" customWidth="1"/>
    <col min="12177" max="12384" width="3.5" style="82"/>
    <col min="12385" max="12402" width="5.83203125" style="82" customWidth="1"/>
    <col min="12403" max="12403" width="7.33203125" style="82" customWidth="1"/>
    <col min="12404" max="12413" width="5.83203125" style="82" customWidth="1"/>
    <col min="12414" max="12414" width="9.5" style="82" customWidth="1"/>
    <col min="12415" max="12432" width="5.83203125" style="82" customWidth="1"/>
    <col min="12433" max="12640" width="3.5" style="82"/>
    <col min="12641" max="12658" width="5.83203125" style="82" customWidth="1"/>
    <col min="12659" max="12659" width="7.33203125" style="82" customWidth="1"/>
    <col min="12660" max="12669" width="5.83203125" style="82" customWidth="1"/>
    <col min="12670" max="12670" width="9.5" style="82" customWidth="1"/>
    <col min="12671" max="12688" width="5.83203125" style="82" customWidth="1"/>
    <col min="12689" max="12896" width="3.5" style="82"/>
    <col min="12897" max="12914" width="5.83203125" style="82" customWidth="1"/>
    <col min="12915" max="12915" width="7.33203125" style="82" customWidth="1"/>
    <col min="12916" max="12925" width="5.83203125" style="82" customWidth="1"/>
    <col min="12926" max="12926" width="9.5" style="82" customWidth="1"/>
    <col min="12927" max="12944" width="5.83203125" style="82" customWidth="1"/>
    <col min="12945" max="13152" width="3.5" style="82"/>
    <col min="13153" max="13170" width="5.83203125" style="82" customWidth="1"/>
    <col min="13171" max="13171" width="7.33203125" style="82" customWidth="1"/>
    <col min="13172" max="13181" width="5.83203125" style="82" customWidth="1"/>
    <col min="13182" max="13182" width="9.5" style="82" customWidth="1"/>
    <col min="13183" max="13200" width="5.83203125" style="82" customWidth="1"/>
    <col min="13201" max="13408" width="3.5" style="82"/>
    <col min="13409" max="13426" width="5.83203125" style="82" customWidth="1"/>
    <col min="13427" max="13427" width="7.33203125" style="82" customWidth="1"/>
    <col min="13428" max="13437" width="5.83203125" style="82" customWidth="1"/>
    <col min="13438" max="13438" width="9.5" style="82" customWidth="1"/>
    <col min="13439" max="13456" width="5.83203125" style="82" customWidth="1"/>
    <col min="13457" max="13664" width="3.5" style="82"/>
    <col min="13665" max="13682" width="5.83203125" style="82" customWidth="1"/>
    <col min="13683" max="13683" width="7.33203125" style="82" customWidth="1"/>
    <col min="13684" max="13693" width="5.83203125" style="82" customWidth="1"/>
    <col min="13694" max="13694" width="9.5" style="82" customWidth="1"/>
    <col min="13695" max="13712" width="5.83203125" style="82" customWidth="1"/>
    <col min="13713" max="13920" width="3.5" style="82"/>
    <col min="13921" max="13938" width="5.83203125" style="82" customWidth="1"/>
    <col min="13939" max="13939" width="7.33203125" style="82" customWidth="1"/>
    <col min="13940" max="13949" width="5.83203125" style="82" customWidth="1"/>
    <col min="13950" max="13950" width="9.5" style="82" customWidth="1"/>
    <col min="13951" max="13968" width="5.83203125" style="82" customWidth="1"/>
    <col min="13969" max="14176" width="3.5" style="82"/>
    <col min="14177" max="14194" width="5.83203125" style="82" customWidth="1"/>
    <col min="14195" max="14195" width="7.33203125" style="82" customWidth="1"/>
    <col min="14196" max="14205" width="5.83203125" style="82" customWidth="1"/>
    <col min="14206" max="14206" width="9.5" style="82" customWidth="1"/>
    <col min="14207" max="14224" width="5.83203125" style="82" customWidth="1"/>
    <col min="14225" max="14432" width="3.5" style="82"/>
    <col min="14433" max="14450" width="5.83203125" style="82" customWidth="1"/>
    <col min="14451" max="14451" width="7.33203125" style="82" customWidth="1"/>
    <col min="14452" max="14461" width="5.83203125" style="82" customWidth="1"/>
    <col min="14462" max="14462" width="9.5" style="82" customWidth="1"/>
    <col min="14463" max="14480" width="5.83203125" style="82" customWidth="1"/>
    <col min="14481" max="14688" width="3.5" style="82"/>
    <col min="14689" max="14706" width="5.83203125" style="82" customWidth="1"/>
    <col min="14707" max="14707" width="7.33203125" style="82" customWidth="1"/>
    <col min="14708" max="14717" width="5.83203125" style="82" customWidth="1"/>
    <col min="14718" max="14718" width="9.5" style="82" customWidth="1"/>
    <col min="14719" max="14736" width="5.83203125" style="82" customWidth="1"/>
    <col min="14737" max="14944" width="3.5" style="82"/>
    <col min="14945" max="14962" width="5.83203125" style="82" customWidth="1"/>
    <col min="14963" max="14963" width="7.33203125" style="82" customWidth="1"/>
    <col min="14964" max="14973" width="5.83203125" style="82" customWidth="1"/>
    <col min="14974" max="14974" width="9.5" style="82" customWidth="1"/>
    <col min="14975" max="14992" width="5.83203125" style="82" customWidth="1"/>
    <col min="14993" max="15200" width="3.5" style="82"/>
    <col min="15201" max="15218" width="5.83203125" style="82" customWidth="1"/>
    <col min="15219" max="15219" width="7.33203125" style="82" customWidth="1"/>
    <col min="15220" max="15229" width="5.83203125" style="82" customWidth="1"/>
    <col min="15230" max="15230" width="9.5" style="82" customWidth="1"/>
    <col min="15231" max="15248" width="5.83203125" style="82" customWidth="1"/>
    <col min="15249" max="15456" width="3.5" style="82"/>
    <col min="15457" max="15474" width="5.83203125" style="82" customWidth="1"/>
    <col min="15475" max="15475" width="7.33203125" style="82" customWidth="1"/>
    <col min="15476" max="15485" width="5.83203125" style="82" customWidth="1"/>
    <col min="15486" max="15486" width="9.5" style="82" customWidth="1"/>
    <col min="15487" max="15504" width="5.83203125" style="82" customWidth="1"/>
    <col min="15505" max="15712" width="3.5" style="82"/>
    <col min="15713" max="15730" width="5.83203125" style="82" customWidth="1"/>
    <col min="15731" max="15731" width="7.33203125" style="82" customWidth="1"/>
    <col min="15732" max="15741" width="5.83203125" style="82" customWidth="1"/>
    <col min="15742" max="15742" width="9.5" style="82" customWidth="1"/>
    <col min="15743" max="15760" width="5.83203125" style="82" customWidth="1"/>
    <col min="15761" max="15968" width="3.5" style="82"/>
    <col min="15969" max="15986" width="5.83203125" style="82" customWidth="1"/>
    <col min="15987" max="15987" width="7.33203125" style="82" customWidth="1"/>
    <col min="15988" max="15997" width="5.83203125" style="82" customWidth="1"/>
    <col min="15998" max="15998" width="9.5" style="82" customWidth="1"/>
    <col min="15999" max="16016" width="5.83203125" style="82" customWidth="1"/>
    <col min="16017" max="16384" width="3.5" style="82"/>
  </cols>
  <sheetData>
    <row r="1" spans="1:8" s="81" customFormat="1" ht="30">
      <c r="B1" s="361" t="s">
        <v>265</v>
      </c>
      <c r="C1" s="361"/>
      <c r="D1" s="361"/>
      <c r="E1" s="159"/>
      <c r="F1" s="178"/>
      <c r="G1" s="159"/>
      <c r="H1" s="178"/>
    </row>
    <row r="2" spans="1:8" s="83" customFormat="1" ht="30">
      <c r="A2" s="178"/>
      <c r="B2" s="178"/>
      <c r="C2" s="178"/>
      <c r="D2" s="178"/>
      <c r="E2" s="178"/>
      <c r="F2" s="178"/>
      <c r="G2" s="178"/>
      <c r="H2" s="178"/>
    </row>
    <row r="3" spans="1:8" s="83" customFormat="1" ht="30">
      <c r="A3" s="362" t="s">
        <v>266</v>
      </c>
      <c r="B3" s="363"/>
      <c r="C3" s="364" t="s">
        <v>267</v>
      </c>
      <c r="D3" s="365"/>
      <c r="E3" s="364" t="s">
        <v>268</v>
      </c>
      <c r="F3" s="365"/>
      <c r="G3" s="179"/>
      <c r="H3" s="180" t="s">
        <v>269</v>
      </c>
    </row>
    <row r="4" spans="1:8" s="118" customFormat="1" ht="33" customHeight="1">
      <c r="A4" s="181" t="s">
        <v>270</v>
      </c>
      <c r="B4" s="182" t="s">
        <v>271</v>
      </c>
      <c r="C4" s="181" t="s">
        <v>270</v>
      </c>
      <c r="D4" s="183"/>
      <c r="E4" s="184" t="s">
        <v>270</v>
      </c>
      <c r="F4" s="183"/>
      <c r="G4" s="184" t="s">
        <v>270</v>
      </c>
      <c r="H4" s="183"/>
    </row>
    <row r="5" spans="1:8" s="118" customFormat="1" ht="33" customHeight="1">
      <c r="A5" s="184" t="s">
        <v>270</v>
      </c>
      <c r="B5" s="182" t="s">
        <v>272</v>
      </c>
      <c r="C5" s="184" t="s">
        <v>270</v>
      </c>
      <c r="D5" s="183"/>
      <c r="E5" s="184" t="s">
        <v>270</v>
      </c>
      <c r="F5" s="183"/>
      <c r="G5" s="184" t="s">
        <v>270</v>
      </c>
      <c r="H5" s="183"/>
    </row>
    <row r="6" spans="1:8" s="118" customFormat="1" ht="33" customHeight="1">
      <c r="A6" s="184" t="s">
        <v>270</v>
      </c>
      <c r="B6" s="182" t="s">
        <v>273</v>
      </c>
      <c r="C6" s="184" t="s">
        <v>270</v>
      </c>
      <c r="D6" s="183"/>
      <c r="E6" s="184" t="s">
        <v>270</v>
      </c>
      <c r="F6" s="183"/>
      <c r="G6" s="184" t="s">
        <v>270</v>
      </c>
      <c r="H6" s="183"/>
    </row>
    <row r="7" spans="1:8" s="118" customFormat="1" ht="33" customHeight="1">
      <c r="A7" s="184" t="s">
        <v>270</v>
      </c>
      <c r="B7" s="182" t="s">
        <v>274</v>
      </c>
      <c r="C7" s="184" t="s">
        <v>270</v>
      </c>
      <c r="D7" s="183"/>
      <c r="E7" s="184" t="s">
        <v>270</v>
      </c>
      <c r="F7" s="183"/>
      <c r="G7" s="184" t="s">
        <v>270</v>
      </c>
      <c r="H7" s="183"/>
    </row>
    <row r="8" spans="1:8" s="118" customFormat="1" ht="33" customHeight="1">
      <c r="A8" s="184" t="s">
        <v>270</v>
      </c>
      <c r="B8" s="182" t="s">
        <v>275</v>
      </c>
      <c r="C8" s="184" t="s">
        <v>270</v>
      </c>
      <c r="D8" s="183"/>
      <c r="E8" s="184" t="s">
        <v>270</v>
      </c>
      <c r="F8" s="183"/>
      <c r="G8" s="184" t="s">
        <v>270</v>
      </c>
      <c r="H8" s="183"/>
    </row>
    <row r="9" spans="1:8" s="118" customFormat="1" ht="33" customHeight="1">
      <c r="A9" s="184"/>
      <c r="B9" s="182"/>
      <c r="C9" s="184" t="s">
        <v>270</v>
      </c>
      <c r="D9" s="183"/>
      <c r="E9" s="184" t="s">
        <v>270</v>
      </c>
      <c r="F9" s="183"/>
      <c r="G9" s="184" t="s">
        <v>270</v>
      </c>
      <c r="H9" s="183"/>
    </row>
    <row r="10" spans="1:8" s="118" customFormat="1" ht="33" customHeight="1">
      <c r="A10" s="184"/>
      <c r="B10" s="182"/>
      <c r="C10" s="184" t="s">
        <v>270</v>
      </c>
      <c r="D10" s="183"/>
      <c r="E10" s="184" t="s">
        <v>270</v>
      </c>
      <c r="F10" s="183"/>
      <c r="G10" s="184" t="s">
        <v>270</v>
      </c>
      <c r="H10" s="183"/>
    </row>
    <row r="11" spans="1:8" s="118" customFormat="1" ht="33" customHeight="1">
      <c r="A11" s="184"/>
      <c r="B11" s="182"/>
      <c r="C11" s="184" t="s">
        <v>270</v>
      </c>
      <c r="D11" s="183"/>
      <c r="E11" s="184" t="s">
        <v>270</v>
      </c>
      <c r="F11" s="183"/>
      <c r="G11" s="184" t="s">
        <v>270</v>
      </c>
      <c r="H11" s="183"/>
    </row>
    <row r="12" spans="1:8" s="118" customFormat="1" ht="33" customHeight="1">
      <c r="A12" s="184"/>
      <c r="B12" s="182"/>
      <c r="C12" s="184" t="s">
        <v>270</v>
      </c>
      <c r="D12" s="183"/>
      <c r="E12" s="184" t="s">
        <v>270</v>
      </c>
      <c r="F12" s="183"/>
      <c r="G12" s="184" t="s">
        <v>270</v>
      </c>
      <c r="H12" s="183"/>
    </row>
    <row r="13" spans="1:8" s="118" customFormat="1" ht="33" customHeight="1">
      <c r="A13" s="184"/>
      <c r="B13" s="182"/>
      <c r="C13" s="184" t="s">
        <v>270</v>
      </c>
      <c r="D13" s="183"/>
      <c r="E13" s="184" t="s">
        <v>270</v>
      </c>
      <c r="F13" s="183"/>
      <c r="G13" s="184" t="s">
        <v>270</v>
      </c>
      <c r="H13" s="183"/>
    </row>
    <row r="14" spans="1:8" s="118" customFormat="1" ht="33" customHeight="1">
      <c r="A14" s="184"/>
      <c r="B14" s="182"/>
      <c r="C14" s="184"/>
      <c r="D14" s="183"/>
      <c r="E14" s="184"/>
      <c r="F14" s="183"/>
      <c r="G14" s="184"/>
      <c r="H14" s="183"/>
    </row>
    <row r="15" spans="1:8" ht="32.25" customHeight="1">
      <c r="A15" s="185"/>
      <c r="B15" s="186"/>
      <c r="C15" s="185"/>
      <c r="D15" s="187"/>
      <c r="E15" s="185"/>
      <c r="F15" s="187"/>
      <c r="G15" s="185"/>
      <c r="H15" s="187"/>
    </row>
    <row r="16" spans="1:8" ht="32.25" customHeight="1"/>
    <row r="17" spans="1:2" ht="21">
      <c r="A17" s="188" t="s">
        <v>276</v>
      </c>
    </row>
    <row r="18" spans="1:2" ht="21">
      <c r="A18" s="188"/>
    </row>
    <row r="19" spans="1:2" ht="36.75" customHeight="1">
      <c r="B19" s="189" t="s">
        <v>277</v>
      </c>
    </row>
    <row r="20" spans="1:2" ht="36.75" customHeight="1">
      <c r="B20" s="189" t="s">
        <v>278</v>
      </c>
    </row>
    <row r="21" spans="1:2" ht="36.75" customHeight="1">
      <c r="B21" s="189" t="s">
        <v>279</v>
      </c>
    </row>
    <row r="22" spans="1:2" ht="36.75" customHeight="1">
      <c r="B22" s="189" t="s">
        <v>280</v>
      </c>
    </row>
    <row r="23" spans="1:2" ht="23.45">
      <c r="B23" s="189"/>
    </row>
    <row r="24" spans="1:2" ht="23.45">
      <c r="B24" s="190" t="s">
        <v>281</v>
      </c>
    </row>
  </sheetData>
  <mergeCells count="4">
    <mergeCell ref="B1:D1"/>
    <mergeCell ref="A3:B3"/>
    <mergeCell ref="C3:D3"/>
    <mergeCell ref="E3:F3"/>
  </mergeCells>
  <phoneticPr fontId="26"/>
  <dataValidations count="1">
    <dataValidation type="list" allowBlank="1" showInputMessage="1" showErrorMessage="1" sqref="WGM982982 WGM851910 WQI851910 DW917446 NS917446 XO917446 AHK917446 ARG917446 BBC917446 BKY917446 BUU917446 CEQ917446 COM917446 CYI917446 DIE917446 DSA917446 EBW917446 ELS917446 EVO917446 FFK917446 FPG917446 FZC917446 GIY917446 GSU917446 HCQ917446 HMM917446 HWI917446 IGE917446 IQA917446 IZW917446 JJS917446 JTO917446 KDK917446 KNG917446 KXC917446 LGY917446 LQU917446 MAQ917446 MKM917446 MUI917446 NEE917446 NOA917446 NXW917446 OHS917446 ORO917446 PBK917446 PLG917446 PVC917446 QEY917446 QOU917446 QYQ917446 RIM917446 RSI917446 SCE917446 SMA917446 SVW917446 TFS917446 TPO917446 TZK917446 UJG917446 UTC917446 VCY917446 VMU917446 VWQ917446 DN65478:DU65478 NJ65478:NQ65478 XF65478:XM65478 AHB65478:AHI65478 AQX65478:ARE65478 BAT65478:BBA65478 BKP65478:BKW65478 BUL65478:BUS65478 CEH65478:CEO65478 COD65478:COK65478 CXZ65478:CYG65478 DHV65478:DIC65478 DRR65478:DRY65478 EBN65478:EBU65478 ELJ65478:ELQ65478 EVF65478:EVM65478 FFB65478:FFI65478 FOX65478:FPE65478 FYT65478:FZA65478 GIP65478:GIW65478 GSL65478:GSS65478 HCH65478:HCO65478 HMD65478:HMK65478 HVZ65478:HWG65478 IFV65478:IGC65478 IPR65478:IPY65478 IZN65478:IZU65478 JJJ65478:JJQ65478 JTF65478:JTM65478 KDB65478:KDI65478 KMX65478:KNE65478 KWT65478:KXA65478 LGP65478:LGW65478 LQL65478:LQS65478 MAH65478:MAO65478 MKD65478:MKK65478 MTZ65478:MUG65478 NDV65478:NEC65478 NNR65478:NNY65478 NXN65478:NXU65478 OHJ65478:OHQ65478 ORF65478:ORM65478 PBB65478:PBI65478 PKX65478:PLE65478 PUT65478:PVA65478 QEP65478:QEW65478 QOL65478:QOS65478 QYH65478:QYO65478 RID65478:RIK65478 RRZ65478:RSG65478 SBV65478:SCC65478 SLR65478:SLY65478 SVN65478:SVU65478 TFJ65478:TFQ65478 TPF65478:TPM65478 TZB65478:TZI65478 UIX65478:UJE65478 UST65478:UTA65478 VCP65478:VCW65478 VML65478:VMS65478 VWH65478:VWO65478 WGD65478:WGK65478 WPZ65478:WQG65478 DN131014:DU131014 NJ131014:NQ131014 XF131014:XM131014 AHB131014:AHI131014 AQX131014:ARE131014 BAT131014:BBA131014 BKP131014:BKW131014 BUL131014:BUS131014 CEH131014:CEO131014 COD131014:COK131014 CXZ131014:CYG131014 DHV131014:DIC131014 DRR131014:DRY131014 EBN131014:EBU131014 ELJ131014:ELQ131014 EVF131014:EVM131014 FFB131014:FFI131014 FOX131014:FPE131014 FYT131014:FZA131014 GIP131014:GIW131014 GSL131014:GSS131014 HCH131014:HCO131014 HMD131014:HMK131014 HVZ131014:HWG131014 IFV131014:IGC131014 IPR131014:IPY131014 IZN131014:IZU131014 JJJ131014:JJQ131014 JTF131014:JTM131014 KDB131014:KDI131014 KMX131014:KNE131014 KWT131014:KXA131014 LGP131014:LGW131014 LQL131014:LQS131014 MAH131014:MAO131014 MKD131014:MKK131014 MTZ131014:MUG131014 NDV131014:NEC131014 NNR131014:NNY131014 NXN131014:NXU131014 OHJ131014:OHQ131014 ORF131014:ORM131014 PBB131014:PBI131014 PKX131014:PLE131014 PUT131014:PVA131014 QEP131014:QEW131014 QOL131014:QOS131014 QYH131014:QYO131014 RID131014:RIK131014 RRZ131014:RSG131014 SBV131014:SCC131014 SLR131014:SLY131014 SVN131014:SVU131014 TFJ131014:TFQ131014 TPF131014:TPM131014 TZB131014:TZI131014 UIX131014:UJE131014 UST131014:UTA131014 VCP131014:VCW131014 VML131014:VMS131014 VWH131014:VWO131014 WGD131014:WGK131014 WPZ131014:WQG131014 DN196550:DU196550 NJ196550:NQ196550 XF196550:XM196550 AHB196550:AHI196550 AQX196550:ARE196550 BAT196550:BBA196550 BKP196550:BKW196550 BUL196550:BUS196550 CEH196550:CEO196550 COD196550:COK196550 CXZ196550:CYG196550 DHV196550:DIC196550 DRR196550:DRY196550 EBN196550:EBU196550 ELJ196550:ELQ196550 EVF196550:EVM196550 FFB196550:FFI196550 FOX196550:FPE196550 FYT196550:FZA196550 GIP196550:GIW196550 GSL196550:GSS196550 HCH196550:HCO196550 HMD196550:HMK196550 HVZ196550:HWG196550 IFV196550:IGC196550 IPR196550:IPY196550 IZN196550:IZU196550 JJJ196550:JJQ196550 JTF196550:JTM196550 KDB196550:KDI196550 KMX196550:KNE196550 KWT196550:KXA196550 LGP196550:LGW196550 LQL196550:LQS196550 MAH196550:MAO196550 MKD196550:MKK196550 MTZ196550:MUG196550 NDV196550:NEC196550 NNR196550:NNY196550 NXN196550:NXU196550 OHJ196550:OHQ196550 ORF196550:ORM196550 PBB196550:PBI196550 PKX196550:PLE196550 PUT196550:PVA196550 QEP196550:QEW196550 QOL196550:QOS196550 QYH196550:QYO196550 RID196550:RIK196550 RRZ196550:RSG196550 SBV196550:SCC196550 SLR196550:SLY196550 SVN196550:SVU196550 TFJ196550:TFQ196550 TPF196550:TPM196550 TZB196550:TZI196550 UIX196550:UJE196550 UST196550:UTA196550 VCP196550:VCW196550 VML196550:VMS196550 VWH196550:VWO196550 WGD196550:WGK196550 WPZ196550:WQG196550 DN262086:DU262086 NJ262086:NQ262086 XF262086:XM262086 AHB262086:AHI262086 AQX262086:ARE262086 BAT262086:BBA262086 BKP262086:BKW262086 BUL262086:BUS262086 CEH262086:CEO262086 COD262086:COK262086 CXZ262086:CYG262086 DHV262086:DIC262086 DRR262086:DRY262086 EBN262086:EBU262086 ELJ262086:ELQ262086 EVF262086:EVM262086 FFB262086:FFI262086 FOX262086:FPE262086 FYT262086:FZA262086 GIP262086:GIW262086 GSL262086:GSS262086 HCH262086:HCO262086 HMD262086:HMK262086 HVZ262086:HWG262086 IFV262086:IGC262086 IPR262086:IPY262086 IZN262086:IZU262086 JJJ262086:JJQ262086 JTF262086:JTM262086 KDB262086:KDI262086 KMX262086:KNE262086 KWT262086:KXA262086 LGP262086:LGW262086 LQL262086:LQS262086 MAH262086:MAO262086 MKD262086:MKK262086 MTZ262086:MUG262086 NDV262086:NEC262086 NNR262086:NNY262086 NXN262086:NXU262086 OHJ262086:OHQ262086 ORF262086:ORM262086 PBB262086:PBI262086 PKX262086:PLE262086 PUT262086:PVA262086 QEP262086:QEW262086 QOL262086:QOS262086 QYH262086:QYO262086 RID262086:RIK262086 RRZ262086:RSG262086 SBV262086:SCC262086 SLR262086:SLY262086 SVN262086:SVU262086 TFJ262086:TFQ262086 TPF262086:TPM262086 TZB262086:TZI262086 UIX262086:UJE262086 UST262086:UTA262086 VCP262086:VCW262086 VML262086:VMS262086 VWH262086:VWO262086 WGD262086:WGK262086 WPZ262086:WQG262086 DN327622:DU327622 NJ327622:NQ327622 XF327622:XM327622 AHB327622:AHI327622 AQX327622:ARE327622 BAT327622:BBA327622 BKP327622:BKW327622 BUL327622:BUS327622 CEH327622:CEO327622 COD327622:COK327622 CXZ327622:CYG327622 DHV327622:DIC327622 DRR327622:DRY327622 EBN327622:EBU327622 ELJ327622:ELQ327622 EVF327622:EVM327622 FFB327622:FFI327622 FOX327622:FPE327622 FYT327622:FZA327622 GIP327622:GIW327622 GSL327622:GSS327622 HCH327622:HCO327622 HMD327622:HMK327622 HVZ327622:HWG327622 IFV327622:IGC327622 IPR327622:IPY327622 IZN327622:IZU327622 JJJ327622:JJQ327622 JTF327622:JTM327622 KDB327622:KDI327622 KMX327622:KNE327622 KWT327622:KXA327622 LGP327622:LGW327622 LQL327622:LQS327622 MAH327622:MAO327622 MKD327622:MKK327622 MTZ327622:MUG327622 NDV327622:NEC327622 NNR327622:NNY327622 NXN327622:NXU327622 OHJ327622:OHQ327622 ORF327622:ORM327622 PBB327622:PBI327622 PKX327622:PLE327622 PUT327622:PVA327622 QEP327622:QEW327622 QOL327622:QOS327622 QYH327622:QYO327622 RID327622:RIK327622 RRZ327622:RSG327622 SBV327622:SCC327622 SLR327622:SLY327622 SVN327622:SVU327622 TFJ327622:TFQ327622 TPF327622:TPM327622 TZB327622:TZI327622 UIX327622:UJE327622 UST327622:UTA327622 VCP327622:VCW327622 VML327622:VMS327622 VWH327622:VWO327622 WGD327622:WGK327622 WPZ327622:WQG327622 DN393158:DU393158 NJ393158:NQ393158 XF393158:XM393158 AHB393158:AHI393158 AQX393158:ARE393158 BAT393158:BBA393158 BKP393158:BKW393158 BUL393158:BUS393158 CEH393158:CEO393158 COD393158:COK393158 CXZ393158:CYG393158 DHV393158:DIC393158 DRR393158:DRY393158 EBN393158:EBU393158 ELJ393158:ELQ393158 EVF393158:EVM393158 FFB393158:FFI393158 FOX393158:FPE393158 FYT393158:FZA393158 GIP393158:GIW393158 GSL393158:GSS393158 HCH393158:HCO393158 HMD393158:HMK393158 HVZ393158:HWG393158 IFV393158:IGC393158 IPR393158:IPY393158 IZN393158:IZU393158 JJJ393158:JJQ393158 JTF393158:JTM393158 KDB393158:KDI393158 KMX393158:KNE393158 KWT393158:KXA393158 LGP393158:LGW393158 LQL393158:LQS393158 MAH393158:MAO393158 MKD393158:MKK393158 MTZ393158:MUG393158 NDV393158:NEC393158 NNR393158:NNY393158 NXN393158:NXU393158 OHJ393158:OHQ393158 ORF393158:ORM393158 PBB393158:PBI393158 PKX393158:PLE393158 PUT393158:PVA393158 QEP393158:QEW393158 QOL393158:QOS393158 QYH393158:QYO393158 RID393158:RIK393158 RRZ393158:RSG393158 SBV393158:SCC393158 SLR393158:SLY393158 SVN393158:SVU393158 TFJ393158:TFQ393158 TPF393158:TPM393158 TZB393158:TZI393158 UIX393158:UJE393158 UST393158:UTA393158 VCP393158:VCW393158 VML393158:VMS393158 VWH393158:VWO393158 WGD393158:WGK393158 WPZ393158:WQG393158 DN458694:DU458694 NJ458694:NQ458694 XF458694:XM458694 AHB458694:AHI458694 AQX458694:ARE458694 BAT458694:BBA458694 BKP458694:BKW458694 BUL458694:BUS458694 CEH458694:CEO458694 COD458694:COK458694 CXZ458694:CYG458694 DHV458694:DIC458694 DRR458694:DRY458694 EBN458694:EBU458694 ELJ458694:ELQ458694 EVF458694:EVM458694 FFB458694:FFI458694 FOX458694:FPE458694 FYT458694:FZA458694 GIP458694:GIW458694 GSL458694:GSS458694 HCH458694:HCO458694 HMD458694:HMK458694 HVZ458694:HWG458694 IFV458694:IGC458694 IPR458694:IPY458694 IZN458694:IZU458694 JJJ458694:JJQ458694 JTF458694:JTM458694 KDB458694:KDI458694 KMX458694:KNE458694 KWT458694:KXA458694 LGP458694:LGW458694 LQL458694:LQS458694 MAH458694:MAO458694 MKD458694:MKK458694 MTZ458694:MUG458694 NDV458694:NEC458694 NNR458694:NNY458694 NXN458694:NXU458694 OHJ458694:OHQ458694 ORF458694:ORM458694 PBB458694:PBI458694 PKX458694:PLE458694 PUT458694:PVA458694 QEP458694:QEW458694 QOL458694:QOS458694 QYH458694:QYO458694 RID458694:RIK458694 RRZ458694:RSG458694 SBV458694:SCC458694 SLR458694:SLY458694 SVN458694:SVU458694 TFJ458694:TFQ458694 TPF458694:TPM458694 TZB458694:TZI458694 UIX458694:UJE458694 UST458694:UTA458694 VCP458694:VCW458694 VML458694:VMS458694 VWH458694:VWO458694 WGD458694:WGK458694 WPZ458694:WQG458694 DN524230:DU524230 NJ524230:NQ524230 XF524230:XM524230 AHB524230:AHI524230 AQX524230:ARE524230 BAT524230:BBA524230 BKP524230:BKW524230 BUL524230:BUS524230 CEH524230:CEO524230 COD524230:COK524230 CXZ524230:CYG524230 DHV524230:DIC524230 DRR524230:DRY524230 EBN524230:EBU524230 ELJ524230:ELQ524230 EVF524230:EVM524230 FFB524230:FFI524230 FOX524230:FPE524230 FYT524230:FZA524230 GIP524230:GIW524230 GSL524230:GSS524230 HCH524230:HCO524230 HMD524230:HMK524230 HVZ524230:HWG524230 IFV524230:IGC524230 IPR524230:IPY524230 IZN524230:IZU524230 JJJ524230:JJQ524230 JTF524230:JTM524230 KDB524230:KDI524230 KMX524230:KNE524230 KWT524230:KXA524230 LGP524230:LGW524230 LQL524230:LQS524230 MAH524230:MAO524230 MKD524230:MKK524230 MTZ524230:MUG524230 NDV524230:NEC524230 NNR524230:NNY524230 NXN524230:NXU524230 OHJ524230:OHQ524230 ORF524230:ORM524230 PBB524230:PBI524230 PKX524230:PLE524230 PUT524230:PVA524230 QEP524230:QEW524230 QOL524230:QOS524230 QYH524230:QYO524230 RID524230:RIK524230 RRZ524230:RSG524230 SBV524230:SCC524230 SLR524230:SLY524230 SVN524230:SVU524230 TFJ524230:TFQ524230 TPF524230:TPM524230 TZB524230:TZI524230 UIX524230:UJE524230 UST524230:UTA524230 VCP524230:VCW524230 VML524230:VMS524230 VWH524230:VWO524230 WGD524230:WGK524230 WPZ524230:WQG524230 DN589766:DU589766 NJ589766:NQ589766 XF589766:XM589766 AHB589766:AHI589766 AQX589766:ARE589766 BAT589766:BBA589766 BKP589766:BKW589766 BUL589766:BUS589766 CEH589766:CEO589766 COD589766:COK589766 CXZ589766:CYG589766 DHV589766:DIC589766 DRR589766:DRY589766 EBN589766:EBU589766 ELJ589766:ELQ589766 EVF589766:EVM589766 FFB589766:FFI589766 FOX589766:FPE589766 FYT589766:FZA589766 GIP589766:GIW589766 GSL589766:GSS589766 HCH589766:HCO589766 HMD589766:HMK589766 HVZ589766:HWG589766 IFV589766:IGC589766 IPR589766:IPY589766 IZN589766:IZU589766 JJJ589766:JJQ589766 JTF589766:JTM589766 KDB589766:KDI589766 KMX589766:KNE589766 KWT589766:KXA589766 LGP589766:LGW589766 LQL589766:LQS589766 MAH589766:MAO589766 MKD589766:MKK589766 MTZ589766:MUG589766 NDV589766:NEC589766 NNR589766:NNY589766 NXN589766:NXU589766 OHJ589766:OHQ589766 ORF589766:ORM589766 PBB589766:PBI589766 PKX589766:PLE589766 PUT589766:PVA589766 QEP589766:QEW589766 QOL589766:QOS589766 QYH589766:QYO589766 RID589766:RIK589766 RRZ589766:RSG589766 SBV589766:SCC589766 SLR589766:SLY589766 SVN589766:SVU589766 TFJ589766:TFQ589766 TPF589766:TPM589766 TZB589766:TZI589766 UIX589766:UJE589766 UST589766:UTA589766 VCP589766:VCW589766 VML589766:VMS589766 VWH589766:VWO589766 WGD589766:WGK589766 WPZ589766:WQG589766 DN655302:DU655302 NJ655302:NQ655302 XF655302:XM655302 AHB655302:AHI655302 AQX655302:ARE655302 BAT655302:BBA655302 BKP655302:BKW655302 BUL655302:BUS655302 CEH655302:CEO655302 COD655302:COK655302 CXZ655302:CYG655302 DHV655302:DIC655302 DRR655302:DRY655302 EBN655302:EBU655302 ELJ655302:ELQ655302 EVF655302:EVM655302 FFB655302:FFI655302 FOX655302:FPE655302 FYT655302:FZA655302 GIP655302:GIW655302 GSL655302:GSS655302 HCH655302:HCO655302 HMD655302:HMK655302 HVZ655302:HWG655302 IFV655302:IGC655302 IPR655302:IPY655302 IZN655302:IZU655302 JJJ655302:JJQ655302 JTF655302:JTM655302 KDB655302:KDI655302 KMX655302:KNE655302 KWT655302:KXA655302 LGP655302:LGW655302 LQL655302:LQS655302 MAH655302:MAO655302 MKD655302:MKK655302 MTZ655302:MUG655302 NDV655302:NEC655302 NNR655302:NNY655302 NXN655302:NXU655302 OHJ655302:OHQ655302 ORF655302:ORM655302 PBB655302:PBI655302 PKX655302:PLE655302 PUT655302:PVA655302 QEP655302:QEW655302 QOL655302:QOS655302 QYH655302:QYO655302 RID655302:RIK655302 RRZ655302:RSG655302 SBV655302:SCC655302 SLR655302:SLY655302 SVN655302:SVU655302 TFJ655302:TFQ655302 TPF655302:TPM655302 TZB655302:TZI655302 UIX655302:UJE655302 UST655302:UTA655302 VCP655302:VCW655302 VML655302:VMS655302 VWH655302:VWO655302 WGD655302:WGK655302 WPZ655302:WQG655302 DN720838:DU720838 NJ720838:NQ720838 XF720838:XM720838 AHB720838:AHI720838 AQX720838:ARE720838 BAT720838:BBA720838 BKP720838:BKW720838 BUL720838:BUS720838 CEH720838:CEO720838 COD720838:COK720838 CXZ720838:CYG720838 DHV720838:DIC720838 DRR720838:DRY720838 EBN720838:EBU720838 ELJ720838:ELQ720838 EVF720838:EVM720838 FFB720838:FFI720838 FOX720838:FPE720838 FYT720838:FZA720838 GIP720838:GIW720838 GSL720838:GSS720838 HCH720838:HCO720838 HMD720838:HMK720838 HVZ720838:HWG720838 IFV720838:IGC720838 IPR720838:IPY720838 IZN720838:IZU720838 JJJ720838:JJQ720838 JTF720838:JTM720838 KDB720838:KDI720838 KMX720838:KNE720838 KWT720838:KXA720838 LGP720838:LGW720838 LQL720838:LQS720838 MAH720838:MAO720838 MKD720838:MKK720838 MTZ720838:MUG720838 NDV720838:NEC720838 NNR720838:NNY720838 NXN720838:NXU720838 OHJ720838:OHQ720838 ORF720838:ORM720838 PBB720838:PBI720838 PKX720838:PLE720838 PUT720838:PVA720838 QEP720838:QEW720838 QOL720838:QOS720838 QYH720838:QYO720838 RID720838:RIK720838 RRZ720838:RSG720838 SBV720838:SCC720838 SLR720838:SLY720838 SVN720838:SVU720838 TFJ720838:TFQ720838 TPF720838:TPM720838 TZB720838:TZI720838 UIX720838:UJE720838 UST720838:UTA720838 VCP720838:VCW720838 VML720838:VMS720838 VWH720838:VWO720838 WGD720838:WGK720838 WPZ720838:WQG720838 DN786374:DU786374 NJ786374:NQ786374 XF786374:XM786374 AHB786374:AHI786374 AQX786374:ARE786374 BAT786374:BBA786374 BKP786374:BKW786374 BUL786374:BUS786374 CEH786374:CEO786374 COD786374:COK786374 CXZ786374:CYG786374 DHV786374:DIC786374 DRR786374:DRY786374 EBN786374:EBU786374 ELJ786374:ELQ786374 EVF786374:EVM786374 FFB786374:FFI786374 FOX786374:FPE786374 FYT786374:FZA786374 GIP786374:GIW786374 GSL786374:GSS786374 HCH786374:HCO786374 HMD786374:HMK786374 HVZ786374:HWG786374 IFV786374:IGC786374 IPR786374:IPY786374 IZN786374:IZU786374 JJJ786374:JJQ786374 JTF786374:JTM786374 KDB786374:KDI786374 KMX786374:KNE786374 KWT786374:KXA786374 LGP786374:LGW786374 LQL786374:LQS786374 MAH786374:MAO786374 MKD786374:MKK786374 MTZ786374:MUG786374 NDV786374:NEC786374 NNR786374:NNY786374 NXN786374:NXU786374 OHJ786374:OHQ786374 ORF786374:ORM786374 PBB786374:PBI786374 PKX786374:PLE786374 PUT786374:PVA786374 QEP786374:QEW786374 QOL786374:QOS786374 QYH786374:QYO786374 RID786374:RIK786374 RRZ786374:RSG786374 SBV786374:SCC786374 SLR786374:SLY786374 SVN786374:SVU786374 TFJ786374:TFQ786374 TPF786374:TPM786374 TZB786374:TZI786374 UIX786374:UJE786374 UST786374:UTA786374 VCP786374:VCW786374 VML786374:VMS786374 VWH786374:VWO786374 WGD786374:WGK786374 WPZ786374:WQG786374 DN851910:DU851910 NJ851910:NQ851910 XF851910:XM851910 AHB851910:AHI851910 AQX851910:ARE851910 BAT851910:BBA851910 BKP851910:BKW851910 BUL851910:BUS851910 CEH851910:CEO851910 COD851910:COK851910 CXZ851910:CYG851910 DHV851910:DIC851910 DRR851910:DRY851910 EBN851910:EBU851910 ELJ851910:ELQ851910 EVF851910:EVM851910 FFB851910:FFI851910 FOX851910:FPE851910 FYT851910:FZA851910 GIP851910:GIW851910 GSL851910:GSS851910 HCH851910:HCO851910 HMD851910:HMK851910 HVZ851910:HWG851910 IFV851910:IGC851910 IPR851910:IPY851910 IZN851910:IZU851910 JJJ851910:JJQ851910 JTF851910:JTM851910 KDB851910:KDI851910 KMX851910:KNE851910 KWT851910:KXA851910 LGP851910:LGW851910 LQL851910:LQS851910 MAH851910:MAO851910 MKD851910:MKK851910 MTZ851910:MUG851910 NDV851910:NEC851910 NNR851910:NNY851910 NXN851910:NXU851910 OHJ851910:OHQ851910 ORF851910:ORM851910 PBB851910:PBI851910 PKX851910:PLE851910 PUT851910:PVA851910 QEP851910:QEW851910 QOL851910:QOS851910 QYH851910:QYO851910 RID851910:RIK851910 RRZ851910:RSG851910 SBV851910:SCC851910 SLR851910:SLY851910 SVN851910:SVU851910 TFJ851910:TFQ851910 TPF851910:TPM851910 TZB851910:TZI851910 UIX851910:UJE851910 UST851910:UTA851910 VCP851910:VCW851910 VML851910:VMS851910 VWH851910:VWO851910 WGD851910:WGK851910 WPZ851910:WQG851910 DN917446:DU917446 NJ917446:NQ917446 XF917446:XM917446 AHB917446:AHI917446 AQX917446:ARE917446 BAT917446:BBA917446 BKP917446:BKW917446 BUL917446:BUS917446 CEH917446:CEO917446 COD917446:COK917446 CXZ917446:CYG917446 DHV917446:DIC917446 DRR917446:DRY917446 EBN917446:EBU917446 ELJ917446:ELQ917446 EVF917446:EVM917446 FFB917446:FFI917446 FOX917446:FPE917446 FYT917446:FZA917446 GIP917446:GIW917446 GSL917446:GSS917446 HCH917446:HCO917446 HMD917446:HMK917446 HVZ917446:HWG917446 IFV917446:IGC917446 IPR917446:IPY917446 IZN917446:IZU917446 JJJ917446:JJQ917446 JTF917446:JTM917446 KDB917446:KDI917446 KMX917446:KNE917446 KWT917446:KXA917446 LGP917446:LGW917446 LQL917446:LQS917446 MAH917446:MAO917446 MKD917446:MKK917446 MTZ917446:MUG917446 NDV917446:NEC917446 NNR917446:NNY917446 NXN917446:NXU917446 OHJ917446:OHQ917446 ORF917446:ORM917446 PBB917446:PBI917446 PKX917446:PLE917446 PUT917446:PVA917446 QEP917446:QEW917446 QOL917446:QOS917446 QYH917446:QYO917446 RID917446:RIK917446 RRZ917446:RSG917446 SBV917446:SCC917446 SLR917446:SLY917446 SVN917446:SVU917446 TFJ917446:TFQ917446 TPF917446:TPM917446 TZB917446:TZI917446 UIX917446:UJE917446 UST917446:UTA917446 VCP917446:VCW917446 VML917446:VMS917446 VWH917446:VWO917446 WGD917446:WGK917446 WPZ917446:WQG917446 DN982982:DU982982 NJ982982:NQ982982 XF982982:XM982982 AHB982982:AHI982982 AQX982982:ARE982982 BAT982982:BBA982982 BKP982982:BKW982982 BUL982982:BUS982982 CEH982982:CEO982982 COD982982:COK982982 CXZ982982:CYG982982 DHV982982:DIC982982 DRR982982:DRY982982 EBN982982:EBU982982 ELJ982982:ELQ982982 EVF982982:EVM982982 FFB982982:FFI982982 FOX982982:FPE982982 FYT982982:FZA982982 GIP982982:GIW982982 GSL982982:GSS982982 HCH982982:HCO982982 HMD982982:HMK982982 HVZ982982:HWG982982 IFV982982:IGC982982 IPR982982:IPY982982 IZN982982:IZU982982 JJJ982982:JJQ982982 JTF982982:JTM982982 KDB982982:KDI982982 KMX982982:KNE982982 KWT982982:KXA982982 LGP982982:LGW982982 LQL982982:LQS982982 MAH982982:MAO982982 MKD982982:MKK982982 MTZ982982:MUG982982 NDV982982:NEC982982 NNR982982:NNY982982 NXN982982:NXU982982 OHJ982982:OHQ982982 ORF982982:ORM982982 PBB982982:PBI982982 PKX982982:PLE982982 PUT982982:PVA982982 QEP982982:QEW982982 QOL982982:QOS982982 QYH982982:QYO982982 RID982982:RIK982982 RRZ982982:RSG982982 SBV982982:SCC982982 SLR982982:SLY982982 SVN982982:SVU982982 TFJ982982:TFQ982982 TPF982982:TPM982982 TZB982982:TZI982982 UIX982982:UJE982982 UST982982:UTA982982 VCP982982:VCW982982 VML982982:VMS982982 VWH982982:VWO982982 WGD982982:WGK982982 WPZ982982:WQG982982 WQI982982 WGM917446 WQI917446 DW982982 NS982982 XO982982 AHK982982 ARG982982 BBC982982 BKY982982 BUU982982 CEQ982982 COM982982 CYI982982 DIE982982 DSA982982 EBW982982 ELS982982 EVO982982 FFK982982 FPG982982 FZC982982 GIY982982 GSU982982 HCQ982982 HMM982982 HWI982982 IGE982982 IQA982982 IZW982982 JJS982982 JTO982982 KDK982982 KNG982982 KXC982982 LGY982982 LQU982982 MAQ982982 MKM982982 MUI982982 NEE982982 NOA982982 NXW982982 OHS982982 ORO982982 PBK982982 PLG982982 PVC982982 QEY982982 QOU982982 QYQ982982 RIM982982 RSI982982 SCE982982 SMA982982 SVW982982 TFS982982 TPO982982 TZK982982 UJG982982 UTC982982 VCY982982 VMU982982 VWQ982982 DW65478 NS65478 XO65478 AHK65478 ARG65478 BBC65478 BKY65478 BUU65478 CEQ65478 COM65478 CYI65478 DIE65478 DSA65478 EBW65478 ELS65478 EVO65478 FFK65478 FPG65478 FZC65478 GIY65478 GSU65478 HCQ65478 HMM65478 HWI65478 IGE65478 IQA65478 IZW65478 JJS65478 JTO65478 KDK65478 KNG65478 KXC65478 LGY65478 LQU65478 MAQ65478 MKM65478 MUI65478 NEE65478 NOA65478 NXW65478 OHS65478 ORO65478 PBK65478 PLG65478 PVC65478 QEY65478 QOU65478 QYQ65478 RIM65478 RSI65478 SCE65478 SMA65478 SVW65478 TFS65478 TPO65478 TZK65478 UJG65478 UTC65478 VCY65478 VMU65478 VWQ65478 WGM65478 WQI65478 DW131014 NS131014 XO131014 AHK131014 ARG131014 BBC131014 BKY131014 BUU131014 CEQ131014 COM131014 CYI131014 DIE131014 DSA131014 EBW131014 ELS131014 EVO131014 FFK131014 FPG131014 FZC131014 GIY131014 GSU131014 HCQ131014 HMM131014 HWI131014 IGE131014 IQA131014 IZW131014 JJS131014 JTO131014 KDK131014 KNG131014 KXC131014 LGY131014 LQU131014 MAQ131014 MKM131014 MUI131014 NEE131014 NOA131014 NXW131014 OHS131014 ORO131014 PBK131014 PLG131014 PVC131014 QEY131014 QOU131014 QYQ131014 RIM131014 RSI131014 SCE131014 SMA131014 SVW131014 TFS131014 TPO131014 TZK131014 UJG131014 UTC131014 VCY131014 VMU131014 VWQ131014 WGM131014 WQI131014 DW196550 NS196550 XO196550 AHK196550 ARG196550 BBC196550 BKY196550 BUU196550 CEQ196550 COM196550 CYI196550 DIE196550 DSA196550 EBW196550 ELS196550 EVO196550 FFK196550 FPG196550 FZC196550 GIY196550 GSU196550 HCQ196550 HMM196550 HWI196550 IGE196550 IQA196550 IZW196550 JJS196550 JTO196550 KDK196550 KNG196550 KXC196550 LGY196550 LQU196550 MAQ196550 MKM196550 MUI196550 NEE196550 NOA196550 NXW196550 OHS196550 ORO196550 PBK196550 PLG196550 PVC196550 QEY196550 QOU196550 QYQ196550 RIM196550 RSI196550 SCE196550 SMA196550 SVW196550 TFS196550 TPO196550 TZK196550 UJG196550 UTC196550 VCY196550 VMU196550 VWQ196550 WGM196550 WQI196550 DW262086 NS262086 XO262086 AHK262086 ARG262086 BBC262086 BKY262086 BUU262086 CEQ262086 COM262086 CYI262086 DIE262086 DSA262086 EBW262086 ELS262086 EVO262086 FFK262086 FPG262086 FZC262086 GIY262086 GSU262086 HCQ262086 HMM262086 HWI262086 IGE262086 IQA262086 IZW262086 JJS262086 JTO262086 KDK262086 KNG262086 KXC262086 LGY262086 LQU262086 MAQ262086 MKM262086 MUI262086 NEE262086 NOA262086 NXW262086 OHS262086 ORO262086 PBK262086 PLG262086 PVC262086 QEY262086 QOU262086 QYQ262086 RIM262086 RSI262086 SCE262086 SMA262086 SVW262086 TFS262086 TPO262086 TZK262086 UJG262086 UTC262086 VCY262086 VMU262086 VWQ262086 WGM262086 WQI262086 DW327622 NS327622 XO327622 AHK327622 ARG327622 BBC327622 BKY327622 BUU327622 CEQ327622 COM327622 CYI327622 DIE327622 DSA327622 EBW327622 ELS327622 EVO327622 FFK327622 FPG327622 FZC327622 GIY327622 GSU327622 HCQ327622 HMM327622 HWI327622 IGE327622 IQA327622 IZW327622 JJS327622 JTO327622 KDK327622 KNG327622 KXC327622 LGY327622 LQU327622 MAQ327622 MKM327622 MUI327622 NEE327622 NOA327622 NXW327622 OHS327622 ORO327622 PBK327622 PLG327622 PVC327622 QEY327622 QOU327622 QYQ327622 RIM327622 RSI327622 SCE327622 SMA327622 SVW327622 TFS327622 TPO327622 TZK327622 UJG327622 UTC327622 VCY327622 VMU327622 VWQ327622 WGM327622 WQI327622 DW393158 NS393158 XO393158 AHK393158 ARG393158 BBC393158 BKY393158 BUU393158 CEQ393158 COM393158 CYI393158 DIE393158 DSA393158 EBW393158 ELS393158 EVO393158 FFK393158 FPG393158 FZC393158 GIY393158 GSU393158 HCQ393158 HMM393158 HWI393158 IGE393158 IQA393158 IZW393158 JJS393158 JTO393158 KDK393158 KNG393158 KXC393158 LGY393158 LQU393158 MAQ393158 MKM393158 MUI393158 NEE393158 NOA393158 NXW393158 OHS393158 ORO393158 PBK393158 PLG393158 PVC393158 QEY393158 QOU393158 QYQ393158 RIM393158 RSI393158 SCE393158 SMA393158 SVW393158 TFS393158 TPO393158 TZK393158 UJG393158 UTC393158 VCY393158 VMU393158 VWQ393158 WGM393158 WQI393158 DW458694 NS458694 XO458694 AHK458694 ARG458694 BBC458694 BKY458694 BUU458694 CEQ458694 COM458694 CYI458694 DIE458694 DSA458694 EBW458694 ELS458694 EVO458694 FFK458694 FPG458694 FZC458694 GIY458694 GSU458694 HCQ458694 HMM458694 HWI458694 IGE458694 IQA458694 IZW458694 JJS458694 JTO458694 KDK458694 KNG458694 KXC458694 LGY458694 LQU458694 MAQ458694 MKM458694 MUI458694 NEE458694 NOA458694 NXW458694 OHS458694 ORO458694 PBK458694 PLG458694 PVC458694 QEY458694 QOU458694 QYQ458694 RIM458694 RSI458694 SCE458694 SMA458694 SVW458694 TFS458694 TPO458694 TZK458694 UJG458694 UTC458694 VCY458694 VMU458694 VWQ458694 WGM458694 WQI458694 DW524230 NS524230 XO524230 AHK524230 ARG524230 BBC524230 BKY524230 BUU524230 CEQ524230 COM524230 CYI524230 DIE524230 DSA524230 EBW524230 ELS524230 EVO524230 FFK524230 FPG524230 FZC524230 GIY524230 GSU524230 HCQ524230 HMM524230 HWI524230 IGE524230 IQA524230 IZW524230 JJS524230 JTO524230 KDK524230 KNG524230 KXC524230 LGY524230 LQU524230 MAQ524230 MKM524230 MUI524230 NEE524230 NOA524230 NXW524230 OHS524230 ORO524230 PBK524230 PLG524230 PVC524230 QEY524230 QOU524230 QYQ524230 RIM524230 RSI524230 SCE524230 SMA524230 SVW524230 TFS524230 TPO524230 TZK524230 UJG524230 UTC524230 VCY524230 VMU524230 VWQ524230 WGM524230 WQI524230 DW589766 NS589766 XO589766 AHK589766 ARG589766 BBC589766 BKY589766 BUU589766 CEQ589766 COM589766 CYI589766 DIE589766 DSA589766 EBW589766 ELS589766 EVO589766 FFK589766 FPG589766 FZC589766 GIY589766 GSU589766 HCQ589766 HMM589766 HWI589766 IGE589766 IQA589766 IZW589766 JJS589766 JTO589766 KDK589766 KNG589766 KXC589766 LGY589766 LQU589766 MAQ589766 MKM589766 MUI589766 NEE589766 NOA589766 NXW589766 OHS589766 ORO589766 PBK589766 PLG589766 PVC589766 QEY589766 QOU589766 QYQ589766 RIM589766 RSI589766 SCE589766 SMA589766 SVW589766 TFS589766 TPO589766 TZK589766 UJG589766 UTC589766 VCY589766 VMU589766 VWQ589766 WGM589766 WQI589766 DW655302 NS655302 XO655302 AHK655302 ARG655302 BBC655302 BKY655302 BUU655302 CEQ655302 COM655302 CYI655302 DIE655302 DSA655302 EBW655302 ELS655302 EVO655302 FFK655302 FPG655302 FZC655302 GIY655302 GSU655302 HCQ655302 HMM655302 HWI655302 IGE655302 IQA655302 IZW655302 JJS655302 JTO655302 KDK655302 KNG655302 KXC655302 LGY655302 LQU655302 MAQ655302 MKM655302 MUI655302 NEE655302 NOA655302 NXW655302 OHS655302 ORO655302 PBK655302 PLG655302 PVC655302 QEY655302 QOU655302 QYQ655302 RIM655302 RSI655302 SCE655302 SMA655302 SVW655302 TFS655302 TPO655302 TZK655302 UJG655302 UTC655302 VCY655302 VMU655302 VWQ655302 WGM655302 WQI655302 DW720838 NS720838 XO720838 AHK720838 ARG720838 BBC720838 BKY720838 BUU720838 CEQ720838 COM720838 CYI720838 DIE720838 DSA720838 EBW720838 ELS720838 EVO720838 FFK720838 FPG720838 FZC720838 GIY720838 GSU720838 HCQ720838 HMM720838 HWI720838 IGE720838 IQA720838 IZW720838 JJS720838 JTO720838 KDK720838 KNG720838 KXC720838 LGY720838 LQU720838 MAQ720838 MKM720838 MUI720838 NEE720838 NOA720838 NXW720838 OHS720838 ORO720838 PBK720838 PLG720838 PVC720838 QEY720838 QOU720838 QYQ720838 RIM720838 RSI720838 SCE720838 SMA720838 SVW720838 TFS720838 TPO720838 TZK720838 UJG720838 UTC720838 VCY720838 VMU720838 VWQ720838 WGM720838 WQI720838 DW786374 NS786374 XO786374 AHK786374 ARG786374 BBC786374 BKY786374 BUU786374 CEQ786374 COM786374 CYI786374 DIE786374 DSA786374 EBW786374 ELS786374 EVO786374 FFK786374 FPG786374 FZC786374 GIY786374 GSU786374 HCQ786374 HMM786374 HWI786374 IGE786374 IQA786374 IZW786374 JJS786374 JTO786374 KDK786374 KNG786374 KXC786374 LGY786374 LQU786374 MAQ786374 MKM786374 MUI786374 NEE786374 NOA786374 NXW786374 OHS786374 ORO786374 PBK786374 PLG786374 PVC786374 QEY786374 QOU786374 QYQ786374 RIM786374 RSI786374 SCE786374 SMA786374 SVW786374 TFS786374 TPO786374 TZK786374 UJG786374 UTC786374 VCY786374 VMU786374 VWQ786374 WGM786374 WQI786374 DW851910 NS851910 XO851910 AHK851910 ARG851910 BBC851910 BKY851910 BUU851910 CEQ851910 COM851910 CYI851910 DIE851910 DSA851910 EBW851910 ELS851910 EVO851910 FFK851910 FPG851910 FZC851910 GIY851910 GSU851910 HCQ851910 HMM851910 HWI851910 IGE851910 IQA851910 IZW851910 JJS851910 JTO851910 KDK851910 KNG851910 KXC851910 LGY851910 LQU851910 MAQ851910 MKM851910 MUI851910 NEE851910 NOA851910 NXW851910 OHS851910 ORO851910 PBK851910 PLG851910 PVC851910 QEY851910 QOU851910 QYQ851910 RIM851910 RSI851910 SCE851910 SMA851910 SVW851910 TFS851910 TPO851910 TZK851910 UJG851910 UTC851910 VCY851910 VMU851910 VWQ851910 DN1:DU1 NJ1:NQ1 XF1:XM1 AHB1:AHI1 AQX1:ARE1 BAT1:BBA1 BKP1:BKW1 BUL1:BUS1 CEH1:CEO1 COD1:COK1 CXZ1:CYG1 DHV1:DIC1 DRR1:DRY1 EBN1:EBU1 ELJ1:ELQ1 EVF1:EVM1 FFB1:FFI1 FOX1:FPE1 FYT1:FZA1 GIP1:GIW1 GSL1:GSS1 HCH1:HCO1 HMD1:HMK1 HVZ1:HWG1 IFV1:IGC1 IPR1:IPY1 IZN1:IZU1 JJJ1:JJQ1 JTF1:JTM1 KDB1:KDI1 KMX1:KNE1 KWT1:KXA1 LGP1:LGW1 LQL1:LQS1 MAH1:MAO1 MKD1:MKK1 MTZ1:MUG1 NDV1:NEC1 NNR1:NNY1 NXN1:NXU1 OHJ1:OHQ1 ORF1:ORM1 PBB1:PBI1 PKX1:PLE1 PUT1:PVA1 QEP1:QEW1 QOL1:QOS1 QYH1:QYO1 RID1:RIK1 RRZ1:RSG1 SBV1:SCC1 SLR1:SLY1 SVN1:SVU1 TFJ1:TFQ1 TPF1:TPM1 TZB1:TZI1 UIX1:UJE1 UST1:UTA1 VCP1:VCW1 VML1:VMS1 VWH1:VWO1 WGD1:WGK1 WPZ1:WQG1 DW1 NS1 XO1 AHK1 ARG1 BBC1 BKY1 BUU1 CEQ1 COM1 CYI1 DIE1 DSA1 EBW1 ELS1 EVO1 FFK1 FPG1 FZC1 GIY1 GSU1 HCQ1 HMM1 HWI1 IGE1 IQA1 IZW1 JJS1 JTO1 KDK1 KNG1 KXC1 LGY1 LQU1 MAQ1 MKM1 MUI1 NEE1 NOA1 NXW1 OHS1 ORO1 PBK1 PLG1 PVC1 QEY1 QOU1 QYQ1 RIM1 RSI1 SCE1 SMA1 SVW1 TFS1 TPO1 TZK1 UJG1 UTC1 VCY1 VMU1 VWQ1 WGM1 WQI1" xr:uid="{FB8577DC-0449-4544-9832-BD9FAC1CA1E3}">
      <formula1>"Ｍ３（部長）,Ｍ２（Ｍ）,Ｍ１（ＰＭ）,Ｓ２,Ｓ１,Ｒ４,Ｒ３,Ｒ２,Ｒ１"</formula1>
    </dataValidation>
  </dataValidations>
  <pageMargins left="0.70866141732283472" right="0.31496062992125984" top="0.74803149606299213" bottom="0.74803149606299213" header="0.31496062992125984" footer="0.31496062992125984"/>
  <pageSetup paperSize="9" scale="58"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EF68-183B-4455-89B8-B0B5CE410CC3}">
  <sheetPr>
    <pageSetUpPr fitToPage="1"/>
  </sheetPr>
  <dimension ref="A1:AR55"/>
  <sheetViews>
    <sheetView zoomScale="50" zoomScaleNormal="50" workbookViewId="0">
      <selection activeCell="AM2" sqref="AM2:AR2"/>
    </sheetView>
  </sheetViews>
  <sheetFormatPr defaultColWidth="3.5" defaultRowHeight="13.15"/>
  <cols>
    <col min="1" max="1" width="5.83203125" style="83" customWidth="1"/>
    <col min="2" max="7" width="8.83203125" style="82" customWidth="1"/>
    <col min="8" max="25" width="6.83203125" style="82" customWidth="1"/>
    <col min="26" max="26" width="9.5" style="82" customWidth="1"/>
    <col min="27" max="44" width="6.83203125" style="82" customWidth="1"/>
    <col min="45" max="141" width="3.5" style="82"/>
    <col min="142" max="159" width="5.83203125" style="82" customWidth="1"/>
    <col min="160" max="160" width="7.33203125" style="82" customWidth="1"/>
    <col min="161" max="170" width="5.83203125" style="82" customWidth="1"/>
    <col min="171" max="171" width="9.5" style="82" customWidth="1"/>
    <col min="172" max="189" width="5.83203125" style="82" customWidth="1"/>
    <col min="190" max="397" width="3.5" style="82"/>
    <col min="398" max="415" width="5.83203125" style="82" customWidth="1"/>
    <col min="416" max="416" width="7.33203125" style="82" customWidth="1"/>
    <col min="417" max="426" width="5.83203125" style="82" customWidth="1"/>
    <col min="427" max="427" width="9.5" style="82" customWidth="1"/>
    <col min="428" max="445" width="5.83203125" style="82" customWidth="1"/>
    <col min="446" max="653" width="3.5" style="82"/>
    <col min="654" max="671" width="5.83203125" style="82" customWidth="1"/>
    <col min="672" max="672" width="7.33203125" style="82" customWidth="1"/>
    <col min="673" max="682" width="5.83203125" style="82" customWidth="1"/>
    <col min="683" max="683" width="9.5" style="82" customWidth="1"/>
    <col min="684" max="701" width="5.83203125" style="82" customWidth="1"/>
    <col min="702" max="909" width="3.5" style="82"/>
    <col min="910" max="927" width="5.83203125" style="82" customWidth="1"/>
    <col min="928" max="928" width="7.33203125" style="82" customWidth="1"/>
    <col min="929" max="938" width="5.83203125" style="82" customWidth="1"/>
    <col min="939" max="939" width="9.5" style="82" customWidth="1"/>
    <col min="940" max="957" width="5.83203125" style="82" customWidth="1"/>
    <col min="958" max="1165" width="3.5" style="82"/>
    <col min="1166" max="1183" width="5.83203125" style="82" customWidth="1"/>
    <col min="1184" max="1184" width="7.33203125" style="82" customWidth="1"/>
    <col min="1185" max="1194" width="5.83203125" style="82" customWidth="1"/>
    <col min="1195" max="1195" width="9.5" style="82" customWidth="1"/>
    <col min="1196" max="1213" width="5.83203125" style="82" customWidth="1"/>
    <col min="1214" max="1421" width="3.5" style="82"/>
    <col min="1422" max="1439" width="5.83203125" style="82" customWidth="1"/>
    <col min="1440" max="1440" width="7.33203125" style="82" customWidth="1"/>
    <col min="1441" max="1450" width="5.83203125" style="82" customWidth="1"/>
    <col min="1451" max="1451" width="9.5" style="82" customWidth="1"/>
    <col min="1452" max="1469" width="5.83203125" style="82" customWidth="1"/>
    <col min="1470" max="1677" width="3.5" style="82"/>
    <col min="1678" max="1695" width="5.83203125" style="82" customWidth="1"/>
    <col min="1696" max="1696" width="7.33203125" style="82" customWidth="1"/>
    <col min="1697" max="1706" width="5.83203125" style="82" customWidth="1"/>
    <col min="1707" max="1707" width="9.5" style="82" customWidth="1"/>
    <col min="1708" max="1725" width="5.83203125" style="82" customWidth="1"/>
    <col min="1726" max="1933" width="3.5" style="82"/>
    <col min="1934" max="1951" width="5.83203125" style="82" customWidth="1"/>
    <col min="1952" max="1952" width="7.33203125" style="82" customWidth="1"/>
    <col min="1953" max="1962" width="5.83203125" style="82" customWidth="1"/>
    <col min="1963" max="1963" width="9.5" style="82" customWidth="1"/>
    <col min="1964" max="1981" width="5.83203125" style="82" customWidth="1"/>
    <col min="1982" max="2189" width="3.5" style="82"/>
    <col min="2190" max="2207" width="5.83203125" style="82" customWidth="1"/>
    <col min="2208" max="2208" width="7.33203125" style="82" customWidth="1"/>
    <col min="2209" max="2218" width="5.83203125" style="82" customWidth="1"/>
    <col min="2219" max="2219" width="9.5" style="82" customWidth="1"/>
    <col min="2220" max="2237" width="5.83203125" style="82" customWidth="1"/>
    <col min="2238" max="2445" width="3.5" style="82"/>
    <col min="2446" max="2463" width="5.83203125" style="82" customWidth="1"/>
    <col min="2464" max="2464" width="7.33203125" style="82" customWidth="1"/>
    <col min="2465" max="2474" width="5.83203125" style="82" customWidth="1"/>
    <col min="2475" max="2475" width="9.5" style="82" customWidth="1"/>
    <col min="2476" max="2493" width="5.83203125" style="82" customWidth="1"/>
    <col min="2494" max="2701" width="3.5" style="82"/>
    <col min="2702" max="2719" width="5.83203125" style="82" customWidth="1"/>
    <col min="2720" max="2720" width="7.33203125" style="82" customWidth="1"/>
    <col min="2721" max="2730" width="5.83203125" style="82" customWidth="1"/>
    <col min="2731" max="2731" width="9.5" style="82" customWidth="1"/>
    <col min="2732" max="2749" width="5.83203125" style="82" customWidth="1"/>
    <col min="2750" max="2957" width="3.5" style="82"/>
    <col min="2958" max="2975" width="5.83203125" style="82" customWidth="1"/>
    <col min="2976" max="2976" width="7.33203125" style="82" customWidth="1"/>
    <col min="2977" max="2986" width="5.83203125" style="82" customWidth="1"/>
    <col min="2987" max="2987" width="9.5" style="82" customWidth="1"/>
    <col min="2988" max="3005" width="5.83203125" style="82" customWidth="1"/>
    <col min="3006" max="3213" width="3.5" style="82"/>
    <col min="3214" max="3231" width="5.83203125" style="82" customWidth="1"/>
    <col min="3232" max="3232" width="7.33203125" style="82" customWidth="1"/>
    <col min="3233" max="3242" width="5.83203125" style="82" customWidth="1"/>
    <col min="3243" max="3243" width="9.5" style="82" customWidth="1"/>
    <col min="3244" max="3261" width="5.83203125" style="82" customWidth="1"/>
    <col min="3262" max="3469" width="3.5" style="82"/>
    <col min="3470" max="3487" width="5.83203125" style="82" customWidth="1"/>
    <col min="3488" max="3488" width="7.33203125" style="82" customWidth="1"/>
    <col min="3489" max="3498" width="5.83203125" style="82" customWidth="1"/>
    <col min="3499" max="3499" width="9.5" style="82" customWidth="1"/>
    <col min="3500" max="3517" width="5.83203125" style="82" customWidth="1"/>
    <col min="3518" max="3725" width="3.5" style="82"/>
    <col min="3726" max="3743" width="5.83203125" style="82" customWidth="1"/>
    <col min="3744" max="3744" width="7.33203125" style="82" customWidth="1"/>
    <col min="3745" max="3754" width="5.83203125" style="82" customWidth="1"/>
    <col min="3755" max="3755" width="9.5" style="82" customWidth="1"/>
    <col min="3756" max="3773" width="5.83203125" style="82" customWidth="1"/>
    <col min="3774" max="3981" width="3.5" style="82"/>
    <col min="3982" max="3999" width="5.83203125" style="82" customWidth="1"/>
    <col min="4000" max="4000" width="7.33203125" style="82" customWidth="1"/>
    <col min="4001" max="4010" width="5.83203125" style="82" customWidth="1"/>
    <col min="4011" max="4011" width="9.5" style="82" customWidth="1"/>
    <col min="4012" max="4029" width="5.83203125" style="82" customWidth="1"/>
    <col min="4030" max="4237" width="3.5" style="82"/>
    <col min="4238" max="4255" width="5.83203125" style="82" customWidth="1"/>
    <col min="4256" max="4256" width="7.33203125" style="82" customWidth="1"/>
    <col min="4257" max="4266" width="5.83203125" style="82" customWidth="1"/>
    <col min="4267" max="4267" width="9.5" style="82" customWidth="1"/>
    <col min="4268" max="4285" width="5.83203125" style="82" customWidth="1"/>
    <col min="4286" max="4493" width="3.5" style="82"/>
    <col min="4494" max="4511" width="5.83203125" style="82" customWidth="1"/>
    <col min="4512" max="4512" width="7.33203125" style="82" customWidth="1"/>
    <col min="4513" max="4522" width="5.83203125" style="82" customWidth="1"/>
    <col min="4523" max="4523" width="9.5" style="82" customWidth="1"/>
    <col min="4524" max="4541" width="5.83203125" style="82" customWidth="1"/>
    <col min="4542" max="4749" width="3.5" style="82"/>
    <col min="4750" max="4767" width="5.83203125" style="82" customWidth="1"/>
    <col min="4768" max="4768" width="7.33203125" style="82" customWidth="1"/>
    <col min="4769" max="4778" width="5.83203125" style="82" customWidth="1"/>
    <col min="4779" max="4779" width="9.5" style="82" customWidth="1"/>
    <col min="4780" max="4797" width="5.83203125" style="82" customWidth="1"/>
    <col min="4798" max="5005" width="3.5" style="82"/>
    <col min="5006" max="5023" width="5.83203125" style="82" customWidth="1"/>
    <col min="5024" max="5024" width="7.33203125" style="82" customWidth="1"/>
    <col min="5025" max="5034" width="5.83203125" style="82" customWidth="1"/>
    <col min="5035" max="5035" width="9.5" style="82" customWidth="1"/>
    <col min="5036" max="5053" width="5.83203125" style="82" customWidth="1"/>
    <col min="5054" max="5261" width="3.5" style="82"/>
    <col min="5262" max="5279" width="5.83203125" style="82" customWidth="1"/>
    <col min="5280" max="5280" width="7.33203125" style="82" customWidth="1"/>
    <col min="5281" max="5290" width="5.83203125" style="82" customWidth="1"/>
    <col min="5291" max="5291" width="9.5" style="82" customWidth="1"/>
    <col min="5292" max="5309" width="5.83203125" style="82" customWidth="1"/>
    <col min="5310" max="5517" width="3.5" style="82"/>
    <col min="5518" max="5535" width="5.83203125" style="82" customWidth="1"/>
    <col min="5536" max="5536" width="7.33203125" style="82" customWidth="1"/>
    <col min="5537" max="5546" width="5.83203125" style="82" customWidth="1"/>
    <col min="5547" max="5547" width="9.5" style="82" customWidth="1"/>
    <col min="5548" max="5565" width="5.83203125" style="82" customWidth="1"/>
    <col min="5566" max="5773" width="3.5" style="82"/>
    <col min="5774" max="5791" width="5.83203125" style="82" customWidth="1"/>
    <col min="5792" max="5792" width="7.33203125" style="82" customWidth="1"/>
    <col min="5793" max="5802" width="5.83203125" style="82" customWidth="1"/>
    <col min="5803" max="5803" width="9.5" style="82" customWidth="1"/>
    <col min="5804" max="5821" width="5.83203125" style="82" customWidth="1"/>
    <col min="5822" max="6029" width="3.5" style="82"/>
    <col min="6030" max="6047" width="5.83203125" style="82" customWidth="1"/>
    <col min="6048" max="6048" width="7.33203125" style="82" customWidth="1"/>
    <col min="6049" max="6058" width="5.83203125" style="82" customWidth="1"/>
    <col min="6059" max="6059" width="9.5" style="82" customWidth="1"/>
    <col min="6060" max="6077" width="5.83203125" style="82" customWidth="1"/>
    <col min="6078" max="6285" width="3.5" style="82"/>
    <col min="6286" max="6303" width="5.83203125" style="82" customWidth="1"/>
    <col min="6304" max="6304" width="7.33203125" style="82" customWidth="1"/>
    <col min="6305" max="6314" width="5.83203125" style="82" customWidth="1"/>
    <col min="6315" max="6315" width="9.5" style="82" customWidth="1"/>
    <col min="6316" max="6333" width="5.83203125" style="82" customWidth="1"/>
    <col min="6334" max="6541" width="3.5" style="82"/>
    <col min="6542" max="6559" width="5.83203125" style="82" customWidth="1"/>
    <col min="6560" max="6560" width="7.33203125" style="82" customWidth="1"/>
    <col min="6561" max="6570" width="5.83203125" style="82" customWidth="1"/>
    <col min="6571" max="6571" width="9.5" style="82" customWidth="1"/>
    <col min="6572" max="6589" width="5.83203125" style="82" customWidth="1"/>
    <col min="6590" max="6797" width="3.5" style="82"/>
    <col min="6798" max="6815" width="5.83203125" style="82" customWidth="1"/>
    <col min="6816" max="6816" width="7.33203125" style="82" customWidth="1"/>
    <col min="6817" max="6826" width="5.83203125" style="82" customWidth="1"/>
    <col min="6827" max="6827" width="9.5" style="82" customWidth="1"/>
    <col min="6828" max="6845" width="5.83203125" style="82" customWidth="1"/>
    <col min="6846" max="7053" width="3.5" style="82"/>
    <col min="7054" max="7071" width="5.83203125" style="82" customWidth="1"/>
    <col min="7072" max="7072" width="7.33203125" style="82" customWidth="1"/>
    <col min="7073" max="7082" width="5.83203125" style="82" customWidth="1"/>
    <col min="7083" max="7083" width="9.5" style="82" customWidth="1"/>
    <col min="7084" max="7101" width="5.83203125" style="82" customWidth="1"/>
    <col min="7102" max="7309" width="3.5" style="82"/>
    <col min="7310" max="7327" width="5.83203125" style="82" customWidth="1"/>
    <col min="7328" max="7328" width="7.33203125" style="82" customWidth="1"/>
    <col min="7329" max="7338" width="5.83203125" style="82" customWidth="1"/>
    <col min="7339" max="7339" width="9.5" style="82" customWidth="1"/>
    <col min="7340" max="7357" width="5.83203125" style="82" customWidth="1"/>
    <col min="7358" max="7565" width="3.5" style="82"/>
    <col min="7566" max="7583" width="5.83203125" style="82" customWidth="1"/>
    <col min="7584" max="7584" width="7.33203125" style="82" customWidth="1"/>
    <col min="7585" max="7594" width="5.83203125" style="82" customWidth="1"/>
    <col min="7595" max="7595" width="9.5" style="82" customWidth="1"/>
    <col min="7596" max="7613" width="5.83203125" style="82" customWidth="1"/>
    <col min="7614" max="7821" width="3.5" style="82"/>
    <col min="7822" max="7839" width="5.83203125" style="82" customWidth="1"/>
    <col min="7840" max="7840" width="7.33203125" style="82" customWidth="1"/>
    <col min="7841" max="7850" width="5.83203125" style="82" customWidth="1"/>
    <col min="7851" max="7851" width="9.5" style="82" customWidth="1"/>
    <col min="7852" max="7869" width="5.83203125" style="82" customWidth="1"/>
    <col min="7870" max="8077" width="3.5" style="82"/>
    <col min="8078" max="8095" width="5.83203125" style="82" customWidth="1"/>
    <col min="8096" max="8096" width="7.33203125" style="82" customWidth="1"/>
    <col min="8097" max="8106" width="5.83203125" style="82" customWidth="1"/>
    <col min="8107" max="8107" width="9.5" style="82" customWidth="1"/>
    <col min="8108" max="8125" width="5.83203125" style="82" customWidth="1"/>
    <col min="8126" max="8333" width="3.5" style="82"/>
    <col min="8334" max="8351" width="5.83203125" style="82" customWidth="1"/>
    <col min="8352" max="8352" width="7.33203125" style="82" customWidth="1"/>
    <col min="8353" max="8362" width="5.83203125" style="82" customWidth="1"/>
    <col min="8363" max="8363" width="9.5" style="82" customWidth="1"/>
    <col min="8364" max="8381" width="5.83203125" style="82" customWidth="1"/>
    <col min="8382" max="8589" width="3.5" style="82"/>
    <col min="8590" max="8607" width="5.83203125" style="82" customWidth="1"/>
    <col min="8608" max="8608" width="7.33203125" style="82" customWidth="1"/>
    <col min="8609" max="8618" width="5.83203125" style="82" customWidth="1"/>
    <col min="8619" max="8619" width="9.5" style="82" customWidth="1"/>
    <col min="8620" max="8637" width="5.83203125" style="82" customWidth="1"/>
    <col min="8638" max="8845" width="3.5" style="82"/>
    <col min="8846" max="8863" width="5.83203125" style="82" customWidth="1"/>
    <col min="8864" max="8864" width="7.33203125" style="82" customWidth="1"/>
    <col min="8865" max="8874" width="5.83203125" style="82" customWidth="1"/>
    <col min="8875" max="8875" width="9.5" style="82" customWidth="1"/>
    <col min="8876" max="8893" width="5.83203125" style="82" customWidth="1"/>
    <col min="8894" max="9101" width="3.5" style="82"/>
    <col min="9102" max="9119" width="5.83203125" style="82" customWidth="1"/>
    <col min="9120" max="9120" width="7.33203125" style="82" customWidth="1"/>
    <col min="9121" max="9130" width="5.83203125" style="82" customWidth="1"/>
    <col min="9131" max="9131" width="9.5" style="82" customWidth="1"/>
    <col min="9132" max="9149" width="5.83203125" style="82" customWidth="1"/>
    <col min="9150" max="9357" width="3.5" style="82"/>
    <col min="9358" max="9375" width="5.83203125" style="82" customWidth="1"/>
    <col min="9376" max="9376" width="7.33203125" style="82" customWidth="1"/>
    <col min="9377" max="9386" width="5.83203125" style="82" customWidth="1"/>
    <col min="9387" max="9387" width="9.5" style="82" customWidth="1"/>
    <col min="9388" max="9405" width="5.83203125" style="82" customWidth="1"/>
    <col min="9406" max="9613" width="3.5" style="82"/>
    <col min="9614" max="9631" width="5.83203125" style="82" customWidth="1"/>
    <col min="9632" max="9632" width="7.33203125" style="82" customWidth="1"/>
    <col min="9633" max="9642" width="5.83203125" style="82" customWidth="1"/>
    <col min="9643" max="9643" width="9.5" style="82" customWidth="1"/>
    <col min="9644" max="9661" width="5.83203125" style="82" customWidth="1"/>
    <col min="9662" max="9869" width="3.5" style="82"/>
    <col min="9870" max="9887" width="5.83203125" style="82" customWidth="1"/>
    <col min="9888" max="9888" width="7.33203125" style="82" customWidth="1"/>
    <col min="9889" max="9898" width="5.83203125" style="82" customWidth="1"/>
    <col min="9899" max="9899" width="9.5" style="82" customWidth="1"/>
    <col min="9900" max="9917" width="5.83203125" style="82" customWidth="1"/>
    <col min="9918" max="10125" width="3.5" style="82"/>
    <col min="10126" max="10143" width="5.83203125" style="82" customWidth="1"/>
    <col min="10144" max="10144" width="7.33203125" style="82" customWidth="1"/>
    <col min="10145" max="10154" width="5.83203125" style="82" customWidth="1"/>
    <col min="10155" max="10155" width="9.5" style="82" customWidth="1"/>
    <col min="10156" max="10173" width="5.83203125" style="82" customWidth="1"/>
    <col min="10174" max="10381" width="3.5" style="82"/>
    <col min="10382" max="10399" width="5.83203125" style="82" customWidth="1"/>
    <col min="10400" max="10400" width="7.33203125" style="82" customWidth="1"/>
    <col min="10401" max="10410" width="5.83203125" style="82" customWidth="1"/>
    <col min="10411" max="10411" width="9.5" style="82" customWidth="1"/>
    <col min="10412" max="10429" width="5.83203125" style="82" customWidth="1"/>
    <col min="10430" max="10637" width="3.5" style="82"/>
    <col min="10638" max="10655" width="5.83203125" style="82" customWidth="1"/>
    <col min="10656" max="10656" width="7.33203125" style="82" customWidth="1"/>
    <col min="10657" max="10666" width="5.83203125" style="82" customWidth="1"/>
    <col min="10667" max="10667" width="9.5" style="82" customWidth="1"/>
    <col min="10668" max="10685" width="5.83203125" style="82" customWidth="1"/>
    <col min="10686" max="10893" width="3.5" style="82"/>
    <col min="10894" max="10911" width="5.83203125" style="82" customWidth="1"/>
    <col min="10912" max="10912" width="7.33203125" style="82" customWidth="1"/>
    <col min="10913" max="10922" width="5.83203125" style="82" customWidth="1"/>
    <col min="10923" max="10923" width="9.5" style="82" customWidth="1"/>
    <col min="10924" max="10941" width="5.83203125" style="82" customWidth="1"/>
    <col min="10942" max="11149" width="3.5" style="82"/>
    <col min="11150" max="11167" width="5.83203125" style="82" customWidth="1"/>
    <col min="11168" max="11168" width="7.33203125" style="82" customWidth="1"/>
    <col min="11169" max="11178" width="5.83203125" style="82" customWidth="1"/>
    <col min="11179" max="11179" width="9.5" style="82" customWidth="1"/>
    <col min="11180" max="11197" width="5.83203125" style="82" customWidth="1"/>
    <col min="11198" max="11405" width="3.5" style="82"/>
    <col min="11406" max="11423" width="5.83203125" style="82" customWidth="1"/>
    <col min="11424" max="11424" width="7.33203125" style="82" customWidth="1"/>
    <col min="11425" max="11434" width="5.83203125" style="82" customWidth="1"/>
    <col min="11435" max="11435" width="9.5" style="82" customWidth="1"/>
    <col min="11436" max="11453" width="5.83203125" style="82" customWidth="1"/>
    <col min="11454" max="11661" width="3.5" style="82"/>
    <col min="11662" max="11679" width="5.83203125" style="82" customWidth="1"/>
    <col min="11680" max="11680" width="7.33203125" style="82" customWidth="1"/>
    <col min="11681" max="11690" width="5.83203125" style="82" customWidth="1"/>
    <col min="11691" max="11691" width="9.5" style="82" customWidth="1"/>
    <col min="11692" max="11709" width="5.83203125" style="82" customWidth="1"/>
    <col min="11710" max="11917" width="3.5" style="82"/>
    <col min="11918" max="11935" width="5.83203125" style="82" customWidth="1"/>
    <col min="11936" max="11936" width="7.33203125" style="82" customWidth="1"/>
    <col min="11937" max="11946" width="5.83203125" style="82" customWidth="1"/>
    <col min="11947" max="11947" width="9.5" style="82" customWidth="1"/>
    <col min="11948" max="11965" width="5.83203125" style="82" customWidth="1"/>
    <col min="11966" max="12173" width="3.5" style="82"/>
    <col min="12174" max="12191" width="5.83203125" style="82" customWidth="1"/>
    <col min="12192" max="12192" width="7.33203125" style="82" customWidth="1"/>
    <col min="12193" max="12202" width="5.83203125" style="82" customWidth="1"/>
    <col min="12203" max="12203" width="9.5" style="82" customWidth="1"/>
    <col min="12204" max="12221" width="5.83203125" style="82" customWidth="1"/>
    <col min="12222" max="12429" width="3.5" style="82"/>
    <col min="12430" max="12447" width="5.83203125" style="82" customWidth="1"/>
    <col min="12448" max="12448" width="7.33203125" style="82" customWidth="1"/>
    <col min="12449" max="12458" width="5.83203125" style="82" customWidth="1"/>
    <col min="12459" max="12459" width="9.5" style="82" customWidth="1"/>
    <col min="12460" max="12477" width="5.83203125" style="82" customWidth="1"/>
    <col min="12478" max="12685" width="3.5" style="82"/>
    <col min="12686" max="12703" width="5.83203125" style="82" customWidth="1"/>
    <col min="12704" max="12704" width="7.33203125" style="82" customWidth="1"/>
    <col min="12705" max="12714" width="5.83203125" style="82" customWidth="1"/>
    <col min="12715" max="12715" width="9.5" style="82" customWidth="1"/>
    <col min="12716" max="12733" width="5.83203125" style="82" customWidth="1"/>
    <col min="12734" max="12941" width="3.5" style="82"/>
    <col min="12942" max="12959" width="5.83203125" style="82" customWidth="1"/>
    <col min="12960" max="12960" width="7.33203125" style="82" customWidth="1"/>
    <col min="12961" max="12970" width="5.83203125" style="82" customWidth="1"/>
    <col min="12971" max="12971" width="9.5" style="82" customWidth="1"/>
    <col min="12972" max="12989" width="5.83203125" style="82" customWidth="1"/>
    <col min="12990" max="13197" width="3.5" style="82"/>
    <col min="13198" max="13215" width="5.83203125" style="82" customWidth="1"/>
    <col min="13216" max="13216" width="7.33203125" style="82" customWidth="1"/>
    <col min="13217" max="13226" width="5.83203125" style="82" customWidth="1"/>
    <col min="13227" max="13227" width="9.5" style="82" customWidth="1"/>
    <col min="13228" max="13245" width="5.83203125" style="82" customWidth="1"/>
    <col min="13246" max="13453" width="3.5" style="82"/>
    <col min="13454" max="13471" width="5.83203125" style="82" customWidth="1"/>
    <col min="13472" max="13472" width="7.33203125" style="82" customWidth="1"/>
    <col min="13473" max="13482" width="5.83203125" style="82" customWidth="1"/>
    <col min="13483" max="13483" width="9.5" style="82" customWidth="1"/>
    <col min="13484" max="13501" width="5.83203125" style="82" customWidth="1"/>
    <col min="13502" max="13709" width="3.5" style="82"/>
    <col min="13710" max="13727" width="5.83203125" style="82" customWidth="1"/>
    <col min="13728" max="13728" width="7.33203125" style="82" customWidth="1"/>
    <col min="13729" max="13738" width="5.83203125" style="82" customWidth="1"/>
    <col min="13739" max="13739" width="9.5" style="82" customWidth="1"/>
    <col min="13740" max="13757" width="5.83203125" style="82" customWidth="1"/>
    <col min="13758" max="13965" width="3.5" style="82"/>
    <col min="13966" max="13983" width="5.83203125" style="82" customWidth="1"/>
    <col min="13984" max="13984" width="7.33203125" style="82" customWidth="1"/>
    <col min="13985" max="13994" width="5.83203125" style="82" customWidth="1"/>
    <col min="13995" max="13995" width="9.5" style="82" customWidth="1"/>
    <col min="13996" max="14013" width="5.83203125" style="82" customWidth="1"/>
    <col min="14014" max="14221" width="3.5" style="82"/>
    <col min="14222" max="14239" width="5.83203125" style="82" customWidth="1"/>
    <col min="14240" max="14240" width="7.33203125" style="82" customWidth="1"/>
    <col min="14241" max="14250" width="5.83203125" style="82" customWidth="1"/>
    <col min="14251" max="14251" width="9.5" style="82" customWidth="1"/>
    <col min="14252" max="14269" width="5.83203125" style="82" customWidth="1"/>
    <col min="14270" max="14477" width="3.5" style="82"/>
    <col min="14478" max="14495" width="5.83203125" style="82" customWidth="1"/>
    <col min="14496" max="14496" width="7.33203125" style="82" customWidth="1"/>
    <col min="14497" max="14506" width="5.83203125" style="82" customWidth="1"/>
    <col min="14507" max="14507" width="9.5" style="82" customWidth="1"/>
    <col min="14508" max="14525" width="5.83203125" style="82" customWidth="1"/>
    <col min="14526" max="14733" width="3.5" style="82"/>
    <col min="14734" max="14751" width="5.83203125" style="82" customWidth="1"/>
    <col min="14752" max="14752" width="7.33203125" style="82" customWidth="1"/>
    <col min="14753" max="14762" width="5.83203125" style="82" customWidth="1"/>
    <col min="14763" max="14763" width="9.5" style="82" customWidth="1"/>
    <col min="14764" max="14781" width="5.83203125" style="82" customWidth="1"/>
    <col min="14782" max="14989" width="3.5" style="82"/>
    <col min="14990" max="15007" width="5.83203125" style="82" customWidth="1"/>
    <col min="15008" max="15008" width="7.33203125" style="82" customWidth="1"/>
    <col min="15009" max="15018" width="5.83203125" style="82" customWidth="1"/>
    <col min="15019" max="15019" width="9.5" style="82" customWidth="1"/>
    <col min="15020" max="15037" width="5.83203125" style="82" customWidth="1"/>
    <col min="15038" max="15245" width="3.5" style="82"/>
    <col min="15246" max="15263" width="5.83203125" style="82" customWidth="1"/>
    <col min="15264" max="15264" width="7.33203125" style="82" customWidth="1"/>
    <col min="15265" max="15274" width="5.83203125" style="82" customWidth="1"/>
    <col min="15275" max="15275" width="9.5" style="82" customWidth="1"/>
    <col min="15276" max="15293" width="5.83203125" style="82" customWidth="1"/>
    <col min="15294" max="15501" width="3.5" style="82"/>
    <col min="15502" max="15519" width="5.83203125" style="82" customWidth="1"/>
    <col min="15520" max="15520" width="7.33203125" style="82" customWidth="1"/>
    <col min="15521" max="15530" width="5.83203125" style="82" customWidth="1"/>
    <col min="15531" max="15531" width="9.5" style="82" customWidth="1"/>
    <col min="15532" max="15549" width="5.83203125" style="82" customWidth="1"/>
    <col min="15550" max="15757" width="3.5" style="82"/>
    <col min="15758" max="15775" width="5.83203125" style="82" customWidth="1"/>
    <col min="15776" max="15776" width="7.33203125" style="82" customWidth="1"/>
    <col min="15777" max="15786" width="5.83203125" style="82" customWidth="1"/>
    <col min="15787" max="15787" width="9.5" style="82" customWidth="1"/>
    <col min="15788" max="15805" width="5.83203125" style="82" customWidth="1"/>
    <col min="15806" max="16013" width="3.5" style="82"/>
    <col min="16014" max="16031" width="5.83203125" style="82" customWidth="1"/>
    <col min="16032" max="16032" width="7.33203125" style="82" customWidth="1"/>
    <col min="16033" max="16042" width="5.83203125" style="82" customWidth="1"/>
    <col min="16043" max="16043" width="9.5" style="82" customWidth="1"/>
    <col min="16044" max="16061" width="5.83203125" style="82" customWidth="1"/>
    <col min="16062" max="16384" width="3.5" style="82"/>
  </cols>
  <sheetData>
    <row r="1" spans="1:44" s="81" customFormat="1" ht="30" customHeight="1">
      <c r="A1" s="361" t="s">
        <v>282</v>
      </c>
      <c r="B1" s="361"/>
      <c r="C1" s="361"/>
      <c r="D1" s="361"/>
      <c r="E1" s="361"/>
      <c r="F1" s="361"/>
      <c r="G1" s="361"/>
      <c r="H1" s="361"/>
      <c r="I1" s="361"/>
      <c r="J1" s="361"/>
      <c r="K1" s="361"/>
      <c r="L1" s="361"/>
      <c r="M1" s="361"/>
      <c r="N1" s="361"/>
      <c r="O1" s="361"/>
      <c r="Y1" s="571" t="s">
        <v>283</v>
      </c>
      <c r="Z1" s="572"/>
      <c r="AA1" s="572"/>
      <c r="AB1" s="573" t="s">
        <v>284</v>
      </c>
      <c r="AC1" s="573"/>
      <c r="AD1" s="573"/>
      <c r="AE1" s="573"/>
      <c r="AF1" s="573"/>
      <c r="AG1" s="573"/>
      <c r="AH1" s="573"/>
      <c r="AI1" s="574"/>
      <c r="AJ1" s="572" t="s">
        <v>285</v>
      </c>
      <c r="AK1" s="572"/>
      <c r="AL1" s="572"/>
      <c r="AM1" s="573" t="s">
        <v>286</v>
      </c>
      <c r="AN1" s="573"/>
      <c r="AO1" s="573"/>
      <c r="AP1" s="573"/>
      <c r="AQ1" s="573"/>
      <c r="AR1" s="575"/>
    </row>
    <row r="2" spans="1:44" s="83" customFormat="1" ht="30" customHeight="1" thickBot="1">
      <c r="A2" s="361"/>
      <c r="B2" s="361"/>
      <c r="C2" s="361"/>
      <c r="D2" s="361"/>
      <c r="E2" s="361"/>
      <c r="F2" s="361"/>
      <c r="G2" s="361"/>
      <c r="H2" s="361"/>
      <c r="I2" s="361"/>
      <c r="J2" s="361"/>
      <c r="K2" s="361"/>
      <c r="L2" s="361"/>
      <c r="M2" s="361"/>
      <c r="N2" s="361"/>
      <c r="O2" s="361"/>
      <c r="Y2" s="576" t="s">
        <v>287</v>
      </c>
      <c r="Z2" s="577"/>
      <c r="AA2" s="577"/>
      <c r="AB2" s="578"/>
      <c r="AC2" s="578"/>
      <c r="AD2" s="578"/>
      <c r="AE2" s="578"/>
      <c r="AF2" s="578"/>
      <c r="AG2" s="578"/>
      <c r="AH2" s="578"/>
      <c r="AI2" s="579"/>
      <c r="AJ2" s="580" t="s">
        <v>288</v>
      </c>
      <c r="AK2" s="581"/>
      <c r="AL2" s="582"/>
      <c r="AM2" s="583"/>
      <c r="AN2" s="583"/>
      <c r="AO2" s="583"/>
      <c r="AP2" s="583"/>
      <c r="AQ2" s="583"/>
      <c r="AR2" s="584"/>
    </row>
    <row r="3" spans="1:44" s="83" customFormat="1" ht="30" customHeight="1" thickBot="1">
      <c r="A3" s="159"/>
      <c r="B3" s="159"/>
      <c r="C3" s="159"/>
      <c r="D3" s="159"/>
      <c r="E3" s="159"/>
      <c r="F3" s="159"/>
      <c r="G3" s="159"/>
      <c r="H3" s="159"/>
      <c r="I3" s="159"/>
      <c r="J3" s="159"/>
      <c r="K3" s="159"/>
      <c r="L3" s="159"/>
      <c r="M3" s="159"/>
      <c r="N3" s="159"/>
      <c r="O3" s="159"/>
      <c r="Y3" s="525" t="s">
        <v>289</v>
      </c>
      <c r="Z3" s="526"/>
      <c r="AA3" s="526"/>
      <c r="AB3" s="526"/>
      <c r="AC3" s="526"/>
      <c r="AD3" s="527"/>
      <c r="AE3" s="528"/>
      <c r="AF3" s="529"/>
      <c r="AG3" s="529"/>
      <c r="AH3" s="529"/>
      <c r="AI3" s="530"/>
      <c r="AJ3" s="531" t="s">
        <v>290</v>
      </c>
      <c r="AK3" s="532"/>
      <c r="AL3" s="533"/>
      <c r="AM3" s="534"/>
      <c r="AN3" s="535"/>
      <c r="AO3" s="535"/>
      <c r="AP3" s="535"/>
      <c r="AQ3" s="535"/>
      <c r="AR3" s="536"/>
    </row>
    <row r="4" spans="1:44" s="83" customFormat="1" ht="30.75" customHeight="1" thickBot="1">
      <c r="A4" s="537" t="s">
        <v>291</v>
      </c>
      <c r="B4" s="537"/>
      <c r="C4" s="537"/>
      <c r="D4" s="537"/>
      <c r="E4" s="537"/>
      <c r="S4" s="84"/>
      <c r="T4" s="84"/>
      <c r="U4" s="84"/>
      <c r="V4" s="84"/>
      <c r="W4" s="84"/>
      <c r="X4" s="84"/>
      <c r="Y4" s="84"/>
      <c r="Z4" s="84"/>
      <c r="AA4" s="84"/>
      <c r="AB4" s="84"/>
      <c r="AC4" s="84"/>
      <c r="AD4" s="84"/>
      <c r="AE4" s="84"/>
      <c r="AF4" s="84"/>
      <c r="AG4" s="84"/>
      <c r="AH4" s="84"/>
      <c r="AI4" s="84"/>
      <c r="AJ4" s="84"/>
      <c r="AK4" s="82"/>
    </row>
    <row r="5" spans="1:44" s="83" customFormat="1" ht="24" customHeight="1">
      <c r="A5" s="538" t="s">
        <v>292</v>
      </c>
      <c r="B5" s="539"/>
      <c r="C5" s="539"/>
      <c r="D5" s="539"/>
      <c r="E5" s="539"/>
      <c r="F5" s="539"/>
      <c r="G5" s="539"/>
      <c r="H5" s="539"/>
      <c r="I5" s="539"/>
      <c r="J5" s="539"/>
      <c r="K5" s="539"/>
      <c r="L5" s="539"/>
      <c r="M5" s="539"/>
      <c r="N5" s="539"/>
      <c r="O5" s="539"/>
      <c r="P5" s="539"/>
      <c r="Q5" s="539"/>
      <c r="R5" s="539"/>
      <c r="S5" s="539"/>
      <c r="T5" s="539"/>
      <c r="U5" s="539"/>
      <c r="V5" s="539"/>
      <c r="W5" s="539"/>
      <c r="X5" s="539"/>
      <c r="Y5" s="539"/>
      <c r="Z5" s="540"/>
      <c r="AA5" s="541" t="s">
        <v>293</v>
      </c>
      <c r="AB5" s="542"/>
      <c r="AC5" s="542"/>
      <c r="AD5" s="542"/>
      <c r="AE5" s="542"/>
      <c r="AF5" s="542"/>
      <c r="AG5" s="542"/>
      <c r="AH5" s="543"/>
      <c r="AI5" s="544" t="s">
        <v>294</v>
      </c>
      <c r="AJ5" s="545"/>
      <c r="AK5" s="545"/>
      <c r="AL5" s="545"/>
      <c r="AM5" s="545"/>
      <c r="AN5" s="545"/>
      <c r="AO5" s="545"/>
      <c r="AP5" s="546"/>
      <c r="AQ5" s="547" t="s">
        <v>295</v>
      </c>
      <c r="AR5" s="548"/>
    </row>
    <row r="6" spans="1:44" ht="15.6" customHeight="1">
      <c r="A6" s="374" t="s">
        <v>296</v>
      </c>
      <c r="B6" s="414" t="s">
        <v>297</v>
      </c>
      <c r="C6" s="415"/>
      <c r="D6" s="415"/>
      <c r="E6" s="415"/>
      <c r="F6" s="415"/>
      <c r="G6" s="416"/>
      <c r="H6" s="414" t="s">
        <v>298</v>
      </c>
      <c r="I6" s="415"/>
      <c r="J6" s="415"/>
      <c r="K6" s="415"/>
      <c r="L6" s="415"/>
      <c r="M6" s="415"/>
      <c r="N6" s="415"/>
      <c r="O6" s="415"/>
      <c r="P6" s="416"/>
      <c r="Q6" s="414" t="s">
        <v>299</v>
      </c>
      <c r="R6" s="415"/>
      <c r="S6" s="415"/>
      <c r="T6" s="415"/>
      <c r="U6" s="415"/>
      <c r="V6" s="415"/>
      <c r="W6" s="415"/>
      <c r="X6" s="415"/>
      <c r="Y6" s="416"/>
      <c r="Z6" s="514" t="s">
        <v>300</v>
      </c>
      <c r="AA6" s="517" t="s">
        <v>301</v>
      </c>
      <c r="AB6" s="518"/>
      <c r="AC6" s="518"/>
      <c r="AD6" s="518"/>
      <c r="AE6" s="518"/>
      <c r="AF6" s="518"/>
      <c r="AG6" s="518"/>
      <c r="AH6" s="519"/>
      <c r="AI6" s="520" t="s">
        <v>302</v>
      </c>
      <c r="AJ6" s="521"/>
      <c r="AK6" s="521"/>
      <c r="AL6" s="521"/>
      <c r="AM6" s="521"/>
      <c r="AN6" s="521"/>
      <c r="AO6" s="521"/>
      <c r="AP6" s="522"/>
      <c r="AQ6" s="549"/>
      <c r="AR6" s="550"/>
    </row>
    <row r="7" spans="1:44" ht="15.6" customHeight="1">
      <c r="A7" s="375"/>
      <c r="B7" s="430" t="s">
        <v>303</v>
      </c>
      <c r="C7" s="431"/>
      <c r="D7" s="431"/>
      <c r="E7" s="431"/>
      <c r="F7" s="431"/>
      <c r="G7" s="523"/>
      <c r="H7" s="430" t="s">
        <v>304</v>
      </c>
      <c r="I7" s="431"/>
      <c r="J7" s="431"/>
      <c r="K7" s="431"/>
      <c r="L7" s="431"/>
      <c r="M7" s="431"/>
      <c r="N7" s="431"/>
      <c r="O7" s="431"/>
      <c r="P7" s="523"/>
      <c r="Q7" s="553" t="s">
        <v>305</v>
      </c>
      <c r="R7" s="554"/>
      <c r="S7" s="554"/>
      <c r="T7" s="554"/>
      <c r="U7" s="554"/>
      <c r="V7" s="554"/>
      <c r="W7" s="554"/>
      <c r="X7" s="554"/>
      <c r="Y7" s="555"/>
      <c r="Z7" s="515"/>
      <c r="AA7" s="559" t="s">
        <v>306</v>
      </c>
      <c r="AB7" s="560"/>
      <c r="AC7" s="560"/>
      <c r="AD7" s="560"/>
      <c r="AE7" s="560"/>
      <c r="AF7" s="560"/>
      <c r="AG7" s="560"/>
      <c r="AH7" s="561"/>
      <c r="AI7" s="565" t="s">
        <v>307</v>
      </c>
      <c r="AJ7" s="566"/>
      <c r="AK7" s="566"/>
      <c r="AL7" s="566"/>
      <c r="AM7" s="566"/>
      <c r="AN7" s="566"/>
      <c r="AO7" s="566"/>
      <c r="AP7" s="567"/>
      <c r="AQ7" s="549"/>
      <c r="AR7" s="550"/>
    </row>
    <row r="8" spans="1:44" ht="14.25" customHeight="1">
      <c r="A8" s="376"/>
      <c r="B8" s="433"/>
      <c r="C8" s="434"/>
      <c r="D8" s="434"/>
      <c r="E8" s="434"/>
      <c r="F8" s="434"/>
      <c r="G8" s="524"/>
      <c r="H8" s="433"/>
      <c r="I8" s="434"/>
      <c r="J8" s="434"/>
      <c r="K8" s="434"/>
      <c r="L8" s="434"/>
      <c r="M8" s="434"/>
      <c r="N8" s="434"/>
      <c r="O8" s="434"/>
      <c r="P8" s="524"/>
      <c r="Q8" s="556"/>
      <c r="R8" s="557"/>
      <c r="S8" s="557"/>
      <c r="T8" s="557"/>
      <c r="U8" s="557"/>
      <c r="V8" s="557"/>
      <c r="W8" s="557"/>
      <c r="X8" s="557"/>
      <c r="Y8" s="558"/>
      <c r="Z8" s="516"/>
      <c r="AA8" s="562"/>
      <c r="AB8" s="563"/>
      <c r="AC8" s="563"/>
      <c r="AD8" s="563"/>
      <c r="AE8" s="563"/>
      <c r="AF8" s="563"/>
      <c r="AG8" s="563"/>
      <c r="AH8" s="564"/>
      <c r="AI8" s="568"/>
      <c r="AJ8" s="569"/>
      <c r="AK8" s="569"/>
      <c r="AL8" s="569"/>
      <c r="AM8" s="569"/>
      <c r="AN8" s="569"/>
      <c r="AO8" s="569"/>
      <c r="AP8" s="570"/>
      <c r="AQ8" s="551"/>
      <c r="AR8" s="552"/>
    </row>
    <row r="9" spans="1:44" ht="20.100000000000001" customHeight="1">
      <c r="A9" s="374">
        <v>1</v>
      </c>
      <c r="B9" s="479" t="s">
        <v>308</v>
      </c>
      <c r="C9" s="480"/>
      <c r="D9" s="480"/>
      <c r="E9" s="480"/>
      <c r="F9" s="480"/>
      <c r="G9" s="481"/>
      <c r="H9" s="482"/>
      <c r="I9" s="483"/>
      <c r="J9" s="483"/>
      <c r="K9" s="483"/>
      <c r="L9" s="483"/>
      <c r="M9" s="483"/>
      <c r="N9" s="483"/>
      <c r="O9" s="483"/>
      <c r="P9" s="484"/>
      <c r="Q9" s="85" t="s">
        <v>309</v>
      </c>
      <c r="R9" s="512"/>
      <c r="S9" s="512"/>
      <c r="T9" s="512"/>
      <c r="U9" s="512"/>
      <c r="V9" s="512"/>
      <c r="W9" s="512"/>
      <c r="X9" s="512"/>
      <c r="Y9" s="513"/>
      <c r="Z9" s="493">
        <v>1</v>
      </c>
      <c r="AA9" s="455"/>
      <c r="AB9" s="456"/>
      <c r="AC9" s="456"/>
      <c r="AD9" s="456"/>
      <c r="AE9" s="456"/>
      <c r="AF9" s="456"/>
      <c r="AG9" s="456"/>
      <c r="AH9" s="457"/>
      <c r="AI9" s="455"/>
      <c r="AJ9" s="456"/>
      <c r="AK9" s="456"/>
      <c r="AL9" s="456"/>
      <c r="AM9" s="456"/>
      <c r="AN9" s="456"/>
      <c r="AO9" s="456"/>
      <c r="AP9" s="648"/>
      <c r="AQ9" s="500" t="s">
        <v>310</v>
      </c>
      <c r="AR9" s="501"/>
    </row>
    <row r="10" spans="1:44" ht="20.100000000000001" customHeight="1">
      <c r="A10" s="375"/>
      <c r="B10" s="464"/>
      <c r="C10" s="366"/>
      <c r="D10" s="366"/>
      <c r="E10" s="366"/>
      <c r="F10" s="366"/>
      <c r="G10" s="367"/>
      <c r="H10" s="485"/>
      <c r="I10" s="486"/>
      <c r="J10" s="486"/>
      <c r="K10" s="486"/>
      <c r="L10" s="486"/>
      <c r="M10" s="486"/>
      <c r="N10" s="486"/>
      <c r="O10" s="486"/>
      <c r="P10" s="487"/>
      <c r="Q10" s="86" t="s">
        <v>311</v>
      </c>
      <c r="R10" s="497"/>
      <c r="S10" s="497"/>
      <c r="T10" s="497"/>
      <c r="U10" s="497"/>
      <c r="V10" s="497"/>
      <c r="W10" s="497"/>
      <c r="X10" s="497"/>
      <c r="Y10" s="498"/>
      <c r="Z10" s="494"/>
      <c r="AA10" s="458"/>
      <c r="AB10" s="393"/>
      <c r="AC10" s="393"/>
      <c r="AD10" s="393"/>
      <c r="AE10" s="393"/>
      <c r="AF10" s="393"/>
      <c r="AG10" s="393"/>
      <c r="AH10" s="459"/>
      <c r="AI10" s="458"/>
      <c r="AJ10" s="393"/>
      <c r="AK10" s="393"/>
      <c r="AL10" s="393"/>
      <c r="AM10" s="393"/>
      <c r="AN10" s="393"/>
      <c r="AO10" s="393"/>
      <c r="AP10" s="649"/>
      <c r="AQ10" s="468"/>
      <c r="AR10" s="469"/>
    </row>
    <row r="11" spans="1:44" ht="20.100000000000001" customHeight="1">
      <c r="A11" s="375"/>
      <c r="B11" s="464"/>
      <c r="C11" s="366"/>
      <c r="D11" s="366"/>
      <c r="E11" s="366"/>
      <c r="F11" s="366"/>
      <c r="G11" s="367"/>
      <c r="H11" s="485"/>
      <c r="I11" s="486"/>
      <c r="J11" s="486"/>
      <c r="K11" s="486"/>
      <c r="L11" s="486"/>
      <c r="M11" s="486"/>
      <c r="N11" s="486"/>
      <c r="O11" s="486"/>
      <c r="P11" s="487"/>
      <c r="Q11" s="86" t="s">
        <v>312</v>
      </c>
      <c r="R11" s="497"/>
      <c r="S11" s="497"/>
      <c r="T11" s="497"/>
      <c r="U11" s="497"/>
      <c r="V11" s="497"/>
      <c r="W11" s="497"/>
      <c r="X11" s="497"/>
      <c r="Y11" s="498"/>
      <c r="Z11" s="494"/>
      <c r="AA11" s="458"/>
      <c r="AB11" s="393"/>
      <c r="AC11" s="393"/>
      <c r="AD11" s="393"/>
      <c r="AE11" s="393"/>
      <c r="AF11" s="393"/>
      <c r="AG11" s="393"/>
      <c r="AH11" s="459"/>
      <c r="AI11" s="458"/>
      <c r="AJ11" s="393"/>
      <c r="AK11" s="393"/>
      <c r="AL11" s="393"/>
      <c r="AM11" s="393"/>
      <c r="AN11" s="393"/>
      <c r="AO11" s="393"/>
      <c r="AP11" s="649"/>
      <c r="AQ11" s="470"/>
      <c r="AR11" s="471"/>
    </row>
    <row r="12" spans="1:44" ht="20.100000000000001" customHeight="1">
      <c r="A12" s="375"/>
      <c r="B12" s="465"/>
      <c r="C12" s="466"/>
      <c r="D12" s="466"/>
      <c r="E12" s="466"/>
      <c r="F12" s="466"/>
      <c r="G12" s="467"/>
      <c r="H12" s="485"/>
      <c r="I12" s="486"/>
      <c r="J12" s="486"/>
      <c r="K12" s="486"/>
      <c r="L12" s="486"/>
      <c r="M12" s="486"/>
      <c r="N12" s="486"/>
      <c r="O12" s="486"/>
      <c r="P12" s="487"/>
      <c r="Q12" s="86" t="s">
        <v>313</v>
      </c>
      <c r="R12" s="497"/>
      <c r="S12" s="497"/>
      <c r="T12" s="497"/>
      <c r="U12" s="497"/>
      <c r="V12" s="497"/>
      <c r="W12" s="497"/>
      <c r="X12" s="497"/>
      <c r="Y12" s="498"/>
      <c r="Z12" s="494"/>
      <c r="AA12" s="458"/>
      <c r="AB12" s="393"/>
      <c r="AC12" s="393"/>
      <c r="AD12" s="393"/>
      <c r="AE12" s="393"/>
      <c r="AF12" s="393"/>
      <c r="AG12" s="393"/>
      <c r="AH12" s="459"/>
      <c r="AI12" s="458"/>
      <c r="AJ12" s="393"/>
      <c r="AK12" s="393"/>
      <c r="AL12" s="393"/>
      <c r="AM12" s="393"/>
      <c r="AN12" s="393"/>
      <c r="AO12" s="393"/>
      <c r="AP12" s="649"/>
      <c r="AQ12" s="502"/>
      <c r="AR12" s="503"/>
    </row>
    <row r="13" spans="1:44" ht="20.100000000000001" customHeight="1">
      <c r="A13" s="375"/>
      <c r="B13" s="472" t="s">
        <v>314</v>
      </c>
      <c r="C13" s="473"/>
      <c r="D13" s="473"/>
      <c r="E13" s="473"/>
      <c r="F13" s="473"/>
      <c r="G13" s="474"/>
      <c r="H13" s="485"/>
      <c r="I13" s="486"/>
      <c r="J13" s="486"/>
      <c r="K13" s="486"/>
      <c r="L13" s="486"/>
      <c r="M13" s="486"/>
      <c r="N13" s="486"/>
      <c r="O13" s="486"/>
      <c r="P13" s="487"/>
      <c r="Q13" s="86" t="s">
        <v>315</v>
      </c>
      <c r="R13" s="497"/>
      <c r="S13" s="497"/>
      <c r="T13" s="497"/>
      <c r="U13" s="497"/>
      <c r="V13" s="497"/>
      <c r="W13" s="497"/>
      <c r="X13" s="497"/>
      <c r="Y13" s="498"/>
      <c r="Z13" s="494"/>
      <c r="AA13" s="458"/>
      <c r="AB13" s="393"/>
      <c r="AC13" s="393"/>
      <c r="AD13" s="393"/>
      <c r="AE13" s="393"/>
      <c r="AF13" s="393"/>
      <c r="AG13" s="393"/>
      <c r="AH13" s="459"/>
      <c r="AI13" s="458"/>
      <c r="AJ13" s="393"/>
      <c r="AK13" s="393"/>
      <c r="AL13" s="393"/>
      <c r="AM13" s="393"/>
      <c r="AN13" s="393"/>
      <c r="AO13" s="393"/>
      <c r="AP13" s="649"/>
      <c r="AQ13" s="475" t="s">
        <v>1</v>
      </c>
      <c r="AR13" s="476"/>
    </row>
    <row r="14" spans="1:44" ht="20.100000000000001" customHeight="1">
      <c r="A14" s="375"/>
      <c r="B14" s="464"/>
      <c r="C14" s="366"/>
      <c r="D14" s="366"/>
      <c r="E14" s="366"/>
      <c r="F14" s="366"/>
      <c r="G14" s="367"/>
      <c r="H14" s="485"/>
      <c r="I14" s="486"/>
      <c r="J14" s="486"/>
      <c r="K14" s="486"/>
      <c r="L14" s="486"/>
      <c r="M14" s="486"/>
      <c r="N14" s="486"/>
      <c r="O14" s="486"/>
      <c r="P14" s="487"/>
      <c r="Q14" s="86" t="s">
        <v>316</v>
      </c>
      <c r="R14" s="497"/>
      <c r="S14" s="497"/>
      <c r="T14" s="497"/>
      <c r="U14" s="497"/>
      <c r="V14" s="497"/>
      <c r="W14" s="497"/>
      <c r="X14" s="497"/>
      <c r="Y14" s="498"/>
      <c r="Z14" s="494"/>
      <c r="AA14" s="458"/>
      <c r="AB14" s="393"/>
      <c r="AC14" s="393"/>
      <c r="AD14" s="393"/>
      <c r="AE14" s="393"/>
      <c r="AF14" s="393"/>
      <c r="AG14" s="393"/>
      <c r="AH14" s="459"/>
      <c r="AI14" s="458"/>
      <c r="AJ14" s="393"/>
      <c r="AK14" s="393"/>
      <c r="AL14" s="393"/>
      <c r="AM14" s="393"/>
      <c r="AN14" s="393"/>
      <c r="AO14" s="393"/>
      <c r="AP14" s="650"/>
      <c r="AQ14" s="442">
        <f>Z9*AQ10</f>
        <v>0</v>
      </c>
      <c r="AR14" s="443"/>
    </row>
    <row r="15" spans="1:44" ht="20.100000000000001" customHeight="1">
      <c r="A15" s="375"/>
      <c r="B15" s="464"/>
      <c r="C15" s="366"/>
      <c r="D15" s="366"/>
      <c r="E15" s="366"/>
      <c r="F15" s="366"/>
      <c r="G15" s="367"/>
      <c r="H15" s="485"/>
      <c r="I15" s="486"/>
      <c r="J15" s="486"/>
      <c r="K15" s="486"/>
      <c r="L15" s="486"/>
      <c r="M15" s="486"/>
      <c r="N15" s="486"/>
      <c r="O15" s="486"/>
      <c r="P15" s="487"/>
      <c r="R15" s="366"/>
      <c r="S15" s="366"/>
      <c r="T15" s="366"/>
      <c r="U15" s="366"/>
      <c r="V15" s="366"/>
      <c r="W15" s="366"/>
      <c r="X15" s="366"/>
      <c r="Y15" s="367"/>
      <c r="Z15" s="494"/>
      <c r="AA15" s="458"/>
      <c r="AB15" s="393"/>
      <c r="AC15" s="393"/>
      <c r="AD15" s="393"/>
      <c r="AE15" s="393"/>
      <c r="AF15" s="393"/>
      <c r="AG15" s="393"/>
      <c r="AH15" s="459"/>
      <c r="AI15" s="458"/>
      <c r="AJ15" s="393"/>
      <c r="AK15" s="393"/>
      <c r="AL15" s="393"/>
      <c r="AM15" s="393"/>
      <c r="AN15" s="393"/>
      <c r="AO15" s="393"/>
      <c r="AP15" s="650"/>
      <c r="AQ15" s="444"/>
      <c r="AR15" s="445"/>
    </row>
    <row r="16" spans="1:44" ht="20.100000000000001" customHeight="1">
      <c r="A16" s="376"/>
      <c r="B16" s="499"/>
      <c r="C16" s="477"/>
      <c r="D16" s="477"/>
      <c r="E16" s="477"/>
      <c r="F16" s="477"/>
      <c r="G16" s="478"/>
      <c r="H16" s="504"/>
      <c r="I16" s="505"/>
      <c r="J16" s="505"/>
      <c r="K16" s="505"/>
      <c r="L16" s="505"/>
      <c r="M16" s="505"/>
      <c r="N16" s="505"/>
      <c r="O16" s="505"/>
      <c r="P16" s="506"/>
      <c r="Q16" s="86"/>
      <c r="R16" s="477"/>
      <c r="S16" s="477"/>
      <c r="T16" s="477"/>
      <c r="U16" s="477"/>
      <c r="V16" s="477"/>
      <c r="W16" s="477"/>
      <c r="X16" s="477"/>
      <c r="Y16" s="478"/>
      <c r="Z16" s="507"/>
      <c r="AA16" s="510"/>
      <c r="AB16" s="396"/>
      <c r="AC16" s="396"/>
      <c r="AD16" s="396"/>
      <c r="AE16" s="396"/>
      <c r="AF16" s="396"/>
      <c r="AG16" s="396"/>
      <c r="AH16" s="511"/>
      <c r="AI16" s="510"/>
      <c r="AJ16" s="396"/>
      <c r="AK16" s="396"/>
      <c r="AL16" s="396"/>
      <c r="AM16" s="396"/>
      <c r="AN16" s="396"/>
      <c r="AO16" s="396"/>
      <c r="AP16" s="651"/>
      <c r="AQ16" s="508"/>
      <c r="AR16" s="509"/>
    </row>
    <row r="17" spans="1:44" ht="20.100000000000001" customHeight="1">
      <c r="A17" s="374">
        <v>2</v>
      </c>
      <c r="B17" s="479" t="s">
        <v>308</v>
      </c>
      <c r="C17" s="480"/>
      <c r="D17" s="480"/>
      <c r="E17" s="480"/>
      <c r="F17" s="480"/>
      <c r="G17" s="481"/>
      <c r="H17" s="482"/>
      <c r="I17" s="483"/>
      <c r="J17" s="483"/>
      <c r="K17" s="483"/>
      <c r="L17" s="483"/>
      <c r="M17" s="483"/>
      <c r="N17" s="483"/>
      <c r="O17" s="483"/>
      <c r="P17" s="484"/>
      <c r="Q17" s="85" t="s">
        <v>309</v>
      </c>
      <c r="R17" s="491"/>
      <c r="S17" s="491"/>
      <c r="T17" s="491"/>
      <c r="U17" s="491"/>
      <c r="V17" s="491"/>
      <c r="W17" s="491"/>
      <c r="X17" s="491"/>
      <c r="Y17" s="492"/>
      <c r="Z17" s="493">
        <v>1</v>
      </c>
      <c r="AA17" s="455"/>
      <c r="AB17" s="456"/>
      <c r="AC17" s="456"/>
      <c r="AD17" s="456"/>
      <c r="AE17" s="456"/>
      <c r="AF17" s="456"/>
      <c r="AG17" s="456"/>
      <c r="AH17" s="457"/>
      <c r="AI17" s="455"/>
      <c r="AJ17" s="456"/>
      <c r="AK17" s="456"/>
      <c r="AL17" s="456"/>
      <c r="AM17" s="456"/>
      <c r="AN17" s="456"/>
      <c r="AO17" s="456"/>
      <c r="AP17" s="648"/>
      <c r="AQ17" s="462" t="s">
        <v>310</v>
      </c>
      <c r="AR17" s="463"/>
    </row>
    <row r="18" spans="1:44" ht="19.5" customHeight="1">
      <c r="A18" s="375"/>
      <c r="B18" s="464"/>
      <c r="C18" s="366"/>
      <c r="D18" s="366"/>
      <c r="E18" s="366"/>
      <c r="F18" s="366"/>
      <c r="G18" s="367"/>
      <c r="H18" s="485"/>
      <c r="I18" s="486"/>
      <c r="J18" s="486"/>
      <c r="K18" s="486"/>
      <c r="L18" s="486"/>
      <c r="M18" s="486"/>
      <c r="N18" s="486"/>
      <c r="O18" s="486"/>
      <c r="P18" s="487"/>
      <c r="Q18" s="86" t="s">
        <v>311</v>
      </c>
      <c r="R18" s="366"/>
      <c r="S18" s="366"/>
      <c r="T18" s="366"/>
      <c r="U18" s="366"/>
      <c r="V18" s="366"/>
      <c r="W18" s="366"/>
      <c r="X18" s="366"/>
      <c r="Y18" s="367"/>
      <c r="Z18" s="494"/>
      <c r="AA18" s="458"/>
      <c r="AB18" s="393"/>
      <c r="AC18" s="393"/>
      <c r="AD18" s="393"/>
      <c r="AE18" s="393"/>
      <c r="AF18" s="393"/>
      <c r="AG18" s="393"/>
      <c r="AH18" s="459"/>
      <c r="AI18" s="458"/>
      <c r="AJ18" s="393"/>
      <c r="AK18" s="393"/>
      <c r="AL18" s="393"/>
      <c r="AM18" s="393"/>
      <c r="AN18" s="393"/>
      <c r="AO18" s="393"/>
      <c r="AP18" s="649"/>
      <c r="AQ18" s="468"/>
      <c r="AR18" s="469"/>
    </row>
    <row r="19" spans="1:44" ht="19.5" customHeight="1">
      <c r="A19" s="375"/>
      <c r="B19" s="464"/>
      <c r="C19" s="366"/>
      <c r="D19" s="366"/>
      <c r="E19" s="366"/>
      <c r="F19" s="366"/>
      <c r="G19" s="367"/>
      <c r="H19" s="485"/>
      <c r="I19" s="486"/>
      <c r="J19" s="486"/>
      <c r="K19" s="486"/>
      <c r="L19" s="486"/>
      <c r="M19" s="486"/>
      <c r="N19" s="486"/>
      <c r="O19" s="486"/>
      <c r="P19" s="487"/>
      <c r="Q19" s="86" t="s">
        <v>312</v>
      </c>
      <c r="R19" s="366"/>
      <c r="S19" s="366"/>
      <c r="T19" s="366"/>
      <c r="U19" s="366"/>
      <c r="V19" s="366"/>
      <c r="W19" s="366"/>
      <c r="X19" s="366"/>
      <c r="Y19" s="367"/>
      <c r="Z19" s="494"/>
      <c r="AA19" s="458"/>
      <c r="AB19" s="393"/>
      <c r="AC19" s="393"/>
      <c r="AD19" s="393"/>
      <c r="AE19" s="393"/>
      <c r="AF19" s="393"/>
      <c r="AG19" s="393"/>
      <c r="AH19" s="459"/>
      <c r="AI19" s="458"/>
      <c r="AJ19" s="393"/>
      <c r="AK19" s="393"/>
      <c r="AL19" s="393"/>
      <c r="AM19" s="393"/>
      <c r="AN19" s="393"/>
      <c r="AO19" s="393"/>
      <c r="AP19" s="649"/>
      <c r="AQ19" s="470"/>
      <c r="AR19" s="471"/>
    </row>
    <row r="20" spans="1:44" ht="20.100000000000001" customHeight="1">
      <c r="A20" s="375"/>
      <c r="B20" s="465"/>
      <c r="C20" s="466"/>
      <c r="D20" s="466"/>
      <c r="E20" s="466"/>
      <c r="F20" s="466"/>
      <c r="G20" s="467"/>
      <c r="H20" s="485"/>
      <c r="I20" s="486"/>
      <c r="J20" s="486"/>
      <c r="K20" s="486"/>
      <c r="L20" s="486"/>
      <c r="M20" s="486"/>
      <c r="N20" s="486"/>
      <c r="O20" s="486"/>
      <c r="P20" s="487"/>
      <c r="Q20" s="86" t="s">
        <v>313</v>
      </c>
      <c r="R20" s="366"/>
      <c r="S20" s="366"/>
      <c r="T20" s="366"/>
      <c r="U20" s="366"/>
      <c r="V20" s="366"/>
      <c r="W20" s="366"/>
      <c r="X20" s="366"/>
      <c r="Y20" s="367"/>
      <c r="Z20" s="494"/>
      <c r="AA20" s="458"/>
      <c r="AB20" s="393"/>
      <c r="AC20" s="393"/>
      <c r="AD20" s="393"/>
      <c r="AE20" s="393"/>
      <c r="AF20" s="393"/>
      <c r="AG20" s="393"/>
      <c r="AH20" s="459"/>
      <c r="AI20" s="458"/>
      <c r="AJ20" s="393"/>
      <c r="AK20" s="393"/>
      <c r="AL20" s="393"/>
      <c r="AM20" s="393"/>
      <c r="AN20" s="393"/>
      <c r="AO20" s="393"/>
      <c r="AP20" s="649"/>
      <c r="AQ20" s="470"/>
      <c r="AR20" s="471"/>
    </row>
    <row r="21" spans="1:44" ht="20.100000000000001" customHeight="1">
      <c r="A21" s="375"/>
      <c r="B21" s="472" t="s">
        <v>314</v>
      </c>
      <c r="C21" s="473"/>
      <c r="D21" s="473"/>
      <c r="E21" s="473"/>
      <c r="F21" s="473"/>
      <c r="G21" s="474"/>
      <c r="H21" s="485"/>
      <c r="I21" s="486"/>
      <c r="J21" s="486"/>
      <c r="K21" s="486"/>
      <c r="L21" s="486"/>
      <c r="M21" s="486"/>
      <c r="N21" s="486"/>
      <c r="O21" s="486"/>
      <c r="P21" s="487"/>
      <c r="Q21" s="86" t="s">
        <v>315</v>
      </c>
      <c r="R21" s="366"/>
      <c r="S21" s="366"/>
      <c r="T21" s="366"/>
      <c r="U21" s="366"/>
      <c r="V21" s="366"/>
      <c r="W21" s="366"/>
      <c r="X21" s="366"/>
      <c r="Y21" s="367"/>
      <c r="Z21" s="494"/>
      <c r="AA21" s="458"/>
      <c r="AB21" s="393"/>
      <c r="AC21" s="393"/>
      <c r="AD21" s="393"/>
      <c r="AE21" s="393"/>
      <c r="AF21" s="393"/>
      <c r="AG21" s="393"/>
      <c r="AH21" s="459"/>
      <c r="AI21" s="458"/>
      <c r="AJ21" s="393"/>
      <c r="AK21" s="393"/>
      <c r="AL21" s="393"/>
      <c r="AM21" s="393"/>
      <c r="AN21" s="393"/>
      <c r="AO21" s="393"/>
      <c r="AP21" s="649"/>
      <c r="AQ21" s="475" t="s">
        <v>1</v>
      </c>
      <c r="AR21" s="476"/>
    </row>
    <row r="22" spans="1:44" ht="20.100000000000001" customHeight="1">
      <c r="A22" s="375"/>
      <c r="B22" s="464"/>
      <c r="C22" s="366"/>
      <c r="D22" s="366"/>
      <c r="E22" s="366"/>
      <c r="F22" s="366"/>
      <c r="G22" s="367"/>
      <c r="H22" s="485"/>
      <c r="I22" s="486"/>
      <c r="J22" s="486"/>
      <c r="K22" s="486"/>
      <c r="L22" s="486"/>
      <c r="M22" s="486"/>
      <c r="N22" s="486"/>
      <c r="O22" s="486"/>
      <c r="P22" s="487"/>
      <c r="Q22" s="86" t="s">
        <v>316</v>
      </c>
      <c r="R22" s="497"/>
      <c r="S22" s="497"/>
      <c r="T22" s="497"/>
      <c r="U22" s="497"/>
      <c r="V22" s="497"/>
      <c r="W22" s="497"/>
      <c r="X22" s="497"/>
      <c r="Y22" s="498"/>
      <c r="Z22" s="494"/>
      <c r="AA22" s="458"/>
      <c r="AB22" s="393"/>
      <c r="AC22" s="393"/>
      <c r="AD22" s="393"/>
      <c r="AE22" s="393"/>
      <c r="AF22" s="393"/>
      <c r="AG22" s="393"/>
      <c r="AH22" s="459"/>
      <c r="AI22" s="458"/>
      <c r="AJ22" s="393"/>
      <c r="AK22" s="393"/>
      <c r="AL22" s="393"/>
      <c r="AM22" s="393"/>
      <c r="AN22" s="393"/>
      <c r="AO22" s="393"/>
      <c r="AP22" s="649"/>
      <c r="AQ22" s="442">
        <f>Z17*AQ18</f>
        <v>0</v>
      </c>
      <c r="AR22" s="443"/>
    </row>
    <row r="23" spans="1:44" ht="20.100000000000001" customHeight="1">
      <c r="A23" s="375"/>
      <c r="B23" s="464"/>
      <c r="C23" s="366"/>
      <c r="D23" s="366"/>
      <c r="E23" s="366"/>
      <c r="F23" s="366"/>
      <c r="G23" s="367"/>
      <c r="H23" s="485"/>
      <c r="I23" s="486"/>
      <c r="J23" s="486"/>
      <c r="K23" s="486"/>
      <c r="L23" s="486"/>
      <c r="M23" s="486"/>
      <c r="N23" s="486"/>
      <c r="O23" s="486"/>
      <c r="P23" s="487"/>
      <c r="R23" s="366"/>
      <c r="S23" s="366"/>
      <c r="T23" s="366"/>
      <c r="U23" s="366"/>
      <c r="V23" s="366"/>
      <c r="W23" s="366"/>
      <c r="X23" s="366"/>
      <c r="Y23" s="367"/>
      <c r="Z23" s="494"/>
      <c r="AA23" s="458"/>
      <c r="AB23" s="393"/>
      <c r="AC23" s="393"/>
      <c r="AD23" s="393"/>
      <c r="AE23" s="393"/>
      <c r="AF23" s="393"/>
      <c r="AG23" s="393"/>
      <c r="AH23" s="459"/>
      <c r="AI23" s="458"/>
      <c r="AJ23" s="393"/>
      <c r="AK23" s="393"/>
      <c r="AL23" s="393"/>
      <c r="AM23" s="393"/>
      <c r="AN23" s="393"/>
      <c r="AO23" s="393"/>
      <c r="AP23" s="649"/>
      <c r="AQ23" s="444"/>
      <c r="AR23" s="445"/>
    </row>
    <row r="24" spans="1:44" ht="20.100000000000001" customHeight="1">
      <c r="A24" s="376"/>
      <c r="B24" s="499"/>
      <c r="C24" s="477"/>
      <c r="D24" s="477"/>
      <c r="E24" s="477"/>
      <c r="F24" s="477"/>
      <c r="G24" s="478"/>
      <c r="H24" s="504"/>
      <c r="I24" s="505"/>
      <c r="J24" s="505"/>
      <c r="K24" s="505"/>
      <c r="L24" s="505"/>
      <c r="M24" s="505"/>
      <c r="N24" s="505"/>
      <c r="O24" s="505"/>
      <c r="P24" s="506"/>
      <c r="Q24" s="86"/>
      <c r="R24" s="477"/>
      <c r="S24" s="477"/>
      <c r="T24" s="477"/>
      <c r="U24" s="477"/>
      <c r="V24" s="477"/>
      <c r="W24" s="477"/>
      <c r="X24" s="477"/>
      <c r="Y24" s="478"/>
      <c r="Z24" s="507"/>
      <c r="AA24" s="510"/>
      <c r="AB24" s="396"/>
      <c r="AC24" s="396"/>
      <c r="AD24" s="396"/>
      <c r="AE24" s="396"/>
      <c r="AF24" s="396"/>
      <c r="AG24" s="396"/>
      <c r="AH24" s="511"/>
      <c r="AI24" s="510"/>
      <c r="AJ24" s="396"/>
      <c r="AK24" s="396"/>
      <c r="AL24" s="396"/>
      <c r="AM24" s="396"/>
      <c r="AN24" s="396"/>
      <c r="AO24" s="396"/>
      <c r="AP24" s="652"/>
      <c r="AQ24" s="508"/>
      <c r="AR24" s="509"/>
    </row>
    <row r="25" spans="1:44" ht="20.100000000000001" customHeight="1">
      <c r="A25" s="374">
        <v>3</v>
      </c>
      <c r="B25" s="479" t="s">
        <v>308</v>
      </c>
      <c r="C25" s="480"/>
      <c r="D25" s="480"/>
      <c r="E25" s="480"/>
      <c r="F25" s="480"/>
      <c r="G25" s="481"/>
      <c r="H25" s="482"/>
      <c r="I25" s="483"/>
      <c r="J25" s="483"/>
      <c r="K25" s="483"/>
      <c r="L25" s="483"/>
      <c r="M25" s="483"/>
      <c r="N25" s="483"/>
      <c r="O25" s="483"/>
      <c r="P25" s="484"/>
      <c r="Q25" s="85" t="s">
        <v>309</v>
      </c>
      <c r="R25" s="491"/>
      <c r="S25" s="491"/>
      <c r="T25" s="491"/>
      <c r="U25" s="491"/>
      <c r="V25" s="491"/>
      <c r="W25" s="491"/>
      <c r="X25" s="491"/>
      <c r="Y25" s="492"/>
      <c r="Z25" s="493">
        <v>1</v>
      </c>
      <c r="AA25" s="455"/>
      <c r="AB25" s="456"/>
      <c r="AC25" s="456"/>
      <c r="AD25" s="456"/>
      <c r="AE25" s="456"/>
      <c r="AF25" s="456"/>
      <c r="AG25" s="456"/>
      <c r="AH25" s="457"/>
      <c r="AI25" s="455"/>
      <c r="AJ25" s="456"/>
      <c r="AK25" s="456"/>
      <c r="AL25" s="456"/>
      <c r="AM25" s="456"/>
      <c r="AN25" s="456"/>
      <c r="AO25" s="456"/>
      <c r="AP25" s="648"/>
      <c r="AQ25" s="462" t="s">
        <v>310</v>
      </c>
      <c r="AR25" s="463"/>
    </row>
    <row r="26" spans="1:44" ht="20.100000000000001" customHeight="1">
      <c r="A26" s="375"/>
      <c r="B26" s="464"/>
      <c r="C26" s="366"/>
      <c r="D26" s="366"/>
      <c r="E26" s="366"/>
      <c r="F26" s="366"/>
      <c r="G26" s="367"/>
      <c r="H26" s="485"/>
      <c r="I26" s="486"/>
      <c r="J26" s="486"/>
      <c r="K26" s="486"/>
      <c r="L26" s="486"/>
      <c r="M26" s="486"/>
      <c r="N26" s="486"/>
      <c r="O26" s="486"/>
      <c r="P26" s="487"/>
      <c r="Q26" s="86" t="s">
        <v>311</v>
      </c>
      <c r="R26" s="366"/>
      <c r="S26" s="366"/>
      <c r="T26" s="366"/>
      <c r="U26" s="366"/>
      <c r="V26" s="366"/>
      <c r="W26" s="366"/>
      <c r="X26" s="366"/>
      <c r="Y26" s="367"/>
      <c r="Z26" s="494"/>
      <c r="AA26" s="458"/>
      <c r="AB26" s="393"/>
      <c r="AC26" s="393"/>
      <c r="AD26" s="393"/>
      <c r="AE26" s="393"/>
      <c r="AF26" s="393"/>
      <c r="AG26" s="393"/>
      <c r="AH26" s="459"/>
      <c r="AI26" s="458"/>
      <c r="AJ26" s="393"/>
      <c r="AK26" s="393"/>
      <c r="AL26" s="393"/>
      <c r="AM26" s="393"/>
      <c r="AN26" s="393"/>
      <c r="AO26" s="393"/>
      <c r="AP26" s="649"/>
      <c r="AQ26" s="468"/>
      <c r="AR26" s="469"/>
    </row>
    <row r="27" spans="1:44" ht="20.100000000000001" customHeight="1">
      <c r="A27" s="375"/>
      <c r="B27" s="464"/>
      <c r="C27" s="366"/>
      <c r="D27" s="366"/>
      <c r="E27" s="366"/>
      <c r="F27" s="366"/>
      <c r="G27" s="367"/>
      <c r="H27" s="485"/>
      <c r="I27" s="486"/>
      <c r="J27" s="486"/>
      <c r="K27" s="486"/>
      <c r="L27" s="486"/>
      <c r="M27" s="486"/>
      <c r="N27" s="486"/>
      <c r="O27" s="486"/>
      <c r="P27" s="487"/>
      <c r="Q27" s="86" t="s">
        <v>312</v>
      </c>
      <c r="R27" s="366"/>
      <c r="S27" s="366"/>
      <c r="T27" s="366"/>
      <c r="U27" s="366"/>
      <c r="V27" s="366"/>
      <c r="W27" s="366"/>
      <c r="X27" s="366"/>
      <c r="Y27" s="367"/>
      <c r="Z27" s="494"/>
      <c r="AA27" s="458"/>
      <c r="AB27" s="393"/>
      <c r="AC27" s="393"/>
      <c r="AD27" s="393"/>
      <c r="AE27" s="393"/>
      <c r="AF27" s="393"/>
      <c r="AG27" s="393"/>
      <c r="AH27" s="459"/>
      <c r="AI27" s="458"/>
      <c r="AJ27" s="393"/>
      <c r="AK27" s="393"/>
      <c r="AL27" s="393"/>
      <c r="AM27" s="393"/>
      <c r="AN27" s="393"/>
      <c r="AO27" s="393"/>
      <c r="AP27" s="649"/>
      <c r="AQ27" s="470"/>
      <c r="AR27" s="471"/>
    </row>
    <row r="28" spans="1:44" ht="20.100000000000001" customHeight="1">
      <c r="A28" s="375"/>
      <c r="B28" s="465"/>
      <c r="C28" s="466"/>
      <c r="D28" s="466"/>
      <c r="E28" s="466"/>
      <c r="F28" s="466"/>
      <c r="G28" s="467"/>
      <c r="H28" s="485"/>
      <c r="I28" s="486"/>
      <c r="J28" s="486"/>
      <c r="K28" s="486"/>
      <c r="L28" s="486"/>
      <c r="M28" s="486"/>
      <c r="N28" s="486"/>
      <c r="O28" s="486"/>
      <c r="P28" s="487"/>
      <c r="Q28" s="86" t="s">
        <v>313</v>
      </c>
      <c r="R28" s="366"/>
      <c r="S28" s="366"/>
      <c r="T28" s="366"/>
      <c r="U28" s="366"/>
      <c r="V28" s="366"/>
      <c r="W28" s="366"/>
      <c r="X28" s="366"/>
      <c r="Y28" s="367"/>
      <c r="Z28" s="494"/>
      <c r="AA28" s="458"/>
      <c r="AB28" s="393"/>
      <c r="AC28" s="393"/>
      <c r="AD28" s="393"/>
      <c r="AE28" s="393"/>
      <c r="AF28" s="393"/>
      <c r="AG28" s="393"/>
      <c r="AH28" s="459"/>
      <c r="AI28" s="458"/>
      <c r="AJ28" s="393"/>
      <c r="AK28" s="393"/>
      <c r="AL28" s="393"/>
      <c r="AM28" s="393"/>
      <c r="AN28" s="393"/>
      <c r="AO28" s="393"/>
      <c r="AP28" s="649"/>
      <c r="AQ28" s="470"/>
      <c r="AR28" s="471"/>
    </row>
    <row r="29" spans="1:44" ht="20.100000000000001" customHeight="1">
      <c r="A29" s="375"/>
      <c r="B29" s="472" t="s">
        <v>314</v>
      </c>
      <c r="C29" s="473"/>
      <c r="D29" s="473"/>
      <c r="E29" s="473"/>
      <c r="F29" s="473"/>
      <c r="G29" s="474"/>
      <c r="H29" s="485"/>
      <c r="I29" s="486"/>
      <c r="J29" s="486"/>
      <c r="K29" s="486"/>
      <c r="L29" s="486"/>
      <c r="M29" s="486"/>
      <c r="N29" s="486"/>
      <c r="O29" s="486"/>
      <c r="P29" s="487"/>
      <c r="Q29" s="86" t="s">
        <v>315</v>
      </c>
      <c r="R29" s="366"/>
      <c r="S29" s="366"/>
      <c r="T29" s="366"/>
      <c r="U29" s="366"/>
      <c r="V29" s="366"/>
      <c r="W29" s="366"/>
      <c r="X29" s="366"/>
      <c r="Y29" s="367"/>
      <c r="Z29" s="494"/>
      <c r="AA29" s="458"/>
      <c r="AB29" s="393"/>
      <c r="AC29" s="393"/>
      <c r="AD29" s="393"/>
      <c r="AE29" s="393"/>
      <c r="AF29" s="393"/>
      <c r="AG29" s="393"/>
      <c r="AH29" s="459"/>
      <c r="AI29" s="458"/>
      <c r="AJ29" s="393"/>
      <c r="AK29" s="393"/>
      <c r="AL29" s="393"/>
      <c r="AM29" s="393"/>
      <c r="AN29" s="393"/>
      <c r="AO29" s="393"/>
      <c r="AP29" s="649"/>
      <c r="AQ29" s="475" t="s">
        <v>1</v>
      </c>
      <c r="AR29" s="476"/>
    </row>
    <row r="30" spans="1:44" ht="20.100000000000001" customHeight="1">
      <c r="A30" s="375"/>
      <c r="B30" s="464"/>
      <c r="C30" s="366"/>
      <c r="D30" s="366"/>
      <c r="E30" s="366"/>
      <c r="F30" s="366"/>
      <c r="G30" s="367"/>
      <c r="H30" s="485"/>
      <c r="I30" s="486"/>
      <c r="J30" s="486"/>
      <c r="K30" s="486"/>
      <c r="L30" s="486"/>
      <c r="M30" s="486"/>
      <c r="N30" s="486"/>
      <c r="O30" s="486"/>
      <c r="P30" s="487"/>
      <c r="Q30" s="86" t="s">
        <v>316</v>
      </c>
      <c r="R30" s="497"/>
      <c r="S30" s="497"/>
      <c r="T30" s="497"/>
      <c r="U30" s="497"/>
      <c r="V30" s="497"/>
      <c r="W30" s="497"/>
      <c r="X30" s="497"/>
      <c r="Y30" s="498"/>
      <c r="Z30" s="494"/>
      <c r="AA30" s="458"/>
      <c r="AB30" s="393"/>
      <c r="AC30" s="393"/>
      <c r="AD30" s="393"/>
      <c r="AE30" s="393"/>
      <c r="AF30" s="393"/>
      <c r="AG30" s="393"/>
      <c r="AH30" s="459"/>
      <c r="AI30" s="458"/>
      <c r="AJ30" s="393"/>
      <c r="AK30" s="393"/>
      <c r="AL30" s="393"/>
      <c r="AM30" s="393"/>
      <c r="AN30" s="393"/>
      <c r="AO30" s="393"/>
      <c r="AP30" s="649"/>
      <c r="AQ30" s="442">
        <f>Z25*AQ26</f>
        <v>0</v>
      </c>
      <c r="AR30" s="443"/>
    </row>
    <row r="31" spans="1:44" ht="20.100000000000001" customHeight="1">
      <c r="A31" s="375"/>
      <c r="B31" s="464"/>
      <c r="C31" s="366"/>
      <c r="D31" s="366"/>
      <c r="E31" s="366"/>
      <c r="F31" s="366"/>
      <c r="G31" s="367"/>
      <c r="H31" s="485"/>
      <c r="I31" s="486"/>
      <c r="J31" s="486"/>
      <c r="K31" s="486"/>
      <c r="L31" s="486"/>
      <c r="M31" s="486"/>
      <c r="N31" s="486"/>
      <c r="O31" s="486"/>
      <c r="P31" s="487"/>
      <c r="Q31" s="163"/>
      <c r="R31" s="366"/>
      <c r="S31" s="366"/>
      <c r="T31" s="366"/>
      <c r="U31" s="366"/>
      <c r="V31" s="366"/>
      <c r="W31" s="366"/>
      <c r="X31" s="366"/>
      <c r="Y31" s="367"/>
      <c r="Z31" s="494"/>
      <c r="AA31" s="458"/>
      <c r="AB31" s="393"/>
      <c r="AC31" s="393"/>
      <c r="AD31" s="393"/>
      <c r="AE31" s="393"/>
      <c r="AF31" s="393"/>
      <c r="AG31" s="393"/>
      <c r="AH31" s="459"/>
      <c r="AI31" s="458"/>
      <c r="AJ31" s="393"/>
      <c r="AK31" s="393"/>
      <c r="AL31" s="393"/>
      <c r="AM31" s="393"/>
      <c r="AN31" s="393"/>
      <c r="AO31" s="393"/>
      <c r="AP31" s="649"/>
      <c r="AQ31" s="444"/>
      <c r="AR31" s="445"/>
    </row>
    <row r="32" spans="1:44" ht="20.100000000000001" customHeight="1" thickBot="1">
      <c r="A32" s="398"/>
      <c r="B32" s="496"/>
      <c r="C32" s="448"/>
      <c r="D32" s="448"/>
      <c r="E32" s="448"/>
      <c r="F32" s="448"/>
      <c r="G32" s="449"/>
      <c r="H32" s="488"/>
      <c r="I32" s="489"/>
      <c r="J32" s="489"/>
      <c r="K32" s="489"/>
      <c r="L32" s="489"/>
      <c r="M32" s="489"/>
      <c r="N32" s="489"/>
      <c r="O32" s="489"/>
      <c r="P32" s="490"/>
      <c r="Q32" s="96"/>
      <c r="R32" s="448"/>
      <c r="S32" s="448"/>
      <c r="T32" s="448"/>
      <c r="U32" s="448"/>
      <c r="V32" s="448"/>
      <c r="W32" s="448"/>
      <c r="X32" s="448"/>
      <c r="Y32" s="449"/>
      <c r="Z32" s="495"/>
      <c r="AA32" s="460"/>
      <c r="AB32" s="403"/>
      <c r="AC32" s="403"/>
      <c r="AD32" s="403"/>
      <c r="AE32" s="403"/>
      <c r="AF32" s="403"/>
      <c r="AG32" s="403"/>
      <c r="AH32" s="461"/>
      <c r="AI32" s="460"/>
      <c r="AJ32" s="403"/>
      <c r="AK32" s="403"/>
      <c r="AL32" s="403"/>
      <c r="AM32" s="403"/>
      <c r="AN32" s="403"/>
      <c r="AO32" s="403"/>
      <c r="AP32" s="653"/>
      <c r="AQ32" s="446"/>
      <c r="AR32" s="447"/>
    </row>
    <row r="33" spans="1:44" ht="20.100000000000001" customHeight="1">
      <c r="Z33" s="97">
        <f>SUM(Z9:Z32)</f>
        <v>3</v>
      </c>
      <c r="AA33" s="164"/>
      <c r="AB33" s="164"/>
      <c r="AC33" s="164"/>
      <c r="AD33" s="164"/>
      <c r="AE33" s="164"/>
      <c r="AF33" s="164"/>
      <c r="AG33" s="164"/>
      <c r="AH33" s="164"/>
      <c r="AQ33" s="450">
        <f>AQ14+AQ22+AQ30</f>
        <v>0</v>
      </c>
      <c r="AR33" s="450"/>
    </row>
    <row r="34" spans="1:44" ht="42.75" customHeight="1" thickBot="1"/>
    <row r="35" spans="1:44" s="88" customFormat="1" ht="27.75" customHeight="1" thickBot="1">
      <c r="A35" s="451" t="s">
        <v>317</v>
      </c>
      <c r="B35" s="451"/>
      <c r="C35" s="451"/>
      <c r="D35" s="451"/>
      <c r="E35" s="451"/>
      <c r="F35" s="451" t="s">
        <v>318</v>
      </c>
      <c r="G35" s="451"/>
      <c r="H35" s="451"/>
      <c r="I35" s="451"/>
      <c r="J35" s="451"/>
      <c r="K35" s="451"/>
      <c r="L35" s="452"/>
      <c r="M35" s="453"/>
      <c r="N35" s="453"/>
      <c r="O35" s="453"/>
      <c r="P35" s="453"/>
      <c r="Q35" s="453"/>
      <c r="R35" s="453"/>
      <c r="S35" s="453"/>
      <c r="T35" s="453"/>
      <c r="U35" s="453"/>
      <c r="V35" s="453"/>
      <c r="W35" s="453"/>
      <c r="X35" s="453"/>
      <c r="Y35" s="453"/>
      <c r="Z35" s="453"/>
      <c r="AA35" s="453"/>
      <c r="AB35" s="453"/>
      <c r="AC35" s="453"/>
      <c r="AD35" s="453"/>
      <c r="AE35" s="453"/>
      <c r="AF35" s="453"/>
      <c r="AG35" s="454"/>
    </row>
    <row r="36" spans="1:44" s="88" customFormat="1" ht="15" customHeight="1" thickBot="1">
      <c r="A36" s="165"/>
      <c r="B36" s="165"/>
      <c r="C36" s="165"/>
      <c r="D36" s="165"/>
      <c r="E36" s="165"/>
      <c r="F36" s="165"/>
      <c r="G36" s="165"/>
      <c r="H36" s="165"/>
      <c r="I36" s="165"/>
      <c r="J36" s="165"/>
      <c r="K36" s="165"/>
      <c r="L36" s="166"/>
      <c r="M36" s="166"/>
      <c r="N36" s="166"/>
      <c r="O36" s="166"/>
      <c r="P36" s="166"/>
      <c r="Q36" s="166"/>
      <c r="R36" s="166"/>
      <c r="S36" s="166"/>
      <c r="T36" s="166"/>
      <c r="U36" s="166"/>
      <c r="V36" s="166"/>
      <c r="W36" s="166"/>
      <c r="X36" s="166"/>
      <c r="Y36" s="166"/>
      <c r="Z36" s="166"/>
      <c r="AA36" s="166"/>
      <c r="AB36" s="166"/>
      <c r="AC36" s="166"/>
      <c r="AD36" s="166"/>
      <c r="AE36" s="166"/>
      <c r="AF36" s="166"/>
      <c r="AG36" s="166"/>
    </row>
    <row r="37" spans="1:44" s="83" customFormat="1" ht="24" customHeight="1">
      <c r="A37" s="405" t="s">
        <v>292</v>
      </c>
      <c r="B37" s="406"/>
      <c r="C37" s="406"/>
      <c r="D37" s="406"/>
      <c r="E37" s="406"/>
      <c r="F37" s="406"/>
      <c r="G37" s="406"/>
      <c r="H37" s="406"/>
      <c r="I37" s="406"/>
      <c r="J37" s="406"/>
      <c r="K37" s="406"/>
      <c r="L37" s="406"/>
      <c r="M37" s="406"/>
      <c r="N37" s="406"/>
      <c r="O37" s="406"/>
      <c r="P37" s="406"/>
      <c r="Q37" s="406"/>
      <c r="R37" s="406"/>
      <c r="S37" s="406"/>
      <c r="T37" s="406"/>
      <c r="U37" s="406"/>
      <c r="V37" s="406"/>
      <c r="W37" s="406"/>
      <c r="X37" s="407"/>
      <c r="Y37" s="408" t="s">
        <v>319</v>
      </c>
      <c r="Z37" s="409"/>
      <c r="AA37" s="409"/>
      <c r="AB37" s="409"/>
      <c r="AC37" s="409"/>
      <c r="AD37" s="409"/>
      <c r="AE37" s="409"/>
      <c r="AF37" s="409"/>
      <c r="AG37" s="410"/>
      <c r="AH37" s="411" t="s">
        <v>320</v>
      </c>
      <c r="AI37" s="412"/>
      <c r="AJ37" s="412"/>
      <c r="AK37" s="412"/>
      <c r="AL37" s="412"/>
      <c r="AM37" s="412"/>
      <c r="AN37" s="412"/>
      <c r="AO37" s="412"/>
      <c r="AP37" s="412"/>
      <c r="AQ37" s="412"/>
      <c r="AR37" s="413"/>
    </row>
    <row r="38" spans="1:44" ht="15.6" customHeight="1">
      <c r="A38" s="374" t="s">
        <v>296</v>
      </c>
      <c r="B38" s="414" t="s">
        <v>321</v>
      </c>
      <c r="C38" s="415"/>
      <c r="D38" s="415"/>
      <c r="E38" s="415"/>
      <c r="F38" s="415"/>
      <c r="G38" s="415"/>
      <c r="H38" s="415"/>
      <c r="I38" s="415"/>
      <c r="J38" s="415"/>
      <c r="K38" s="416"/>
      <c r="L38" s="414" t="s">
        <v>298</v>
      </c>
      <c r="M38" s="415"/>
      <c r="N38" s="415"/>
      <c r="O38" s="415"/>
      <c r="P38" s="415"/>
      <c r="Q38" s="415"/>
      <c r="R38" s="415"/>
      <c r="S38" s="415"/>
      <c r="T38" s="415"/>
      <c r="U38" s="415"/>
      <c r="V38" s="415"/>
      <c r="W38" s="415"/>
      <c r="X38" s="423"/>
      <c r="Y38" s="424" t="s">
        <v>301</v>
      </c>
      <c r="Z38" s="425"/>
      <c r="AA38" s="425"/>
      <c r="AB38" s="425"/>
      <c r="AC38" s="425"/>
      <c r="AD38" s="425"/>
      <c r="AE38" s="425"/>
      <c r="AF38" s="425"/>
      <c r="AG38" s="426"/>
      <c r="AH38" s="427" t="s">
        <v>322</v>
      </c>
      <c r="AI38" s="428"/>
      <c r="AJ38" s="428"/>
      <c r="AK38" s="428"/>
      <c r="AL38" s="428"/>
      <c r="AM38" s="428"/>
      <c r="AN38" s="428"/>
      <c r="AO38" s="428"/>
      <c r="AP38" s="428"/>
      <c r="AQ38" s="428"/>
      <c r="AR38" s="429"/>
    </row>
    <row r="39" spans="1:44" ht="15.6" customHeight="1">
      <c r="A39" s="375"/>
      <c r="B39" s="417"/>
      <c r="C39" s="418"/>
      <c r="D39" s="418"/>
      <c r="E39" s="418"/>
      <c r="F39" s="418"/>
      <c r="G39" s="418"/>
      <c r="H39" s="418"/>
      <c r="I39" s="418"/>
      <c r="J39" s="418"/>
      <c r="K39" s="419"/>
      <c r="L39" s="430" t="s">
        <v>323</v>
      </c>
      <c r="M39" s="431"/>
      <c r="N39" s="431"/>
      <c r="O39" s="431"/>
      <c r="P39" s="431"/>
      <c r="Q39" s="431"/>
      <c r="R39" s="431"/>
      <c r="S39" s="431"/>
      <c r="T39" s="431"/>
      <c r="U39" s="431"/>
      <c r="V39" s="431"/>
      <c r="W39" s="431"/>
      <c r="X39" s="432"/>
      <c r="Y39" s="436" t="s">
        <v>324</v>
      </c>
      <c r="Z39" s="437"/>
      <c r="AA39" s="437"/>
      <c r="AB39" s="437"/>
      <c r="AC39" s="437"/>
      <c r="AD39" s="437"/>
      <c r="AE39" s="437"/>
      <c r="AF39" s="437"/>
      <c r="AG39" s="438"/>
      <c r="AH39" s="368" t="s">
        <v>325</v>
      </c>
      <c r="AI39" s="369"/>
      <c r="AJ39" s="369"/>
      <c r="AK39" s="369"/>
      <c r="AL39" s="369"/>
      <c r="AM39" s="369"/>
      <c r="AN39" s="369"/>
      <c r="AO39" s="369"/>
      <c r="AP39" s="369"/>
      <c r="AQ39" s="369"/>
      <c r="AR39" s="370"/>
    </row>
    <row r="40" spans="1:44">
      <c r="A40" s="376"/>
      <c r="B40" s="420"/>
      <c r="C40" s="421"/>
      <c r="D40" s="421"/>
      <c r="E40" s="421"/>
      <c r="F40" s="421"/>
      <c r="G40" s="421"/>
      <c r="H40" s="421"/>
      <c r="I40" s="421"/>
      <c r="J40" s="421"/>
      <c r="K40" s="422"/>
      <c r="L40" s="433"/>
      <c r="M40" s="434"/>
      <c r="N40" s="434"/>
      <c r="O40" s="434"/>
      <c r="P40" s="434"/>
      <c r="Q40" s="434"/>
      <c r="R40" s="434"/>
      <c r="S40" s="434"/>
      <c r="T40" s="434"/>
      <c r="U40" s="434"/>
      <c r="V40" s="434"/>
      <c r="W40" s="434"/>
      <c r="X40" s="435"/>
      <c r="Y40" s="439"/>
      <c r="Z40" s="440"/>
      <c r="AA40" s="440"/>
      <c r="AB40" s="440"/>
      <c r="AC40" s="440"/>
      <c r="AD40" s="440"/>
      <c r="AE40" s="440"/>
      <c r="AF40" s="440"/>
      <c r="AG40" s="441"/>
      <c r="AH40" s="371"/>
      <c r="AI40" s="372"/>
      <c r="AJ40" s="372"/>
      <c r="AK40" s="372"/>
      <c r="AL40" s="372"/>
      <c r="AM40" s="372"/>
      <c r="AN40" s="372"/>
      <c r="AO40" s="372"/>
      <c r="AP40" s="372"/>
      <c r="AQ40" s="372"/>
      <c r="AR40" s="373"/>
    </row>
    <row r="41" spans="1:44" ht="20.100000000000001" customHeight="1">
      <c r="A41" s="374">
        <v>1</v>
      </c>
      <c r="B41" s="377" t="s">
        <v>326</v>
      </c>
      <c r="C41" s="378"/>
      <c r="D41" s="378"/>
      <c r="E41" s="378"/>
      <c r="F41" s="378"/>
      <c r="G41" s="378"/>
      <c r="H41" s="378"/>
      <c r="I41" s="378"/>
      <c r="J41" s="378"/>
      <c r="K41" s="379"/>
      <c r="L41" s="380"/>
      <c r="M41" s="381"/>
      <c r="N41" s="381"/>
      <c r="O41" s="381"/>
      <c r="P41" s="381"/>
      <c r="Q41" s="381"/>
      <c r="R41" s="381"/>
      <c r="S41" s="381"/>
      <c r="T41" s="381"/>
      <c r="U41" s="381"/>
      <c r="V41" s="381"/>
      <c r="W41" s="381"/>
      <c r="X41" s="382"/>
      <c r="Y41" s="155"/>
      <c r="Z41" s="155"/>
      <c r="AA41" s="155"/>
      <c r="AB41" s="155"/>
      <c r="AC41" s="155"/>
      <c r="AD41" s="155"/>
      <c r="AE41" s="155"/>
      <c r="AF41" s="155"/>
      <c r="AG41" s="155"/>
      <c r="AH41" s="167"/>
      <c r="AI41" s="168"/>
      <c r="AJ41" s="168"/>
      <c r="AK41" s="168"/>
      <c r="AL41" s="168"/>
      <c r="AM41" s="168"/>
      <c r="AN41" s="168"/>
      <c r="AO41" s="168"/>
      <c r="AP41" s="168"/>
      <c r="AQ41" s="168"/>
      <c r="AR41" s="169"/>
    </row>
    <row r="42" spans="1:44" ht="20.100000000000001" customHeight="1">
      <c r="A42" s="375"/>
      <c r="B42" s="389"/>
      <c r="C42" s="390"/>
      <c r="D42" s="390"/>
      <c r="E42" s="390"/>
      <c r="F42" s="390"/>
      <c r="G42" s="390"/>
      <c r="H42" s="390"/>
      <c r="I42" s="390"/>
      <c r="J42" s="390"/>
      <c r="K42" s="391"/>
      <c r="L42" s="383"/>
      <c r="M42" s="384"/>
      <c r="N42" s="384"/>
      <c r="O42" s="384"/>
      <c r="P42" s="384"/>
      <c r="Q42" s="384"/>
      <c r="R42" s="384"/>
      <c r="S42" s="384"/>
      <c r="T42" s="384"/>
      <c r="U42" s="384"/>
      <c r="V42" s="384"/>
      <c r="W42" s="384"/>
      <c r="X42" s="385"/>
      <c r="Y42" s="156"/>
      <c r="Z42" s="156"/>
      <c r="AA42" s="156"/>
      <c r="AB42" s="156"/>
      <c r="AC42" s="156"/>
      <c r="AD42" s="156"/>
      <c r="AE42" s="156"/>
      <c r="AF42" s="156"/>
      <c r="AG42" s="156"/>
      <c r="AH42" s="170"/>
      <c r="AI42" s="81"/>
      <c r="AJ42" s="81"/>
      <c r="AK42" s="81"/>
      <c r="AL42" s="81"/>
      <c r="AM42" s="81"/>
      <c r="AN42" s="81"/>
      <c r="AO42" s="81"/>
      <c r="AP42" s="81"/>
      <c r="AQ42" s="81"/>
      <c r="AR42" s="171"/>
    </row>
    <row r="43" spans="1:44" ht="20.100000000000001" customHeight="1">
      <c r="A43" s="375"/>
      <c r="B43" s="392"/>
      <c r="C43" s="393"/>
      <c r="D43" s="393"/>
      <c r="E43" s="393"/>
      <c r="F43" s="393"/>
      <c r="G43" s="393"/>
      <c r="H43" s="393"/>
      <c r="I43" s="393"/>
      <c r="J43" s="393"/>
      <c r="K43" s="394"/>
      <c r="L43" s="383"/>
      <c r="M43" s="384"/>
      <c r="N43" s="384"/>
      <c r="O43" s="384"/>
      <c r="P43" s="384"/>
      <c r="Q43" s="384"/>
      <c r="R43" s="384"/>
      <c r="S43" s="384"/>
      <c r="T43" s="384"/>
      <c r="U43" s="384"/>
      <c r="V43" s="384"/>
      <c r="W43" s="384"/>
      <c r="X43" s="385"/>
      <c r="Y43" s="156"/>
      <c r="Z43" s="156"/>
      <c r="AA43" s="156"/>
      <c r="AB43" s="156"/>
      <c r="AC43" s="156"/>
      <c r="AD43" s="156"/>
      <c r="AE43" s="156"/>
      <c r="AF43" s="156"/>
      <c r="AG43" s="156"/>
      <c r="AH43" s="170"/>
      <c r="AI43" s="81"/>
      <c r="AJ43" s="81"/>
      <c r="AK43" s="81"/>
      <c r="AL43" s="81"/>
      <c r="AM43" s="81"/>
      <c r="AN43" s="81"/>
      <c r="AO43" s="81"/>
      <c r="AP43" s="81"/>
      <c r="AQ43" s="81"/>
      <c r="AR43" s="171"/>
    </row>
    <row r="44" spans="1:44" ht="20.100000000000001" customHeight="1">
      <c r="A44" s="375"/>
      <c r="B44" s="392"/>
      <c r="C44" s="393"/>
      <c r="D44" s="393"/>
      <c r="E44" s="393"/>
      <c r="F44" s="393"/>
      <c r="G44" s="393"/>
      <c r="H44" s="393"/>
      <c r="I44" s="393"/>
      <c r="J44" s="393"/>
      <c r="K44" s="394"/>
      <c r="L44" s="383"/>
      <c r="M44" s="384"/>
      <c r="N44" s="384"/>
      <c r="O44" s="384"/>
      <c r="P44" s="384"/>
      <c r="Q44" s="384"/>
      <c r="R44" s="384"/>
      <c r="S44" s="384"/>
      <c r="T44" s="384"/>
      <c r="U44" s="384"/>
      <c r="V44" s="384"/>
      <c r="W44" s="384"/>
      <c r="X44" s="385"/>
      <c r="Y44" s="156"/>
      <c r="Z44" s="156"/>
      <c r="AA44" s="156"/>
      <c r="AB44" s="156"/>
      <c r="AC44" s="156"/>
      <c r="AD44" s="156"/>
      <c r="AE44" s="156"/>
      <c r="AF44" s="156"/>
      <c r="AG44" s="156"/>
      <c r="AH44" s="170"/>
      <c r="AI44" s="81"/>
      <c r="AJ44" s="81"/>
      <c r="AK44" s="81"/>
      <c r="AL44" s="81"/>
      <c r="AM44" s="81"/>
      <c r="AN44" s="81"/>
      <c r="AO44" s="81"/>
      <c r="AP44" s="81"/>
      <c r="AQ44" s="81"/>
      <c r="AR44" s="171"/>
    </row>
    <row r="45" spans="1:44" ht="20.100000000000001" customHeight="1">
      <c r="A45" s="375"/>
      <c r="B45" s="392"/>
      <c r="C45" s="393"/>
      <c r="D45" s="393"/>
      <c r="E45" s="393"/>
      <c r="F45" s="393"/>
      <c r="G45" s="393"/>
      <c r="H45" s="393"/>
      <c r="I45" s="393"/>
      <c r="J45" s="393"/>
      <c r="K45" s="394"/>
      <c r="L45" s="383"/>
      <c r="M45" s="384"/>
      <c r="N45" s="384"/>
      <c r="O45" s="384"/>
      <c r="P45" s="384"/>
      <c r="Q45" s="384"/>
      <c r="R45" s="384"/>
      <c r="S45" s="384"/>
      <c r="T45" s="384"/>
      <c r="U45" s="384"/>
      <c r="V45" s="384"/>
      <c r="W45" s="384"/>
      <c r="X45" s="385"/>
      <c r="Y45" s="156"/>
      <c r="Z45" s="156"/>
      <c r="AA45" s="156"/>
      <c r="AB45" s="156"/>
      <c r="AC45" s="156"/>
      <c r="AD45" s="156"/>
      <c r="AE45" s="156"/>
      <c r="AF45" s="156"/>
      <c r="AG45" s="156"/>
      <c r="AH45" s="170"/>
      <c r="AI45" s="81"/>
      <c r="AJ45" s="81"/>
      <c r="AK45" s="81"/>
      <c r="AL45" s="81"/>
      <c r="AM45" s="81"/>
      <c r="AN45" s="81"/>
      <c r="AO45" s="81"/>
      <c r="AP45" s="81"/>
      <c r="AQ45" s="81"/>
      <c r="AR45" s="171"/>
    </row>
    <row r="46" spans="1:44" ht="20.100000000000001" customHeight="1">
      <c r="A46" s="375"/>
      <c r="B46" s="392"/>
      <c r="C46" s="393"/>
      <c r="D46" s="393"/>
      <c r="E46" s="393"/>
      <c r="F46" s="393"/>
      <c r="G46" s="393"/>
      <c r="H46" s="393"/>
      <c r="I46" s="393"/>
      <c r="J46" s="393"/>
      <c r="K46" s="394"/>
      <c r="L46" s="383"/>
      <c r="M46" s="384"/>
      <c r="N46" s="384"/>
      <c r="O46" s="384"/>
      <c r="P46" s="384"/>
      <c r="Q46" s="384"/>
      <c r="R46" s="384"/>
      <c r="S46" s="384"/>
      <c r="T46" s="384"/>
      <c r="U46" s="384"/>
      <c r="V46" s="384"/>
      <c r="W46" s="384"/>
      <c r="X46" s="385"/>
      <c r="Y46" s="156"/>
      <c r="Z46" s="156"/>
      <c r="AA46" s="156"/>
      <c r="AB46" s="156"/>
      <c r="AC46" s="156"/>
      <c r="AD46" s="156"/>
      <c r="AE46" s="156"/>
      <c r="AF46" s="156"/>
      <c r="AG46" s="156"/>
      <c r="AH46" s="170"/>
      <c r="AI46" s="81"/>
      <c r="AJ46" s="81"/>
      <c r="AK46" s="81"/>
      <c r="AL46" s="81"/>
      <c r="AM46" s="81"/>
      <c r="AN46" s="81"/>
      <c r="AO46" s="81"/>
      <c r="AP46" s="81"/>
      <c r="AQ46" s="81"/>
      <c r="AR46" s="171"/>
    </row>
    <row r="47" spans="1:44" ht="20.100000000000001" customHeight="1">
      <c r="A47" s="376"/>
      <c r="B47" s="395"/>
      <c r="C47" s="396"/>
      <c r="D47" s="396"/>
      <c r="E47" s="396"/>
      <c r="F47" s="396"/>
      <c r="G47" s="396"/>
      <c r="H47" s="396"/>
      <c r="I47" s="396"/>
      <c r="J47" s="396"/>
      <c r="K47" s="397"/>
      <c r="L47" s="386"/>
      <c r="M47" s="387"/>
      <c r="N47" s="387"/>
      <c r="O47" s="387"/>
      <c r="P47" s="387"/>
      <c r="Q47" s="387"/>
      <c r="R47" s="387"/>
      <c r="S47" s="387"/>
      <c r="T47" s="387"/>
      <c r="U47" s="387"/>
      <c r="V47" s="387"/>
      <c r="W47" s="387"/>
      <c r="X47" s="388"/>
      <c r="Y47" s="157"/>
      <c r="Z47" s="157"/>
      <c r="AA47" s="157"/>
      <c r="AB47" s="157"/>
      <c r="AC47" s="157"/>
      <c r="AD47" s="157"/>
      <c r="AE47" s="157"/>
      <c r="AF47" s="157"/>
      <c r="AG47" s="157"/>
      <c r="AH47" s="172"/>
      <c r="AI47" s="173"/>
      <c r="AJ47" s="173"/>
      <c r="AK47" s="173"/>
      <c r="AL47" s="173"/>
      <c r="AM47" s="173"/>
      <c r="AN47" s="173"/>
      <c r="AO47" s="173"/>
      <c r="AP47" s="173"/>
      <c r="AQ47" s="173"/>
      <c r="AR47" s="174"/>
    </row>
    <row r="48" spans="1:44" ht="20.100000000000001" customHeight="1">
      <c r="A48" s="374">
        <v>2</v>
      </c>
      <c r="B48" s="377" t="s">
        <v>327</v>
      </c>
      <c r="C48" s="378"/>
      <c r="D48" s="378"/>
      <c r="E48" s="378"/>
      <c r="F48" s="378"/>
      <c r="G48" s="378"/>
      <c r="H48" s="378"/>
      <c r="I48" s="378"/>
      <c r="J48" s="378"/>
      <c r="K48" s="379"/>
      <c r="L48" s="380"/>
      <c r="M48" s="381"/>
      <c r="N48" s="381"/>
      <c r="O48" s="381"/>
      <c r="P48" s="381"/>
      <c r="Q48" s="381"/>
      <c r="R48" s="381"/>
      <c r="S48" s="381"/>
      <c r="T48" s="381"/>
      <c r="U48" s="381"/>
      <c r="V48" s="381"/>
      <c r="W48" s="381"/>
      <c r="X48" s="382"/>
      <c r="Y48" s="155"/>
      <c r="Z48" s="155"/>
      <c r="AA48" s="155"/>
      <c r="AB48" s="155"/>
      <c r="AC48" s="155"/>
      <c r="AD48" s="155"/>
      <c r="AE48" s="155"/>
      <c r="AF48" s="155"/>
      <c r="AG48" s="155"/>
      <c r="AH48" s="167"/>
      <c r="AI48" s="168"/>
      <c r="AJ48" s="168"/>
      <c r="AK48" s="168"/>
      <c r="AL48" s="168"/>
      <c r="AM48" s="168"/>
      <c r="AN48" s="168"/>
      <c r="AO48" s="168"/>
      <c r="AP48" s="168"/>
      <c r="AQ48" s="168"/>
      <c r="AR48" s="169"/>
    </row>
    <row r="49" spans="1:44" ht="20.100000000000001" customHeight="1">
      <c r="A49" s="375"/>
      <c r="B49" s="389"/>
      <c r="C49" s="390"/>
      <c r="D49" s="390"/>
      <c r="E49" s="390"/>
      <c r="F49" s="390"/>
      <c r="G49" s="390"/>
      <c r="H49" s="390"/>
      <c r="I49" s="390"/>
      <c r="J49" s="390"/>
      <c r="K49" s="391"/>
      <c r="L49" s="383"/>
      <c r="M49" s="384"/>
      <c r="N49" s="384"/>
      <c r="O49" s="384"/>
      <c r="P49" s="384"/>
      <c r="Q49" s="384"/>
      <c r="R49" s="384"/>
      <c r="S49" s="384"/>
      <c r="T49" s="384"/>
      <c r="U49" s="384"/>
      <c r="V49" s="384"/>
      <c r="W49" s="384"/>
      <c r="X49" s="385"/>
      <c r="Y49" s="156"/>
      <c r="Z49" s="156"/>
      <c r="AA49" s="156"/>
      <c r="AB49" s="156"/>
      <c r="AC49" s="156"/>
      <c r="AD49" s="156"/>
      <c r="AE49" s="156"/>
      <c r="AF49" s="156"/>
      <c r="AG49" s="156"/>
      <c r="AH49" s="170"/>
      <c r="AI49" s="81"/>
      <c r="AJ49" s="81"/>
      <c r="AK49" s="81"/>
      <c r="AL49" s="81"/>
      <c r="AM49" s="81"/>
      <c r="AN49" s="81"/>
      <c r="AO49" s="81"/>
      <c r="AP49" s="81"/>
      <c r="AQ49" s="81"/>
      <c r="AR49" s="171"/>
    </row>
    <row r="50" spans="1:44" ht="20.100000000000001" customHeight="1">
      <c r="A50" s="375"/>
      <c r="B50" s="392"/>
      <c r="C50" s="393"/>
      <c r="D50" s="393"/>
      <c r="E50" s="393"/>
      <c r="F50" s="393"/>
      <c r="G50" s="393"/>
      <c r="H50" s="393"/>
      <c r="I50" s="393"/>
      <c r="J50" s="393"/>
      <c r="K50" s="394"/>
      <c r="L50" s="383"/>
      <c r="M50" s="384"/>
      <c r="N50" s="384"/>
      <c r="O50" s="384"/>
      <c r="P50" s="384"/>
      <c r="Q50" s="384"/>
      <c r="R50" s="384"/>
      <c r="S50" s="384"/>
      <c r="T50" s="384"/>
      <c r="U50" s="384"/>
      <c r="V50" s="384"/>
      <c r="W50" s="384"/>
      <c r="X50" s="385"/>
      <c r="Y50" s="156"/>
      <c r="Z50" s="156"/>
      <c r="AA50" s="156"/>
      <c r="AB50" s="156"/>
      <c r="AC50" s="156"/>
      <c r="AD50" s="156"/>
      <c r="AE50" s="156"/>
      <c r="AF50" s="156"/>
      <c r="AG50" s="156"/>
      <c r="AH50" s="170"/>
      <c r="AI50" s="81"/>
      <c r="AJ50" s="81"/>
      <c r="AK50" s="81"/>
      <c r="AL50" s="81"/>
      <c r="AM50" s="81"/>
      <c r="AN50" s="81"/>
      <c r="AO50" s="81"/>
      <c r="AP50" s="81"/>
      <c r="AQ50" s="81"/>
      <c r="AR50" s="171"/>
    </row>
    <row r="51" spans="1:44" ht="20.100000000000001" customHeight="1">
      <c r="A51" s="375"/>
      <c r="B51" s="392"/>
      <c r="C51" s="393"/>
      <c r="D51" s="393"/>
      <c r="E51" s="393"/>
      <c r="F51" s="393"/>
      <c r="G51" s="393"/>
      <c r="H51" s="393"/>
      <c r="I51" s="393"/>
      <c r="J51" s="393"/>
      <c r="K51" s="394"/>
      <c r="L51" s="383"/>
      <c r="M51" s="384"/>
      <c r="N51" s="384"/>
      <c r="O51" s="384"/>
      <c r="P51" s="384"/>
      <c r="Q51" s="384"/>
      <c r="R51" s="384"/>
      <c r="S51" s="384"/>
      <c r="T51" s="384"/>
      <c r="U51" s="384"/>
      <c r="V51" s="384"/>
      <c r="W51" s="384"/>
      <c r="X51" s="385"/>
      <c r="Y51" s="156"/>
      <c r="Z51" s="156"/>
      <c r="AA51" s="156"/>
      <c r="AB51" s="156"/>
      <c r="AC51" s="156"/>
      <c r="AD51" s="156"/>
      <c r="AE51" s="156"/>
      <c r="AF51" s="156"/>
      <c r="AG51" s="156"/>
      <c r="AH51" s="170"/>
      <c r="AI51" s="81"/>
      <c r="AJ51" s="81"/>
      <c r="AK51" s="81"/>
      <c r="AL51" s="81"/>
      <c r="AM51" s="81"/>
      <c r="AN51" s="81"/>
      <c r="AO51" s="81"/>
      <c r="AP51" s="81"/>
      <c r="AQ51" s="81"/>
      <c r="AR51" s="171"/>
    </row>
    <row r="52" spans="1:44" ht="20.100000000000001" customHeight="1">
      <c r="A52" s="375"/>
      <c r="B52" s="392"/>
      <c r="C52" s="393"/>
      <c r="D52" s="393"/>
      <c r="E52" s="393"/>
      <c r="F52" s="393"/>
      <c r="G52" s="393"/>
      <c r="H52" s="393"/>
      <c r="I52" s="393"/>
      <c r="J52" s="393"/>
      <c r="K52" s="394"/>
      <c r="L52" s="383"/>
      <c r="M52" s="384"/>
      <c r="N52" s="384"/>
      <c r="O52" s="384"/>
      <c r="P52" s="384"/>
      <c r="Q52" s="384"/>
      <c r="R52" s="384"/>
      <c r="S52" s="384"/>
      <c r="T52" s="384"/>
      <c r="U52" s="384"/>
      <c r="V52" s="384"/>
      <c r="W52" s="384"/>
      <c r="X52" s="385"/>
      <c r="Y52" s="156"/>
      <c r="Z52" s="156"/>
      <c r="AA52" s="156"/>
      <c r="AB52" s="156"/>
      <c r="AC52" s="156"/>
      <c r="AD52" s="156"/>
      <c r="AE52" s="156"/>
      <c r="AF52" s="156"/>
      <c r="AG52" s="156"/>
      <c r="AH52" s="170"/>
      <c r="AI52" s="81"/>
      <c r="AJ52" s="81"/>
      <c r="AK52" s="81"/>
      <c r="AL52" s="81"/>
      <c r="AM52" s="81"/>
      <c r="AN52" s="81"/>
      <c r="AO52" s="81"/>
      <c r="AP52" s="81"/>
      <c r="AQ52" s="81"/>
      <c r="AR52" s="171"/>
    </row>
    <row r="53" spans="1:44" ht="20.100000000000001" customHeight="1">
      <c r="A53" s="375"/>
      <c r="B53" s="392"/>
      <c r="C53" s="393"/>
      <c r="D53" s="393"/>
      <c r="E53" s="393"/>
      <c r="F53" s="393"/>
      <c r="G53" s="393"/>
      <c r="H53" s="393"/>
      <c r="I53" s="393"/>
      <c r="J53" s="393"/>
      <c r="K53" s="394"/>
      <c r="L53" s="383"/>
      <c r="M53" s="384"/>
      <c r="N53" s="384"/>
      <c r="O53" s="384"/>
      <c r="P53" s="384"/>
      <c r="Q53" s="384"/>
      <c r="R53" s="384"/>
      <c r="S53" s="384"/>
      <c r="T53" s="384"/>
      <c r="U53" s="384"/>
      <c r="V53" s="384"/>
      <c r="W53" s="384"/>
      <c r="X53" s="385"/>
      <c r="Y53" s="156"/>
      <c r="Z53" s="156"/>
      <c r="AA53" s="156"/>
      <c r="AB53" s="156"/>
      <c r="AC53" s="156"/>
      <c r="AD53" s="156"/>
      <c r="AE53" s="156"/>
      <c r="AF53" s="156"/>
      <c r="AG53" s="156"/>
      <c r="AH53" s="170"/>
      <c r="AI53" s="81"/>
      <c r="AJ53" s="81"/>
      <c r="AK53" s="81"/>
      <c r="AL53" s="81"/>
      <c r="AM53" s="81"/>
      <c r="AN53" s="81"/>
      <c r="AO53" s="81"/>
      <c r="AP53" s="81"/>
      <c r="AQ53" s="81"/>
      <c r="AR53" s="171"/>
    </row>
    <row r="54" spans="1:44" ht="20.100000000000001" customHeight="1" thickBot="1">
      <c r="A54" s="398"/>
      <c r="B54" s="402"/>
      <c r="C54" s="403"/>
      <c r="D54" s="403"/>
      <c r="E54" s="403"/>
      <c r="F54" s="403"/>
      <c r="G54" s="403"/>
      <c r="H54" s="403"/>
      <c r="I54" s="403"/>
      <c r="J54" s="403"/>
      <c r="K54" s="404"/>
      <c r="L54" s="399"/>
      <c r="M54" s="400"/>
      <c r="N54" s="400"/>
      <c r="O54" s="400"/>
      <c r="P54" s="400"/>
      <c r="Q54" s="400"/>
      <c r="R54" s="400"/>
      <c r="S54" s="400"/>
      <c r="T54" s="400"/>
      <c r="U54" s="400"/>
      <c r="V54" s="400"/>
      <c r="W54" s="400"/>
      <c r="X54" s="401"/>
      <c r="Y54" s="158"/>
      <c r="Z54" s="158"/>
      <c r="AA54" s="158"/>
      <c r="AB54" s="158"/>
      <c r="AC54" s="158"/>
      <c r="AD54" s="158"/>
      <c r="AE54" s="158"/>
      <c r="AF54" s="158"/>
      <c r="AG54" s="158"/>
      <c r="AH54" s="175"/>
      <c r="AI54" s="176"/>
      <c r="AJ54" s="176"/>
      <c r="AK54" s="176"/>
      <c r="AL54" s="176"/>
      <c r="AM54" s="176"/>
      <c r="AN54" s="176"/>
      <c r="AO54" s="176"/>
      <c r="AP54" s="176"/>
      <c r="AQ54" s="176"/>
      <c r="AR54" s="177"/>
    </row>
    <row r="55" spans="1:44" ht="20.100000000000001" customHeight="1"/>
  </sheetData>
  <mergeCells count="11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Q7:Y8"/>
    <mergeCell ref="AA7:AH8"/>
    <mergeCell ref="AI7:AP8"/>
    <mergeCell ref="A9:A16"/>
    <mergeCell ref="B9:G9"/>
    <mergeCell ref="H9:P16"/>
    <mergeCell ref="R9:Y9"/>
    <mergeCell ref="Z9:Z16"/>
    <mergeCell ref="AA9:AH16"/>
    <mergeCell ref="AI9:AP16"/>
    <mergeCell ref="A6:A8"/>
    <mergeCell ref="B6:G6"/>
    <mergeCell ref="H6:P6"/>
    <mergeCell ref="Q6:Y6"/>
    <mergeCell ref="Z6:Z8"/>
    <mergeCell ref="AA6:AH6"/>
    <mergeCell ref="AI6:AP6"/>
    <mergeCell ref="B7:G8"/>
    <mergeCell ref="H7:P8"/>
    <mergeCell ref="R12:Y12"/>
    <mergeCell ref="B13:G13"/>
    <mergeCell ref="R13:Y13"/>
    <mergeCell ref="AQ13:AR13"/>
    <mergeCell ref="R11:Y11"/>
    <mergeCell ref="AQ9:AR9"/>
    <mergeCell ref="B10:G12"/>
    <mergeCell ref="R10:Y10"/>
    <mergeCell ref="AQ10:AR12"/>
    <mergeCell ref="R16:Y16"/>
    <mergeCell ref="A17:A24"/>
    <mergeCell ref="B17:G17"/>
    <mergeCell ref="H17:P24"/>
    <mergeCell ref="R17:Y17"/>
    <mergeCell ref="Z17:Z24"/>
    <mergeCell ref="B14:G16"/>
    <mergeCell ref="R14:Y14"/>
    <mergeCell ref="AQ14:AR16"/>
    <mergeCell ref="R15:Y15"/>
    <mergeCell ref="AQ22:AR24"/>
    <mergeCell ref="R23:Y23"/>
    <mergeCell ref="AA17:AH24"/>
    <mergeCell ref="AI17:AP24"/>
    <mergeCell ref="AQ17:AR17"/>
    <mergeCell ref="B18:G20"/>
    <mergeCell ref="R18:Y18"/>
    <mergeCell ref="AQ18:AR20"/>
    <mergeCell ref="R20:Y20"/>
    <mergeCell ref="B21:G21"/>
    <mergeCell ref="R21:Y21"/>
    <mergeCell ref="AQ21:AR21"/>
    <mergeCell ref="R24:Y24"/>
    <mergeCell ref="A25:A32"/>
    <mergeCell ref="B25:G25"/>
    <mergeCell ref="H25:P32"/>
    <mergeCell ref="R25:Y25"/>
    <mergeCell ref="Z25:Z32"/>
    <mergeCell ref="B30:G32"/>
    <mergeCell ref="R30:Y30"/>
    <mergeCell ref="B22:G24"/>
    <mergeCell ref="R22:Y22"/>
    <mergeCell ref="AQ33:AR33"/>
    <mergeCell ref="A35:E35"/>
    <mergeCell ref="F35:K35"/>
    <mergeCell ref="L35:AG35"/>
    <mergeCell ref="AA25:AH32"/>
    <mergeCell ref="AI25:AP32"/>
    <mergeCell ref="AQ25:AR25"/>
    <mergeCell ref="B26:G28"/>
    <mergeCell ref="R26:Y26"/>
    <mergeCell ref="AQ26:AR28"/>
    <mergeCell ref="R28:Y28"/>
    <mergeCell ref="B29:G29"/>
    <mergeCell ref="R29:Y29"/>
    <mergeCell ref="AQ29:AR29"/>
    <mergeCell ref="R19:Y19"/>
    <mergeCell ref="R27:Y27"/>
    <mergeCell ref="AH39:AR40"/>
    <mergeCell ref="A41:A47"/>
    <mergeCell ref="B41:K41"/>
    <mergeCell ref="L41:X47"/>
    <mergeCell ref="B42:K47"/>
    <mergeCell ref="A48:A54"/>
    <mergeCell ref="B48:K48"/>
    <mergeCell ref="L48:X54"/>
    <mergeCell ref="B49:K54"/>
    <mergeCell ref="A37:X37"/>
    <mergeCell ref="Y37:AG37"/>
    <mergeCell ref="AH37:AR37"/>
    <mergeCell ref="A38:A40"/>
    <mergeCell ref="B38:K40"/>
    <mergeCell ref="L38:X38"/>
    <mergeCell ref="Y38:AG38"/>
    <mergeCell ref="AH38:AR38"/>
    <mergeCell ref="L39:X40"/>
    <mergeCell ref="Y39:AG40"/>
    <mergeCell ref="AQ30:AR32"/>
    <mergeCell ref="R31:Y31"/>
    <mergeCell ref="R32:Y32"/>
  </mergeCells>
  <phoneticPr fontId="26"/>
  <dataValidations count="2">
    <dataValidation type="list" allowBlank="1" showInputMessage="1" showErrorMessage="1" sqref="WIF983044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0:FN65540 PC65540:PJ65540 YY65540:ZF65540 AIU65540:AJB65540 ASQ65540:ASX65540 BCM65540:BCT65540 BMI65540:BMP65540 BWE65540:BWL65540 CGA65540:CGH65540 CPW65540:CQD65540 CZS65540:CZZ65540 DJO65540:DJV65540 DTK65540:DTR65540 EDG65540:EDN65540 ENC65540:ENJ65540 EWY65540:EXF65540 FGU65540:FHB65540 FQQ65540:FQX65540 GAM65540:GAT65540 GKI65540:GKP65540 GUE65540:GUL65540 HEA65540:HEH65540 HNW65540:HOD65540 HXS65540:HXZ65540 IHO65540:IHV65540 IRK65540:IRR65540 JBG65540:JBN65540 JLC65540:JLJ65540 JUY65540:JVF65540 KEU65540:KFB65540 KOQ65540:KOX65540 KYM65540:KYT65540 LII65540:LIP65540 LSE65540:LSL65540 MCA65540:MCH65540 MLW65540:MMD65540 MVS65540:MVZ65540 NFO65540:NFV65540 NPK65540:NPR65540 NZG65540:NZN65540 OJC65540:OJJ65540 OSY65540:OTF65540 PCU65540:PDB65540 PMQ65540:PMX65540 PWM65540:PWT65540 QGI65540:QGP65540 QQE65540:QQL65540 RAA65540:RAH65540 RJW65540:RKD65540 RTS65540:RTZ65540 SDO65540:SDV65540 SNK65540:SNR65540 SXG65540:SXN65540 THC65540:THJ65540 TQY65540:TRF65540 UAU65540:UBB65540 UKQ65540:UKX65540 UUM65540:UUT65540 VEI65540:VEP65540 VOE65540:VOL65540 VYA65540:VYH65540 WHW65540:WID65540 WRS65540:WRZ65540 FG131076:FN131076 PC131076:PJ131076 YY131076:ZF131076 AIU131076:AJB131076 ASQ131076:ASX131076 BCM131076:BCT131076 BMI131076:BMP131076 BWE131076:BWL131076 CGA131076:CGH131076 CPW131076:CQD131076 CZS131076:CZZ131076 DJO131076:DJV131076 DTK131076:DTR131076 EDG131076:EDN131076 ENC131076:ENJ131076 EWY131076:EXF131076 FGU131076:FHB131076 FQQ131076:FQX131076 GAM131076:GAT131076 GKI131076:GKP131076 GUE131076:GUL131076 HEA131076:HEH131076 HNW131076:HOD131076 HXS131076:HXZ131076 IHO131076:IHV131076 IRK131076:IRR131076 JBG131076:JBN131076 JLC131076:JLJ131076 JUY131076:JVF131076 KEU131076:KFB131076 KOQ131076:KOX131076 KYM131076:KYT131076 LII131076:LIP131076 LSE131076:LSL131076 MCA131076:MCH131076 MLW131076:MMD131076 MVS131076:MVZ131076 NFO131076:NFV131076 NPK131076:NPR131076 NZG131076:NZN131076 OJC131076:OJJ131076 OSY131076:OTF131076 PCU131076:PDB131076 PMQ131076:PMX131076 PWM131076:PWT131076 QGI131076:QGP131076 QQE131076:QQL131076 RAA131076:RAH131076 RJW131076:RKD131076 RTS131076:RTZ131076 SDO131076:SDV131076 SNK131076:SNR131076 SXG131076:SXN131076 THC131076:THJ131076 TQY131076:TRF131076 UAU131076:UBB131076 UKQ131076:UKX131076 UUM131076:UUT131076 VEI131076:VEP131076 VOE131076:VOL131076 VYA131076:VYH131076 WHW131076:WID131076 WRS131076:WRZ131076 FG196612:FN196612 PC196612:PJ196612 YY196612:ZF196612 AIU196612:AJB196612 ASQ196612:ASX196612 BCM196612:BCT196612 BMI196612:BMP196612 BWE196612:BWL196612 CGA196612:CGH196612 CPW196612:CQD196612 CZS196612:CZZ196612 DJO196612:DJV196612 DTK196612:DTR196612 EDG196612:EDN196612 ENC196612:ENJ196612 EWY196612:EXF196612 FGU196612:FHB196612 FQQ196612:FQX196612 GAM196612:GAT196612 GKI196612:GKP196612 GUE196612:GUL196612 HEA196612:HEH196612 HNW196612:HOD196612 HXS196612:HXZ196612 IHO196612:IHV196612 IRK196612:IRR196612 JBG196612:JBN196612 JLC196612:JLJ196612 JUY196612:JVF196612 KEU196612:KFB196612 KOQ196612:KOX196612 KYM196612:KYT196612 LII196612:LIP196612 LSE196612:LSL196612 MCA196612:MCH196612 MLW196612:MMD196612 MVS196612:MVZ196612 NFO196612:NFV196612 NPK196612:NPR196612 NZG196612:NZN196612 OJC196612:OJJ196612 OSY196612:OTF196612 PCU196612:PDB196612 PMQ196612:PMX196612 PWM196612:PWT196612 QGI196612:QGP196612 QQE196612:QQL196612 RAA196612:RAH196612 RJW196612:RKD196612 RTS196612:RTZ196612 SDO196612:SDV196612 SNK196612:SNR196612 SXG196612:SXN196612 THC196612:THJ196612 TQY196612:TRF196612 UAU196612:UBB196612 UKQ196612:UKX196612 UUM196612:UUT196612 VEI196612:VEP196612 VOE196612:VOL196612 VYA196612:VYH196612 WHW196612:WID196612 WRS196612:WRZ196612 FG262148:FN262148 PC262148:PJ262148 YY262148:ZF262148 AIU262148:AJB262148 ASQ262148:ASX262148 BCM262148:BCT262148 BMI262148:BMP262148 BWE262148:BWL262148 CGA262148:CGH262148 CPW262148:CQD262148 CZS262148:CZZ262148 DJO262148:DJV262148 DTK262148:DTR262148 EDG262148:EDN262148 ENC262148:ENJ262148 EWY262148:EXF262148 FGU262148:FHB262148 FQQ262148:FQX262148 GAM262148:GAT262148 GKI262148:GKP262148 GUE262148:GUL262148 HEA262148:HEH262148 HNW262148:HOD262148 HXS262148:HXZ262148 IHO262148:IHV262148 IRK262148:IRR262148 JBG262148:JBN262148 JLC262148:JLJ262148 JUY262148:JVF262148 KEU262148:KFB262148 KOQ262148:KOX262148 KYM262148:KYT262148 LII262148:LIP262148 LSE262148:LSL262148 MCA262148:MCH262148 MLW262148:MMD262148 MVS262148:MVZ262148 NFO262148:NFV262148 NPK262148:NPR262148 NZG262148:NZN262148 OJC262148:OJJ262148 OSY262148:OTF262148 PCU262148:PDB262148 PMQ262148:PMX262148 PWM262148:PWT262148 QGI262148:QGP262148 QQE262148:QQL262148 RAA262148:RAH262148 RJW262148:RKD262148 RTS262148:RTZ262148 SDO262148:SDV262148 SNK262148:SNR262148 SXG262148:SXN262148 THC262148:THJ262148 TQY262148:TRF262148 UAU262148:UBB262148 UKQ262148:UKX262148 UUM262148:UUT262148 VEI262148:VEP262148 VOE262148:VOL262148 VYA262148:VYH262148 WHW262148:WID262148 WRS262148:WRZ262148 FG327684:FN327684 PC327684:PJ327684 YY327684:ZF327684 AIU327684:AJB327684 ASQ327684:ASX327684 BCM327684:BCT327684 BMI327684:BMP327684 BWE327684:BWL327684 CGA327684:CGH327684 CPW327684:CQD327684 CZS327684:CZZ327684 DJO327684:DJV327684 DTK327684:DTR327684 EDG327684:EDN327684 ENC327684:ENJ327684 EWY327684:EXF327684 FGU327684:FHB327684 FQQ327684:FQX327684 GAM327684:GAT327684 GKI327684:GKP327684 GUE327684:GUL327684 HEA327684:HEH327684 HNW327684:HOD327684 HXS327684:HXZ327684 IHO327684:IHV327684 IRK327684:IRR327684 JBG327684:JBN327684 JLC327684:JLJ327684 JUY327684:JVF327684 KEU327684:KFB327684 KOQ327684:KOX327684 KYM327684:KYT327684 LII327684:LIP327684 LSE327684:LSL327684 MCA327684:MCH327684 MLW327684:MMD327684 MVS327684:MVZ327684 NFO327684:NFV327684 NPK327684:NPR327684 NZG327684:NZN327684 OJC327684:OJJ327684 OSY327684:OTF327684 PCU327684:PDB327684 PMQ327684:PMX327684 PWM327684:PWT327684 QGI327684:QGP327684 QQE327684:QQL327684 RAA327684:RAH327684 RJW327684:RKD327684 RTS327684:RTZ327684 SDO327684:SDV327684 SNK327684:SNR327684 SXG327684:SXN327684 THC327684:THJ327684 TQY327684:TRF327684 UAU327684:UBB327684 UKQ327684:UKX327684 UUM327684:UUT327684 VEI327684:VEP327684 VOE327684:VOL327684 VYA327684:VYH327684 WHW327684:WID327684 WRS327684:WRZ327684 FG393220:FN393220 PC393220:PJ393220 YY393220:ZF393220 AIU393220:AJB393220 ASQ393220:ASX393220 BCM393220:BCT393220 BMI393220:BMP393220 BWE393220:BWL393220 CGA393220:CGH393220 CPW393220:CQD393220 CZS393220:CZZ393220 DJO393220:DJV393220 DTK393220:DTR393220 EDG393220:EDN393220 ENC393220:ENJ393220 EWY393220:EXF393220 FGU393220:FHB393220 FQQ393220:FQX393220 GAM393220:GAT393220 GKI393220:GKP393220 GUE393220:GUL393220 HEA393220:HEH393220 HNW393220:HOD393220 HXS393220:HXZ393220 IHO393220:IHV393220 IRK393220:IRR393220 JBG393220:JBN393220 JLC393220:JLJ393220 JUY393220:JVF393220 KEU393220:KFB393220 KOQ393220:KOX393220 KYM393220:KYT393220 LII393220:LIP393220 LSE393220:LSL393220 MCA393220:MCH393220 MLW393220:MMD393220 MVS393220:MVZ393220 NFO393220:NFV393220 NPK393220:NPR393220 NZG393220:NZN393220 OJC393220:OJJ393220 OSY393220:OTF393220 PCU393220:PDB393220 PMQ393220:PMX393220 PWM393220:PWT393220 QGI393220:QGP393220 QQE393220:QQL393220 RAA393220:RAH393220 RJW393220:RKD393220 RTS393220:RTZ393220 SDO393220:SDV393220 SNK393220:SNR393220 SXG393220:SXN393220 THC393220:THJ393220 TQY393220:TRF393220 UAU393220:UBB393220 UKQ393220:UKX393220 UUM393220:UUT393220 VEI393220:VEP393220 VOE393220:VOL393220 VYA393220:VYH393220 WHW393220:WID393220 WRS393220:WRZ393220 FG458756:FN458756 PC458756:PJ458756 YY458756:ZF458756 AIU458756:AJB458756 ASQ458756:ASX458756 BCM458756:BCT458756 BMI458756:BMP458756 BWE458756:BWL458756 CGA458756:CGH458756 CPW458756:CQD458756 CZS458756:CZZ458756 DJO458756:DJV458756 DTK458756:DTR458756 EDG458756:EDN458756 ENC458756:ENJ458756 EWY458756:EXF458756 FGU458756:FHB458756 FQQ458756:FQX458756 GAM458756:GAT458756 GKI458756:GKP458756 GUE458756:GUL458756 HEA458756:HEH458756 HNW458756:HOD458756 HXS458756:HXZ458756 IHO458756:IHV458756 IRK458756:IRR458756 JBG458756:JBN458756 JLC458756:JLJ458756 JUY458756:JVF458756 KEU458756:KFB458756 KOQ458756:KOX458756 KYM458756:KYT458756 LII458756:LIP458756 LSE458756:LSL458756 MCA458756:MCH458756 MLW458756:MMD458756 MVS458756:MVZ458756 NFO458756:NFV458756 NPK458756:NPR458756 NZG458756:NZN458756 OJC458756:OJJ458756 OSY458756:OTF458756 PCU458756:PDB458756 PMQ458756:PMX458756 PWM458756:PWT458756 QGI458756:QGP458756 QQE458756:QQL458756 RAA458756:RAH458756 RJW458756:RKD458756 RTS458756:RTZ458756 SDO458756:SDV458756 SNK458756:SNR458756 SXG458756:SXN458756 THC458756:THJ458756 TQY458756:TRF458756 UAU458756:UBB458756 UKQ458756:UKX458756 UUM458756:UUT458756 VEI458756:VEP458756 VOE458756:VOL458756 VYA458756:VYH458756 WHW458756:WID458756 WRS458756:WRZ458756 FG524292:FN524292 PC524292:PJ524292 YY524292:ZF524292 AIU524292:AJB524292 ASQ524292:ASX524292 BCM524292:BCT524292 BMI524292:BMP524292 BWE524292:BWL524292 CGA524292:CGH524292 CPW524292:CQD524292 CZS524292:CZZ524292 DJO524292:DJV524292 DTK524292:DTR524292 EDG524292:EDN524292 ENC524292:ENJ524292 EWY524292:EXF524292 FGU524292:FHB524292 FQQ524292:FQX524292 GAM524292:GAT524292 GKI524292:GKP524292 GUE524292:GUL524292 HEA524292:HEH524292 HNW524292:HOD524292 HXS524292:HXZ524292 IHO524292:IHV524292 IRK524292:IRR524292 JBG524292:JBN524292 JLC524292:JLJ524292 JUY524292:JVF524292 KEU524292:KFB524292 KOQ524292:KOX524292 KYM524292:KYT524292 LII524292:LIP524292 LSE524292:LSL524292 MCA524292:MCH524292 MLW524292:MMD524292 MVS524292:MVZ524292 NFO524292:NFV524292 NPK524292:NPR524292 NZG524292:NZN524292 OJC524292:OJJ524292 OSY524292:OTF524292 PCU524292:PDB524292 PMQ524292:PMX524292 PWM524292:PWT524292 QGI524292:QGP524292 QQE524292:QQL524292 RAA524292:RAH524292 RJW524292:RKD524292 RTS524292:RTZ524292 SDO524292:SDV524292 SNK524292:SNR524292 SXG524292:SXN524292 THC524292:THJ524292 TQY524292:TRF524292 UAU524292:UBB524292 UKQ524292:UKX524292 UUM524292:UUT524292 VEI524292:VEP524292 VOE524292:VOL524292 VYA524292:VYH524292 WHW524292:WID524292 WRS524292:WRZ524292 FG589828:FN589828 PC589828:PJ589828 YY589828:ZF589828 AIU589828:AJB589828 ASQ589828:ASX589828 BCM589828:BCT589828 BMI589828:BMP589828 BWE589828:BWL589828 CGA589828:CGH589828 CPW589828:CQD589828 CZS589828:CZZ589828 DJO589828:DJV589828 DTK589828:DTR589828 EDG589828:EDN589828 ENC589828:ENJ589828 EWY589828:EXF589828 FGU589828:FHB589828 FQQ589828:FQX589828 GAM589828:GAT589828 GKI589828:GKP589828 GUE589828:GUL589828 HEA589828:HEH589828 HNW589828:HOD589828 HXS589828:HXZ589828 IHO589828:IHV589828 IRK589828:IRR589828 JBG589828:JBN589828 JLC589828:JLJ589828 JUY589828:JVF589828 KEU589828:KFB589828 KOQ589828:KOX589828 KYM589828:KYT589828 LII589828:LIP589828 LSE589828:LSL589828 MCA589828:MCH589828 MLW589828:MMD589828 MVS589828:MVZ589828 NFO589828:NFV589828 NPK589828:NPR589828 NZG589828:NZN589828 OJC589828:OJJ589828 OSY589828:OTF589828 PCU589828:PDB589828 PMQ589828:PMX589828 PWM589828:PWT589828 QGI589828:QGP589828 QQE589828:QQL589828 RAA589828:RAH589828 RJW589828:RKD589828 RTS589828:RTZ589828 SDO589828:SDV589828 SNK589828:SNR589828 SXG589828:SXN589828 THC589828:THJ589828 TQY589828:TRF589828 UAU589828:UBB589828 UKQ589828:UKX589828 UUM589828:UUT589828 VEI589828:VEP589828 VOE589828:VOL589828 VYA589828:VYH589828 WHW589828:WID589828 WRS589828:WRZ589828 FG655364:FN655364 PC655364:PJ655364 YY655364:ZF655364 AIU655364:AJB655364 ASQ655364:ASX655364 BCM655364:BCT655364 BMI655364:BMP655364 BWE655364:BWL655364 CGA655364:CGH655364 CPW655364:CQD655364 CZS655364:CZZ655364 DJO655364:DJV655364 DTK655364:DTR655364 EDG655364:EDN655364 ENC655364:ENJ655364 EWY655364:EXF655364 FGU655364:FHB655364 FQQ655364:FQX655364 GAM655364:GAT655364 GKI655364:GKP655364 GUE655364:GUL655364 HEA655364:HEH655364 HNW655364:HOD655364 HXS655364:HXZ655364 IHO655364:IHV655364 IRK655364:IRR655364 JBG655364:JBN655364 JLC655364:JLJ655364 JUY655364:JVF655364 KEU655364:KFB655364 KOQ655364:KOX655364 KYM655364:KYT655364 LII655364:LIP655364 LSE655364:LSL655364 MCA655364:MCH655364 MLW655364:MMD655364 MVS655364:MVZ655364 NFO655364:NFV655364 NPK655364:NPR655364 NZG655364:NZN655364 OJC655364:OJJ655364 OSY655364:OTF655364 PCU655364:PDB655364 PMQ655364:PMX655364 PWM655364:PWT655364 QGI655364:QGP655364 QQE655364:QQL655364 RAA655364:RAH655364 RJW655364:RKD655364 RTS655364:RTZ655364 SDO655364:SDV655364 SNK655364:SNR655364 SXG655364:SXN655364 THC655364:THJ655364 TQY655364:TRF655364 UAU655364:UBB655364 UKQ655364:UKX655364 UUM655364:UUT655364 VEI655364:VEP655364 VOE655364:VOL655364 VYA655364:VYH655364 WHW655364:WID655364 WRS655364:WRZ655364 FG720900:FN720900 PC720900:PJ720900 YY720900:ZF720900 AIU720900:AJB720900 ASQ720900:ASX720900 BCM720900:BCT720900 BMI720900:BMP720900 BWE720900:BWL720900 CGA720900:CGH720900 CPW720900:CQD720900 CZS720900:CZZ720900 DJO720900:DJV720900 DTK720900:DTR720900 EDG720900:EDN720900 ENC720900:ENJ720900 EWY720900:EXF720900 FGU720900:FHB720900 FQQ720900:FQX720900 GAM720900:GAT720900 GKI720900:GKP720900 GUE720900:GUL720900 HEA720900:HEH720900 HNW720900:HOD720900 HXS720900:HXZ720900 IHO720900:IHV720900 IRK720900:IRR720900 JBG720900:JBN720900 JLC720900:JLJ720900 JUY720900:JVF720900 KEU720900:KFB720900 KOQ720900:KOX720900 KYM720900:KYT720900 LII720900:LIP720900 LSE720900:LSL720900 MCA720900:MCH720900 MLW720900:MMD720900 MVS720900:MVZ720900 NFO720900:NFV720900 NPK720900:NPR720900 NZG720900:NZN720900 OJC720900:OJJ720900 OSY720900:OTF720900 PCU720900:PDB720900 PMQ720900:PMX720900 PWM720900:PWT720900 QGI720900:QGP720900 QQE720900:QQL720900 RAA720900:RAH720900 RJW720900:RKD720900 RTS720900:RTZ720900 SDO720900:SDV720900 SNK720900:SNR720900 SXG720900:SXN720900 THC720900:THJ720900 TQY720900:TRF720900 UAU720900:UBB720900 UKQ720900:UKX720900 UUM720900:UUT720900 VEI720900:VEP720900 VOE720900:VOL720900 VYA720900:VYH720900 WHW720900:WID720900 WRS720900:WRZ720900 FG786436:FN786436 PC786436:PJ786436 YY786436:ZF786436 AIU786436:AJB786436 ASQ786436:ASX786436 BCM786436:BCT786436 BMI786436:BMP786436 BWE786436:BWL786436 CGA786436:CGH786436 CPW786436:CQD786436 CZS786436:CZZ786436 DJO786436:DJV786436 DTK786436:DTR786436 EDG786436:EDN786436 ENC786436:ENJ786436 EWY786436:EXF786436 FGU786436:FHB786436 FQQ786436:FQX786436 GAM786436:GAT786436 GKI786436:GKP786436 GUE786436:GUL786436 HEA786436:HEH786436 HNW786436:HOD786436 HXS786436:HXZ786436 IHO786436:IHV786436 IRK786436:IRR786436 JBG786436:JBN786436 JLC786436:JLJ786436 JUY786436:JVF786436 KEU786436:KFB786436 KOQ786436:KOX786436 KYM786436:KYT786436 LII786436:LIP786436 LSE786436:LSL786436 MCA786436:MCH786436 MLW786436:MMD786436 MVS786436:MVZ786436 NFO786436:NFV786436 NPK786436:NPR786436 NZG786436:NZN786436 OJC786436:OJJ786436 OSY786436:OTF786436 PCU786436:PDB786436 PMQ786436:PMX786436 PWM786436:PWT786436 QGI786436:QGP786436 QQE786436:QQL786436 RAA786436:RAH786436 RJW786436:RKD786436 RTS786436:RTZ786436 SDO786436:SDV786436 SNK786436:SNR786436 SXG786436:SXN786436 THC786436:THJ786436 TQY786436:TRF786436 UAU786436:UBB786436 UKQ786436:UKX786436 UUM786436:UUT786436 VEI786436:VEP786436 VOE786436:VOL786436 VYA786436:VYH786436 WHW786436:WID786436 WRS786436:WRZ786436 FG851972:FN851972 PC851972:PJ851972 YY851972:ZF851972 AIU851972:AJB851972 ASQ851972:ASX851972 BCM851972:BCT851972 BMI851972:BMP851972 BWE851972:BWL851972 CGA851972:CGH851972 CPW851972:CQD851972 CZS851972:CZZ851972 DJO851972:DJV851972 DTK851972:DTR851972 EDG851972:EDN851972 ENC851972:ENJ851972 EWY851972:EXF851972 FGU851972:FHB851972 FQQ851972:FQX851972 GAM851972:GAT851972 GKI851972:GKP851972 GUE851972:GUL851972 HEA851972:HEH851972 HNW851972:HOD851972 HXS851972:HXZ851972 IHO851972:IHV851972 IRK851972:IRR851972 JBG851972:JBN851972 JLC851972:JLJ851972 JUY851972:JVF851972 KEU851972:KFB851972 KOQ851972:KOX851972 KYM851972:KYT851972 LII851972:LIP851972 LSE851972:LSL851972 MCA851972:MCH851972 MLW851972:MMD851972 MVS851972:MVZ851972 NFO851972:NFV851972 NPK851972:NPR851972 NZG851972:NZN851972 OJC851972:OJJ851972 OSY851972:OTF851972 PCU851972:PDB851972 PMQ851972:PMX851972 PWM851972:PWT851972 QGI851972:QGP851972 QQE851972:QQL851972 RAA851972:RAH851972 RJW851972:RKD851972 RTS851972:RTZ851972 SDO851972:SDV851972 SNK851972:SNR851972 SXG851972:SXN851972 THC851972:THJ851972 TQY851972:TRF851972 UAU851972:UBB851972 UKQ851972:UKX851972 UUM851972:UUT851972 VEI851972:VEP851972 VOE851972:VOL851972 VYA851972:VYH851972 WHW851972:WID851972 WRS851972:WRZ851972 FG917508:FN917508 PC917508:PJ917508 YY917508:ZF917508 AIU917508:AJB917508 ASQ917508:ASX917508 BCM917508:BCT917508 BMI917508:BMP917508 BWE917508:BWL917508 CGA917508:CGH917508 CPW917508:CQD917508 CZS917508:CZZ917508 DJO917508:DJV917508 DTK917508:DTR917508 EDG917508:EDN917508 ENC917508:ENJ917508 EWY917508:EXF917508 FGU917508:FHB917508 FQQ917508:FQX917508 GAM917508:GAT917508 GKI917508:GKP917508 GUE917508:GUL917508 HEA917508:HEH917508 HNW917508:HOD917508 HXS917508:HXZ917508 IHO917508:IHV917508 IRK917508:IRR917508 JBG917508:JBN917508 JLC917508:JLJ917508 JUY917508:JVF917508 KEU917508:KFB917508 KOQ917508:KOX917508 KYM917508:KYT917508 LII917508:LIP917508 LSE917508:LSL917508 MCA917508:MCH917508 MLW917508:MMD917508 MVS917508:MVZ917508 NFO917508:NFV917508 NPK917508:NPR917508 NZG917508:NZN917508 OJC917508:OJJ917508 OSY917508:OTF917508 PCU917508:PDB917508 PMQ917508:PMX917508 PWM917508:PWT917508 QGI917508:QGP917508 QQE917508:QQL917508 RAA917508:RAH917508 RJW917508:RKD917508 RTS917508:RTZ917508 SDO917508:SDV917508 SNK917508:SNR917508 SXG917508:SXN917508 THC917508:THJ917508 TQY917508:TRF917508 UAU917508:UBB917508 UKQ917508:UKX917508 UUM917508:UUT917508 VEI917508:VEP917508 VOE917508:VOL917508 VYA917508:VYH917508 WHW917508:WID917508 WRS917508:WRZ917508 FG983044:FN983044 PC983044:PJ983044 YY983044:ZF983044 AIU983044:AJB983044 ASQ983044:ASX983044 BCM983044:BCT983044 BMI983044:BMP983044 BWE983044:BWL983044 CGA983044:CGH983044 CPW983044:CQD983044 CZS983044:CZZ983044 DJO983044:DJV983044 DTK983044:DTR983044 EDG983044:EDN983044 ENC983044:ENJ983044 EWY983044:EXF983044 FGU983044:FHB983044 FQQ983044:FQX983044 GAM983044:GAT983044 GKI983044:GKP983044 GUE983044:GUL983044 HEA983044:HEH983044 HNW983044:HOD983044 HXS983044:HXZ983044 IHO983044:IHV983044 IRK983044:IRR983044 JBG983044:JBN983044 JLC983044:JLJ983044 JUY983044:JVF983044 KEU983044:KFB983044 KOQ983044:KOX983044 KYM983044:KYT983044 LII983044:LIP983044 LSE983044:LSL983044 MCA983044:MCH983044 MLW983044:MMD983044 MVS983044:MVZ983044 NFO983044:NFV983044 NPK983044:NPR983044 NZG983044:NZN983044 OJC983044:OJJ983044 OSY983044:OTF983044 PCU983044:PDB983044 PMQ983044:PMX983044 PWM983044:PWT983044 QGI983044:QGP983044 QQE983044:QQL983044 RAA983044:RAH983044 RJW983044:RKD983044 RTS983044:RTZ983044 SDO983044:SDV983044 SNK983044:SNR983044 SXG983044:SXN983044 THC983044:THJ983044 TQY983044:TRF983044 UAU983044:UBB983044 UKQ983044:UKX983044 UUM983044:UUT983044 VEI983044:VEP983044 VOE983044:VOL983044 VYA983044:VYH983044 WHW983044:WID983044 WRS983044:WRZ983044 WSB983044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0 FP65540 PL65540 ZH65540 AJD65540 ASZ65540 BCV65540 BMR65540 BWN65540 CGJ65540 CQF65540 DAB65540 DJX65540 DTT65540 EDP65540 ENL65540 EXH65540 FHD65540 FQZ65540 GAV65540 GKR65540 GUN65540 HEJ65540 HOF65540 HYB65540 IHX65540 IRT65540 JBP65540 JLL65540 JVH65540 KFD65540 KOZ65540 KYV65540 LIR65540 LSN65540 MCJ65540 MMF65540 MWB65540 NFX65540 NPT65540 NZP65540 OJL65540 OTH65540 PDD65540 PMZ65540 PWV65540 QGR65540 QQN65540 RAJ65540 RKF65540 RUB65540 SDX65540 SNT65540 SXP65540 THL65540 TRH65540 UBD65540 UKZ65540 UUV65540 VER65540 VON65540 VYJ65540 WIF65540 WSB65540 AA131076 FP131076 PL131076 ZH131076 AJD131076 ASZ131076 BCV131076 BMR131076 BWN131076 CGJ131076 CQF131076 DAB131076 DJX131076 DTT131076 EDP131076 ENL131076 EXH131076 FHD131076 FQZ131076 GAV131076 GKR131076 GUN131076 HEJ131076 HOF131076 HYB131076 IHX131076 IRT131076 JBP131076 JLL131076 JVH131076 KFD131076 KOZ131076 KYV131076 LIR131076 LSN131076 MCJ131076 MMF131076 MWB131076 NFX131076 NPT131076 NZP131076 OJL131076 OTH131076 PDD131076 PMZ131076 PWV131076 QGR131076 QQN131076 RAJ131076 RKF131076 RUB131076 SDX131076 SNT131076 SXP131076 THL131076 TRH131076 UBD131076 UKZ131076 UUV131076 VER131076 VON131076 VYJ131076 WIF131076 WSB131076 AA196612 FP196612 PL196612 ZH196612 AJD196612 ASZ196612 BCV196612 BMR196612 BWN196612 CGJ196612 CQF196612 DAB196612 DJX196612 DTT196612 EDP196612 ENL196612 EXH196612 FHD196612 FQZ196612 GAV196612 GKR196612 GUN196612 HEJ196612 HOF196612 HYB196612 IHX196612 IRT196612 JBP196612 JLL196612 JVH196612 KFD196612 KOZ196612 KYV196612 LIR196612 LSN196612 MCJ196612 MMF196612 MWB196612 NFX196612 NPT196612 NZP196612 OJL196612 OTH196612 PDD196612 PMZ196612 PWV196612 QGR196612 QQN196612 RAJ196612 RKF196612 RUB196612 SDX196612 SNT196612 SXP196612 THL196612 TRH196612 UBD196612 UKZ196612 UUV196612 VER196612 VON196612 VYJ196612 WIF196612 WSB196612 AA262148 FP262148 PL262148 ZH262148 AJD262148 ASZ262148 BCV262148 BMR262148 BWN262148 CGJ262148 CQF262148 DAB262148 DJX262148 DTT262148 EDP262148 ENL262148 EXH262148 FHD262148 FQZ262148 GAV262148 GKR262148 GUN262148 HEJ262148 HOF262148 HYB262148 IHX262148 IRT262148 JBP262148 JLL262148 JVH262148 KFD262148 KOZ262148 KYV262148 LIR262148 LSN262148 MCJ262148 MMF262148 MWB262148 NFX262148 NPT262148 NZP262148 OJL262148 OTH262148 PDD262148 PMZ262148 PWV262148 QGR262148 QQN262148 RAJ262148 RKF262148 RUB262148 SDX262148 SNT262148 SXP262148 THL262148 TRH262148 UBD262148 UKZ262148 UUV262148 VER262148 VON262148 VYJ262148 WIF262148 WSB262148 AA327684 FP327684 PL327684 ZH327684 AJD327684 ASZ327684 BCV327684 BMR327684 BWN327684 CGJ327684 CQF327684 DAB327684 DJX327684 DTT327684 EDP327684 ENL327684 EXH327684 FHD327684 FQZ327684 GAV327684 GKR327684 GUN327684 HEJ327684 HOF327684 HYB327684 IHX327684 IRT327684 JBP327684 JLL327684 JVH327684 KFD327684 KOZ327684 KYV327684 LIR327684 LSN327684 MCJ327684 MMF327684 MWB327684 NFX327684 NPT327684 NZP327684 OJL327684 OTH327684 PDD327684 PMZ327684 PWV327684 QGR327684 QQN327684 RAJ327684 RKF327684 RUB327684 SDX327684 SNT327684 SXP327684 THL327684 TRH327684 UBD327684 UKZ327684 UUV327684 VER327684 VON327684 VYJ327684 WIF327684 WSB327684 AA393220 FP393220 PL393220 ZH393220 AJD393220 ASZ393220 BCV393220 BMR393220 BWN393220 CGJ393220 CQF393220 DAB393220 DJX393220 DTT393220 EDP393220 ENL393220 EXH393220 FHD393220 FQZ393220 GAV393220 GKR393220 GUN393220 HEJ393220 HOF393220 HYB393220 IHX393220 IRT393220 JBP393220 JLL393220 JVH393220 KFD393220 KOZ393220 KYV393220 LIR393220 LSN393220 MCJ393220 MMF393220 MWB393220 NFX393220 NPT393220 NZP393220 OJL393220 OTH393220 PDD393220 PMZ393220 PWV393220 QGR393220 QQN393220 RAJ393220 RKF393220 RUB393220 SDX393220 SNT393220 SXP393220 THL393220 TRH393220 UBD393220 UKZ393220 UUV393220 VER393220 VON393220 VYJ393220 WIF393220 WSB393220 AA458756 FP458756 PL458756 ZH458756 AJD458756 ASZ458756 BCV458756 BMR458756 BWN458756 CGJ458756 CQF458756 DAB458756 DJX458756 DTT458756 EDP458756 ENL458756 EXH458756 FHD458756 FQZ458756 GAV458756 GKR458756 GUN458756 HEJ458756 HOF458756 HYB458756 IHX458756 IRT458756 JBP458756 JLL458756 JVH458756 KFD458756 KOZ458756 KYV458756 LIR458756 LSN458756 MCJ458756 MMF458756 MWB458756 NFX458756 NPT458756 NZP458756 OJL458756 OTH458756 PDD458756 PMZ458756 PWV458756 QGR458756 QQN458756 RAJ458756 RKF458756 RUB458756 SDX458756 SNT458756 SXP458756 THL458756 TRH458756 UBD458756 UKZ458756 UUV458756 VER458756 VON458756 VYJ458756 WIF458756 WSB458756 AA524292 FP524292 PL524292 ZH524292 AJD524292 ASZ524292 BCV524292 BMR524292 BWN524292 CGJ524292 CQF524292 DAB524292 DJX524292 DTT524292 EDP524292 ENL524292 EXH524292 FHD524292 FQZ524292 GAV524292 GKR524292 GUN524292 HEJ524292 HOF524292 HYB524292 IHX524292 IRT524292 JBP524292 JLL524292 JVH524292 KFD524292 KOZ524292 KYV524292 LIR524292 LSN524292 MCJ524292 MMF524292 MWB524292 NFX524292 NPT524292 NZP524292 OJL524292 OTH524292 PDD524292 PMZ524292 PWV524292 QGR524292 QQN524292 RAJ524292 RKF524292 RUB524292 SDX524292 SNT524292 SXP524292 THL524292 TRH524292 UBD524292 UKZ524292 UUV524292 VER524292 VON524292 VYJ524292 WIF524292 WSB524292 AA589828 FP589828 PL589828 ZH589828 AJD589828 ASZ589828 BCV589828 BMR589828 BWN589828 CGJ589828 CQF589828 DAB589828 DJX589828 DTT589828 EDP589828 ENL589828 EXH589828 FHD589828 FQZ589828 GAV589828 GKR589828 GUN589828 HEJ589828 HOF589828 HYB589828 IHX589828 IRT589828 JBP589828 JLL589828 JVH589828 KFD589828 KOZ589828 KYV589828 LIR589828 LSN589828 MCJ589828 MMF589828 MWB589828 NFX589828 NPT589828 NZP589828 OJL589828 OTH589828 PDD589828 PMZ589828 PWV589828 QGR589828 QQN589828 RAJ589828 RKF589828 RUB589828 SDX589828 SNT589828 SXP589828 THL589828 TRH589828 UBD589828 UKZ589828 UUV589828 VER589828 VON589828 VYJ589828 WIF589828 WSB589828 AA655364 FP655364 PL655364 ZH655364 AJD655364 ASZ655364 BCV655364 BMR655364 BWN655364 CGJ655364 CQF655364 DAB655364 DJX655364 DTT655364 EDP655364 ENL655364 EXH655364 FHD655364 FQZ655364 GAV655364 GKR655364 GUN655364 HEJ655364 HOF655364 HYB655364 IHX655364 IRT655364 JBP655364 JLL655364 JVH655364 KFD655364 KOZ655364 KYV655364 LIR655364 LSN655364 MCJ655364 MMF655364 MWB655364 NFX655364 NPT655364 NZP655364 OJL655364 OTH655364 PDD655364 PMZ655364 PWV655364 QGR655364 QQN655364 RAJ655364 RKF655364 RUB655364 SDX655364 SNT655364 SXP655364 THL655364 TRH655364 UBD655364 UKZ655364 UUV655364 VER655364 VON655364 VYJ655364 WIF655364 WSB655364 AA720900 FP720900 PL720900 ZH720900 AJD720900 ASZ720900 BCV720900 BMR720900 BWN720900 CGJ720900 CQF720900 DAB720900 DJX720900 DTT720900 EDP720900 ENL720900 EXH720900 FHD720900 FQZ720900 GAV720900 GKR720900 GUN720900 HEJ720900 HOF720900 HYB720900 IHX720900 IRT720900 JBP720900 JLL720900 JVH720900 KFD720900 KOZ720900 KYV720900 LIR720900 LSN720900 MCJ720900 MMF720900 MWB720900 NFX720900 NPT720900 NZP720900 OJL720900 OTH720900 PDD720900 PMZ720900 PWV720900 QGR720900 QQN720900 RAJ720900 RKF720900 RUB720900 SDX720900 SNT720900 SXP720900 THL720900 TRH720900 UBD720900 UKZ720900 UUV720900 VER720900 VON720900 VYJ720900 WIF720900 WSB720900 AA786436 FP786436 PL786436 ZH786436 AJD786436 ASZ786436 BCV786436 BMR786436 BWN786436 CGJ786436 CQF786436 DAB786436 DJX786436 DTT786436 EDP786436 ENL786436 EXH786436 FHD786436 FQZ786436 GAV786436 GKR786436 GUN786436 HEJ786436 HOF786436 HYB786436 IHX786436 IRT786436 JBP786436 JLL786436 JVH786436 KFD786436 KOZ786436 KYV786436 LIR786436 LSN786436 MCJ786436 MMF786436 MWB786436 NFX786436 NPT786436 NZP786436 OJL786436 OTH786436 PDD786436 PMZ786436 PWV786436 QGR786436 QQN786436 RAJ786436 RKF786436 RUB786436 SDX786436 SNT786436 SXP786436 THL786436 TRH786436 UBD786436 UKZ786436 UUV786436 VER786436 VON786436 VYJ786436 WIF786436 WSB786436 AA851972 FP851972 PL851972 ZH851972 AJD851972 ASZ851972 BCV851972 BMR851972 BWN851972 CGJ851972 CQF851972 DAB851972 DJX851972 DTT851972 EDP851972 ENL851972 EXH851972 FHD851972 FQZ851972 GAV851972 GKR851972 GUN851972 HEJ851972 HOF851972 HYB851972 IHX851972 IRT851972 JBP851972 JLL851972 JVH851972 KFD851972 KOZ851972 KYV851972 LIR851972 LSN851972 MCJ851972 MMF851972 MWB851972 NFX851972 NPT851972 NZP851972 OJL851972 OTH851972 PDD851972 PMZ851972 PWV851972 QGR851972 QQN851972 RAJ851972 RKF851972 RUB851972 SDX851972 SNT851972 SXP851972 THL851972 TRH851972 UBD851972 UKZ851972 UUV851972 VER851972 VON851972 VYJ851972 WIF851972 WSB851972 AA917508 FP917508 PL917508 ZH917508 AJD917508 ASZ917508 BCV917508 BMR917508 BWN917508 CGJ917508 CQF917508 DAB917508 DJX917508 DTT917508 EDP917508 ENL917508 EXH917508 FHD917508 FQZ917508 GAV917508 GKR917508 GUN917508 HEJ917508 HOF917508 HYB917508 IHX917508 IRT917508 JBP917508 JLL917508 JVH917508 KFD917508 KOZ917508 KYV917508 LIR917508 LSN917508 MCJ917508 MMF917508 MWB917508 NFX917508 NPT917508 NZP917508 OJL917508 OTH917508 PDD917508 PMZ917508 PWV917508 QGR917508 QQN917508 RAJ917508 RKF917508 RUB917508 SDX917508 SNT917508 SXP917508 THL917508 TRH917508 UBD917508 UKZ917508 UUV917508 VER917508 VON917508 VYJ917508 WIF917508 WSB917508 AA983044 FP983044 PL983044 ZH983044 AJD983044 ASZ983044 BCV983044 BMR983044 BWN983044 CGJ983044 CQF983044 DAB983044 DJX983044 DTT983044 EDP983044 ENL983044 EXH983044 FHD983044 FQZ983044 GAV983044 GKR983044 GUN983044 HEJ983044 HOF983044 HYB983044 IHX983044 IRT983044 JBP983044 JLL983044 JVH983044 KFD983044 KOZ983044 KYV983044 LIR983044 LSN983044 MCJ983044 MMF983044 MWB983044 NFX983044 NPT983044 NZP983044 OJL983044 OTH983044 PDD983044 PMZ983044 PWV983044 QGR983044 QQN983044 RAJ983044 RKF983044 RUB983044 SDX983044 SNT983044 SXP983044 THL983044 TRH983044 UBD983044 UKZ983044 UUV983044 VER983044 VON983044 VYJ983044 T983044:Y983044 T917508:Y917508 T851972:Y851972 T786436:Y786436 T720900:Y720900 T655364:Y655364 T589828:Y589828 T524292:Y524292 T458756:Y458756 T393220:Y393220 T327684:Y327684 T262148:Y262148 T196612:Y196612 T131076:Y131076 T65540:Y65540" xr:uid="{1E321B76-3E91-435E-8C4C-D8A23FB2204B}">
      <formula1>"Ｍ３（部長）,Ｍ２（Ｍ）,Ｍ１（ＰＭ）,Ｓ２,Ｓ１,Ｒ４,Ｒ３,Ｒ２,Ｒ１"</formula1>
    </dataValidation>
    <dataValidation type="list" allowBlank="1" showInputMessage="1" showErrorMessage="1" sqref="AB1:AI1" xr:uid="{D15471F1-4D22-46D6-8DCD-30EDD12F6174}">
      <formula1>"Ｍ３（部長）,Ｍ３（次長）,Ｍ２（Ｍ）,Ｍ１（ＰＭ）,Ｒ４,Ｒ３,Ｒ２,Ｒ１"</formula1>
    </dataValidation>
  </dataValidations>
  <pageMargins left="0.70866141732283472" right="0.31496062992125984" top="0.55118110236220474" bottom="0.35433070866141736" header="0.31496062992125984" footer="0.31496062992125984"/>
  <pageSetup paperSize="9" scale="51"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30EF-55C4-4D2F-BA84-79C9765DEB51}">
  <sheetPr>
    <pageSetUpPr fitToPage="1"/>
  </sheetPr>
  <dimension ref="A1:AR63"/>
  <sheetViews>
    <sheetView zoomScale="50" zoomScaleNormal="50" workbookViewId="0">
      <selection activeCell="AM2" sqref="AM2:AR2"/>
    </sheetView>
  </sheetViews>
  <sheetFormatPr defaultColWidth="3.5" defaultRowHeight="13.15"/>
  <cols>
    <col min="1" max="1" width="5.83203125" style="83" customWidth="1"/>
    <col min="2" max="7" width="8.83203125" style="82" customWidth="1"/>
    <col min="8" max="25" width="6.83203125" style="82" customWidth="1"/>
    <col min="26" max="26" width="9.5" style="82" customWidth="1"/>
    <col min="27" max="44" width="6.83203125" style="82" customWidth="1"/>
    <col min="45" max="141" width="3.5" style="82"/>
    <col min="142" max="159" width="5.83203125" style="82" customWidth="1"/>
    <col min="160" max="160" width="7.33203125" style="82" customWidth="1"/>
    <col min="161" max="170" width="5.83203125" style="82" customWidth="1"/>
    <col min="171" max="171" width="9.5" style="82" customWidth="1"/>
    <col min="172" max="189" width="5.83203125" style="82" customWidth="1"/>
    <col min="190" max="397" width="3.5" style="82"/>
    <col min="398" max="415" width="5.83203125" style="82" customWidth="1"/>
    <col min="416" max="416" width="7.33203125" style="82" customWidth="1"/>
    <col min="417" max="426" width="5.83203125" style="82" customWidth="1"/>
    <col min="427" max="427" width="9.5" style="82" customWidth="1"/>
    <col min="428" max="445" width="5.83203125" style="82" customWidth="1"/>
    <col min="446" max="653" width="3.5" style="82"/>
    <col min="654" max="671" width="5.83203125" style="82" customWidth="1"/>
    <col min="672" max="672" width="7.33203125" style="82" customWidth="1"/>
    <col min="673" max="682" width="5.83203125" style="82" customWidth="1"/>
    <col min="683" max="683" width="9.5" style="82" customWidth="1"/>
    <col min="684" max="701" width="5.83203125" style="82" customWidth="1"/>
    <col min="702" max="909" width="3.5" style="82"/>
    <col min="910" max="927" width="5.83203125" style="82" customWidth="1"/>
    <col min="928" max="928" width="7.33203125" style="82" customWidth="1"/>
    <col min="929" max="938" width="5.83203125" style="82" customWidth="1"/>
    <col min="939" max="939" width="9.5" style="82" customWidth="1"/>
    <col min="940" max="957" width="5.83203125" style="82" customWidth="1"/>
    <col min="958" max="1165" width="3.5" style="82"/>
    <col min="1166" max="1183" width="5.83203125" style="82" customWidth="1"/>
    <col min="1184" max="1184" width="7.33203125" style="82" customWidth="1"/>
    <col min="1185" max="1194" width="5.83203125" style="82" customWidth="1"/>
    <col min="1195" max="1195" width="9.5" style="82" customWidth="1"/>
    <col min="1196" max="1213" width="5.83203125" style="82" customWidth="1"/>
    <col min="1214" max="1421" width="3.5" style="82"/>
    <col min="1422" max="1439" width="5.83203125" style="82" customWidth="1"/>
    <col min="1440" max="1440" width="7.33203125" style="82" customWidth="1"/>
    <col min="1441" max="1450" width="5.83203125" style="82" customWidth="1"/>
    <col min="1451" max="1451" width="9.5" style="82" customWidth="1"/>
    <col min="1452" max="1469" width="5.83203125" style="82" customWidth="1"/>
    <col min="1470" max="1677" width="3.5" style="82"/>
    <col min="1678" max="1695" width="5.83203125" style="82" customWidth="1"/>
    <col min="1696" max="1696" width="7.33203125" style="82" customWidth="1"/>
    <col min="1697" max="1706" width="5.83203125" style="82" customWidth="1"/>
    <col min="1707" max="1707" width="9.5" style="82" customWidth="1"/>
    <col min="1708" max="1725" width="5.83203125" style="82" customWidth="1"/>
    <col min="1726" max="1933" width="3.5" style="82"/>
    <col min="1934" max="1951" width="5.83203125" style="82" customWidth="1"/>
    <col min="1952" max="1952" width="7.33203125" style="82" customWidth="1"/>
    <col min="1953" max="1962" width="5.83203125" style="82" customWidth="1"/>
    <col min="1963" max="1963" width="9.5" style="82" customWidth="1"/>
    <col min="1964" max="1981" width="5.83203125" style="82" customWidth="1"/>
    <col min="1982" max="2189" width="3.5" style="82"/>
    <col min="2190" max="2207" width="5.83203125" style="82" customWidth="1"/>
    <col min="2208" max="2208" width="7.33203125" style="82" customWidth="1"/>
    <col min="2209" max="2218" width="5.83203125" style="82" customWidth="1"/>
    <col min="2219" max="2219" width="9.5" style="82" customWidth="1"/>
    <col min="2220" max="2237" width="5.83203125" style="82" customWidth="1"/>
    <col min="2238" max="2445" width="3.5" style="82"/>
    <col min="2446" max="2463" width="5.83203125" style="82" customWidth="1"/>
    <col min="2464" max="2464" width="7.33203125" style="82" customWidth="1"/>
    <col min="2465" max="2474" width="5.83203125" style="82" customWidth="1"/>
    <col min="2475" max="2475" width="9.5" style="82" customWidth="1"/>
    <col min="2476" max="2493" width="5.83203125" style="82" customWidth="1"/>
    <col min="2494" max="2701" width="3.5" style="82"/>
    <col min="2702" max="2719" width="5.83203125" style="82" customWidth="1"/>
    <col min="2720" max="2720" width="7.33203125" style="82" customWidth="1"/>
    <col min="2721" max="2730" width="5.83203125" style="82" customWidth="1"/>
    <col min="2731" max="2731" width="9.5" style="82" customWidth="1"/>
    <col min="2732" max="2749" width="5.83203125" style="82" customWidth="1"/>
    <col min="2750" max="2957" width="3.5" style="82"/>
    <col min="2958" max="2975" width="5.83203125" style="82" customWidth="1"/>
    <col min="2976" max="2976" width="7.33203125" style="82" customWidth="1"/>
    <col min="2977" max="2986" width="5.83203125" style="82" customWidth="1"/>
    <col min="2987" max="2987" width="9.5" style="82" customWidth="1"/>
    <col min="2988" max="3005" width="5.83203125" style="82" customWidth="1"/>
    <col min="3006" max="3213" width="3.5" style="82"/>
    <col min="3214" max="3231" width="5.83203125" style="82" customWidth="1"/>
    <col min="3232" max="3232" width="7.33203125" style="82" customWidth="1"/>
    <col min="3233" max="3242" width="5.83203125" style="82" customWidth="1"/>
    <col min="3243" max="3243" width="9.5" style="82" customWidth="1"/>
    <col min="3244" max="3261" width="5.83203125" style="82" customWidth="1"/>
    <col min="3262" max="3469" width="3.5" style="82"/>
    <col min="3470" max="3487" width="5.83203125" style="82" customWidth="1"/>
    <col min="3488" max="3488" width="7.33203125" style="82" customWidth="1"/>
    <col min="3489" max="3498" width="5.83203125" style="82" customWidth="1"/>
    <col min="3499" max="3499" width="9.5" style="82" customWidth="1"/>
    <col min="3500" max="3517" width="5.83203125" style="82" customWidth="1"/>
    <col min="3518" max="3725" width="3.5" style="82"/>
    <col min="3726" max="3743" width="5.83203125" style="82" customWidth="1"/>
    <col min="3744" max="3744" width="7.33203125" style="82" customWidth="1"/>
    <col min="3745" max="3754" width="5.83203125" style="82" customWidth="1"/>
    <col min="3755" max="3755" width="9.5" style="82" customWidth="1"/>
    <col min="3756" max="3773" width="5.83203125" style="82" customWidth="1"/>
    <col min="3774" max="3981" width="3.5" style="82"/>
    <col min="3982" max="3999" width="5.83203125" style="82" customWidth="1"/>
    <col min="4000" max="4000" width="7.33203125" style="82" customWidth="1"/>
    <col min="4001" max="4010" width="5.83203125" style="82" customWidth="1"/>
    <col min="4011" max="4011" width="9.5" style="82" customWidth="1"/>
    <col min="4012" max="4029" width="5.83203125" style="82" customWidth="1"/>
    <col min="4030" max="4237" width="3.5" style="82"/>
    <col min="4238" max="4255" width="5.83203125" style="82" customWidth="1"/>
    <col min="4256" max="4256" width="7.33203125" style="82" customWidth="1"/>
    <col min="4257" max="4266" width="5.83203125" style="82" customWidth="1"/>
    <col min="4267" max="4267" width="9.5" style="82" customWidth="1"/>
    <col min="4268" max="4285" width="5.83203125" style="82" customWidth="1"/>
    <col min="4286" max="4493" width="3.5" style="82"/>
    <col min="4494" max="4511" width="5.83203125" style="82" customWidth="1"/>
    <col min="4512" max="4512" width="7.33203125" style="82" customWidth="1"/>
    <col min="4513" max="4522" width="5.83203125" style="82" customWidth="1"/>
    <col min="4523" max="4523" width="9.5" style="82" customWidth="1"/>
    <col min="4524" max="4541" width="5.83203125" style="82" customWidth="1"/>
    <col min="4542" max="4749" width="3.5" style="82"/>
    <col min="4750" max="4767" width="5.83203125" style="82" customWidth="1"/>
    <col min="4768" max="4768" width="7.33203125" style="82" customWidth="1"/>
    <col min="4769" max="4778" width="5.83203125" style="82" customWidth="1"/>
    <col min="4779" max="4779" width="9.5" style="82" customWidth="1"/>
    <col min="4780" max="4797" width="5.83203125" style="82" customWidth="1"/>
    <col min="4798" max="5005" width="3.5" style="82"/>
    <col min="5006" max="5023" width="5.83203125" style="82" customWidth="1"/>
    <col min="5024" max="5024" width="7.33203125" style="82" customWidth="1"/>
    <col min="5025" max="5034" width="5.83203125" style="82" customWidth="1"/>
    <col min="5035" max="5035" width="9.5" style="82" customWidth="1"/>
    <col min="5036" max="5053" width="5.83203125" style="82" customWidth="1"/>
    <col min="5054" max="5261" width="3.5" style="82"/>
    <col min="5262" max="5279" width="5.83203125" style="82" customWidth="1"/>
    <col min="5280" max="5280" width="7.33203125" style="82" customWidth="1"/>
    <col min="5281" max="5290" width="5.83203125" style="82" customWidth="1"/>
    <col min="5291" max="5291" width="9.5" style="82" customWidth="1"/>
    <col min="5292" max="5309" width="5.83203125" style="82" customWidth="1"/>
    <col min="5310" max="5517" width="3.5" style="82"/>
    <col min="5518" max="5535" width="5.83203125" style="82" customWidth="1"/>
    <col min="5536" max="5536" width="7.33203125" style="82" customWidth="1"/>
    <col min="5537" max="5546" width="5.83203125" style="82" customWidth="1"/>
    <col min="5547" max="5547" width="9.5" style="82" customWidth="1"/>
    <col min="5548" max="5565" width="5.83203125" style="82" customWidth="1"/>
    <col min="5566" max="5773" width="3.5" style="82"/>
    <col min="5774" max="5791" width="5.83203125" style="82" customWidth="1"/>
    <col min="5792" max="5792" width="7.33203125" style="82" customWidth="1"/>
    <col min="5793" max="5802" width="5.83203125" style="82" customWidth="1"/>
    <col min="5803" max="5803" width="9.5" style="82" customWidth="1"/>
    <col min="5804" max="5821" width="5.83203125" style="82" customWidth="1"/>
    <col min="5822" max="6029" width="3.5" style="82"/>
    <col min="6030" max="6047" width="5.83203125" style="82" customWidth="1"/>
    <col min="6048" max="6048" width="7.33203125" style="82" customWidth="1"/>
    <col min="6049" max="6058" width="5.83203125" style="82" customWidth="1"/>
    <col min="6059" max="6059" width="9.5" style="82" customWidth="1"/>
    <col min="6060" max="6077" width="5.83203125" style="82" customWidth="1"/>
    <col min="6078" max="6285" width="3.5" style="82"/>
    <col min="6286" max="6303" width="5.83203125" style="82" customWidth="1"/>
    <col min="6304" max="6304" width="7.33203125" style="82" customWidth="1"/>
    <col min="6305" max="6314" width="5.83203125" style="82" customWidth="1"/>
    <col min="6315" max="6315" width="9.5" style="82" customWidth="1"/>
    <col min="6316" max="6333" width="5.83203125" style="82" customWidth="1"/>
    <col min="6334" max="6541" width="3.5" style="82"/>
    <col min="6542" max="6559" width="5.83203125" style="82" customWidth="1"/>
    <col min="6560" max="6560" width="7.33203125" style="82" customWidth="1"/>
    <col min="6561" max="6570" width="5.83203125" style="82" customWidth="1"/>
    <col min="6571" max="6571" width="9.5" style="82" customWidth="1"/>
    <col min="6572" max="6589" width="5.83203125" style="82" customWidth="1"/>
    <col min="6590" max="6797" width="3.5" style="82"/>
    <col min="6798" max="6815" width="5.83203125" style="82" customWidth="1"/>
    <col min="6816" max="6816" width="7.33203125" style="82" customWidth="1"/>
    <col min="6817" max="6826" width="5.83203125" style="82" customWidth="1"/>
    <col min="6827" max="6827" width="9.5" style="82" customWidth="1"/>
    <col min="6828" max="6845" width="5.83203125" style="82" customWidth="1"/>
    <col min="6846" max="7053" width="3.5" style="82"/>
    <col min="7054" max="7071" width="5.83203125" style="82" customWidth="1"/>
    <col min="7072" max="7072" width="7.33203125" style="82" customWidth="1"/>
    <col min="7073" max="7082" width="5.83203125" style="82" customWidth="1"/>
    <col min="7083" max="7083" width="9.5" style="82" customWidth="1"/>
    <col min="7084" max="7101" width="5.83203125" style="82" customWidth="1"/>
    <col min="7102" max="7309" width="3.5" style="82"/>
    <col min="7310" max="7327" width="5.83203125" style="82" customWidth="1"/>
    <col min="7328" max="7328" width="7.33203125" style="82" customWidth="1"/>
    <col min="7329" max="7338" width="5.83203125" style="82" customWidth="1"/>
    <col min="7339" max="7339" width="9.5" style="82" customWidth="1"/>
    <col min="7340" max="7357" width="5.83203125" style="82" customWidth="1"/>
    <col min="7358" max="7565" width="3.5" style="82"/>
    <col min="7566" max="7583" width="5.83203125" style="82" customWidth="1"/>
    <col min="7584" max="7584" width="7.33203125" style="82" customWidth="1"/>
    <col min="7585" max="7594" width="5.83203125" style="82" customWidth="1"/>
    <col min="7595" max="7595" width="9.5" style="82" customWidth="1"/>
    <col min="7596" max="7613" width="5.83203125" style="82" customWidth="1"/>
    <col min="7614" max="7821" width="3.5" style="82"/>
    <col min="7822" max="7839" width="5.83203125" style="82" customWidth="1"/>
    <col min="7840" max="7840" width="7.33203125" style="82" customWidth="1"/>
    <col min="7841" max="7850" width="5.83203125" style="82" customWidth="1"/>
    <col min="7851" max="7851" width="9.5" style="82" customWidth="1"/>
    <col min="7852" max="7869" width="5.83203125" style="82" customWidth="1"/>
    <col min="7870" max="8077" width="3.5" style="82"/>
    <col min="8078" max="8095" width="5.83203125" style="82" customWidth="1"/>
    <col min="8096" max="8096" width="7.33203125" style="82" customWidth="1"/>
    <col min="8097" max="8106" width="5.83203125" style="82" customWidth="1"/>
    <col min="8107" max="8107" width="9.5" style="82" customWidth="1"/>
    <col min="8108" max="8125" width="5.83203125" style="82" customWidth="1"/>
    <col min="8126" max="8333" width="3.5" style="82"/>
    <col min="8334" max="8351" width="5.83203125" style="82" customWidth="1"/>
    <col min="8352" max="8352" width="7.33203125" style="82" customWidth="1"/>
    <col min="8353" max="8362" width="5.83203125" style="82" customWidth="1"/>
    <col min="8363" max="8363" width="9.5" style="82" customWidth="1"/>
    <col min="8364" max="8381" width="5.83203125" style="82" customWidth="1"/>
    <col min="8382" max="8589" width="3.5" style="82"/>
    <col min="8590" max="8607" width="5.83203125" style="82" customWidth="1"/>
    <col min="8608" max="8608" width="7.33203125" style="82" customWidth="1"/>
    <col min="8609" max="8618" width="5.83203125" style="82" customWidth="1"/>
    <col min="8619" max="8619" width="9.5" style="82" customWidth="1"/>
    <col min="8620" max="8637" width="5.83203125" style="82" customWidth="1"/>
    <col min="8638" max="8845" width="3.5" style="82"/>
    <col min="8846" max="8863" width="5.83203125" style="82" customWidth="1"/>
    <col min="8864" max="8864" width="7.33203125" style="82" customWidth="1"/>
    <col min="8865" max="8874" width="5.83203125" style="82" customWidth="1"/>
    <col min="8875" max="8875" width="9.5" style="82" customWidth="1"/>
    <col min="8876" max="8893" width="5.83203125" style="82" customWidth="1"/>
    <col min="8894" max="9101" width="3.5" style="82"/>
    <col min="9102" max="9119" width="5.83203125" style="82" customWidth="1"/>
    <col min="9120" max="9120" width="7.33203125" style="82" customWidth="1"/>
    <col min="9121" max="9130" width="5.83203125" style="82" customWidth="1"/>
    <col min="9131" max="9131" width="9.5" style="82" customWidth="1"/>
    <col min="9132" max="9149" width="5.83203125" style="82" customWidth="1"/>
    <col min="9150" max="9357" width="3.5" style="82"/>
    <col min="9358" max="9375" width="5.83203125" style="82" customWidth="1"/>
    <col min="9376" max="9376" width="7.33203125" style="82" customWidth="1"/>
    <col min="9377" max="9386" width="5.83203125" style="82" customWidth="1"/>
    <col min="9387" max="9387" width="9.5" style="82" customWidth="1"/>
    <col min="9388" max="9405" width="5.83203125" style="82" customWidth="1"/>
    <col min="9406" max="9613" width="3.5" style="82"/>
    <col min="9614" max="9631" width="5.83203125" style="82" customWidth="1"/>
    <col min="9632" max="9632" width="7.33203125" style="82" customWidth="1"/>
    <col min="9633" max="9642" width="5.83203125" style="82" customWidth="1"/>
    <col min="9643" max="9643" width="9.5" style="82" customWidth="1"/>
    <col min="9644" max="9661" width="5.83203125" style="82" customWidth="1"/>
    <col min="9662" max="9869" width="3.5" style="82"/>
    <col min="9870" max="9887" width="5.83203125" style="82" customWidth="1"/>
    <col min="9888" max="9888" width="7.33203125" style="82" customWidth="1"/>
    <col min="9889" max="9898" width="5.83203125" style="82" customWidth="1"/>
    <col min="9899" max="9899" width="9.5" style="82" customWidth="1"/>
    <col min="9900" max="9917" width="5.83203125" style="82" customWidth="1"/>
    <col min="9918" max="10125" width="3.5" style="82"/>
    <col min="10126" max="10143" width="5.83203125" style="82" customWidth="1"/>
    <col min="10144" max="10144" width="7.33203125" style="82" customWidth="1"/>
    <col min="10145" max="10154" width="5.83203125" style="82" customWidth="1"/>
    <col min="10155" max="10155" width="9.5" style="82" customWidth="1"/>
    <col min="10156" max="10173" width="5.83203125" style="82" customWidth="1"/>
    <col min="10174" max="10381" width="3.5" style="82"/>
    <col min="10382" max="10399" width="5.83203125" style="82" customWidth="1"/>
    <col min="10400" max="10400" width="7.33203125" style="82" customWidth="1"/>
    <col min="10401" max="10410" width="5.83203125" style="82" customWidth="1"/>
    <col min="10411" max="10411" width="9.5" style="82" customWidth="1"/>
    <col min="10412" max="10429" width="5.83203125" style="82" customWidth="1"/>
    <col min="10430" max="10637" width="3.5" style="82"/>
    <col min="10638" max="10655" width="5.83203125" style="82" customWidth="1"/>
    <col min="10656" max="10656" width="7.33203125" style="82" customWidth="1"/>
    <col min="10657" max="10666" width="5.83203125" style="82" customWidth="1"/>
    <col min="10667" max="10667" width="9.5" style="82" customWidth="1"/>
    <col min="10668" max="10685" width="5.83203125" style="82" customWidth="1"/>
    <col min="10686" max="10893" width="3.5" style="82"/>
    <col min="10894" max="10911" width="5.83203125" style="82" customWidth="1"/>
    <col min="10912" max="10912" width="7.33203125" style="82" customWidth="1"/>
    <col min="10913" max="10922" width="5.83203125" style="82" customWidth="1"/>
    <col min="10923" max="10923" width="9.5" style="82" customWidth="1"/>
    <col min="10924" max="10941" width="5.83203125" style="82" customWidth="1"/>
    <col min="10942" max="11149" width="3.5" style="82"/>
    <col min="11150" max="11167" width="5.83203125" style="82" customWidth="1"/>
    <col min="11168" max="11168" width="7.33203125" style="82" customWidth="1"/>
    <col min="11169" max="11178" width="5.83203125" style="82" customWidth="1"/>
    <col min="11179" max="11179" width="9.5" style="82" customWidth="1"/>
    <col min="11180" max="11197" width="5.83203125" style="82" customWidth="1"/>
    <col min="11198" max="11405" width="3.5" style="82"/>
    <col min="11406" max="11423" width="5.83203125" style="82" customWidth="1"/>
    <col min="11424" max="11424" width="7.33203125" style="82" customWidth="1"/>
    <col min="11425" max="11434" width="5.83203125" style="82" customWidth="1"/>
    <col min="11435" max="11435" width="9.5" style="82" customWidth="1"/>
    <col min="11436" max="11453" width="5.83203125" style="82" customWidth="1"/>
    <col min="11454" max="11661" width="3.5" style="82"/>
    <col min="11662" max="11679" width="5.83203125" style="82" customWidth="1"/>
    <col min="11680" max="11680" width="7.33203125" style="82" customWidth="1"/>
    <col min="11681" max="11690" width="5.83203125" style="82" customWidth="1"/>
    <col min="11691" max="11691" width="9.5" style="82" customWidth="1"/>
    <col min="11692" max="11709" width="5.83203125" style="82" customWidth="1"/>
    <col min="11710" max="11917" width="3.5" style="82"/>
    <col min="11918" max="11935" width="5.83203125" style="82" customWidth="1"/>
    <col min="11936" max="11936" width="7.33203125" style="82" customWidth="1"/>
    <col min="11937" max="11946" width="5.83203125" style="82" customWidth="1"/>
    <col min="11947" max="11947" width="9.5" style="82" customWidth="1"/>
    <col min="11948" max="11965" width="5.83203125" style="82" customWidth="1"/>
    <col min="11966" max="12173" width="3.5" style="82"/>
    <col min="12174" max="12191" width="5.83203125" style="82" customWidth="1"/>
    <col min="12192" max="12192" width="7.33203125" style="82" customWidth="1"/>
    <col min="12193" max="12202" width="5.83203125" style="82" customWidth="1"/>
    <col min="12203" max="12203" width="9.5" style="82" customWidth="1"/>
    <col min="12204" max="12221" width="5.83203125" style="82" customWidth="1"/>
    <col min="12222" max="12429" width="3.5" style="82"/>
    <col min="12430" max="12447" width="5.83203125" style="82" customWidth="1"/>
    <col min="12448" max="12448" width="7.33203125" style="82" customWidth="1"/>
    <col min="12449" max="12458" width="5.83203125" style="82" customWidth="1"/>
    <col min="12459" max="12459" width="9.5" style="82" customWidth="1"/>
    <col min="12460" max="12477" width="5.83203125" style="82" customWidth="1"/>
    <col min="12478" max="12685" width="3.5" style="82"/>
    <col min="12686" max="12703" width="5.83203125" style="82" customWidth="1"/>
    <col min="12704" max="12704" width="7.33203125" style="82" customWidth="1"/>
    <col min="12705" max="12714" width="5.83203125" style="82" customWidth="1"/>
    <col min="12715" max="12715" width="9.5" style="82" customWidth="1"/>
    <col min="12716" max="12733" width="5.83203125" style="82" customWidth="1"/>
    <col min="12734" max="12941" width="3.5" style="82"/>
    <col min="12942" max="12959" width="5.83203125" style="82" customWidth="1"/>
    <col min="12960" max="12960" width="7.33203125" style="82" customWidth="1"/>
    <col min="12961" max="12970" width="5.83203125" style="82" customWidth="1"/>
    <col min="12971" max="12971" width="9.5" style="82" customWidth="1"/>
    <col min="12972" max="12989" width="5.83203125" style="82" customWidth="1"/>
    <col min="12990" max="13197" width="3.5" style="82"/>
    <col min="13198" max="13215" width="5.83203125" style="82" customWidth="1"/>
    <col min="13216" max="13216" width="7.33203125" style="82" customWidth="1"/>
    <col min="13217" max="13226" width="5.83203125" style="82" customWidth="1"/>
    <col min="13227" max="13227" width="9.5" style="82" customWidth="1"/>
    <col min="13228" max="13245" width="5.83203125" style="82" customWidth="1"/>
    <col min="13246" max="13453" width="3.5" style="82"/>
    <col min="13454" max="13471" width="5.83203125" style="82" customWidth="1"/>
    <col min="13472" max="13472" width="7.33203125" style="82" customWidth="1"/>
    <col min="13473" max="13482" width="5.83203125" style="82" customWidth="1"/>
    <col min="13483" max="13483" width="9.5" style="82" customWidth="1"/>
    <col min="13484" max="13501" width="5.83203125" style="82" customWidth="1"/>
    <col min="13502" max="13709" width="3.5" style="82"/>
    <col min="13710" max="13727" width="5.83203125" style="82" customWidth="1"/>
    <col min="13728" max="13728" width="7.33203125" style="82" customWidth="1"/>
    <col min="13729" max="13738" width="5.83203125" style="82" customWidth="1"/>
    <col min="13739" max="13739" width="9.5" style="82" customWidth="1"/>
    <col min="13740" max="13757" width="5.83203125" style="82" customWidth="1"/>
    <col min="13758" max="13965" width="3.5" style="82"/>
    <col min="13966" max="13983" width="5.83203125" style="82" customWidth="1"/>
    <col min="13984" max="13984" width="7.33203125" style="82" customWidth="1"/>
    <col min="13985" max="13994" width="5.83203125" style="82" customWidth="1"/>
    <col min="13995" max="13995" width="9.5" style="82" customWidth="1"/>
    <col min="13996" max="14013" width="5.83203125" style="82" customWidth="1"/>
    <col min="14014" max="14221" width="3.5" style="82"/>
    <col min="14222" max="14239" width="5.83203125" style="82" customWidth="1"/>
    <col min="14240" max="14240" width="7.33203125" style="82" customWidth="1"/>
    <col min="14241" max="14250" width="5.83203125" style="82" customWidth="1"/>
    <col min="14251" max="14251" width="9.5" style="82" customWidth="1"/>
    <col min="14252" max="14269" width="5.83203125" style="82" customWidth="1"/>
    <col min="14270" max="14477" width="3.5" style="82"/>
    <col min="14478" max="14495" width="5.83203125" style="82" customWidth="1"/>
    <col min="14496" max="14496" width="7.33203125" style="82" customWidth="1"/>
    <col min="14497" max="14506" width="5.83203125" style="82" customWidth="1"/>
    <col min="14507" max="14507" width="9.5" style="82" customWidth="1"/>
    <col min="14508" max="14525" width="5.83203125" style="82" customWidth="1"/>
    <col min="14526" max="14733" width="3.5" style="82"/>
    <col min="14734" max="14751" width="5.83203125" style="82" customWidth="1"/>
    <col min="14752" max="14752" width="7.33203125" style="82" customWidth="1"/>
    <col min="14753" max="14762" width="5.83203125" style="82" customWidth="1"/>
    <col min="14763" max="14763" width="9.5" style="82" customWidth="1"/>
    <col min="14764" max="14781" width="5.83203125" style="82" customWidth="1"/>
    <col min="14782" max="14989" width="3.5" style="82"/>
    <col min="14990" max="15007" width="5.83203125" style="82" customWidth="1"/>
    <col min="15008" max="15008" width="7.33203125" style="82" customWidth="1"/>
    <col min="15009" max="15018" width="5.83203125" style="82" customWidth="1"/>
    <col min="15019" max="15019" width="9.5" style="82" customWidth="1"/>
    <col min="15020" max="15037" width="5.83203125" style="82" customWidth="1"/>
    <col min="15038" max="15245" width="3.5" style="82"/>
    <col min="15246" max="15263" width="5.83203125" style="82" customWidth="1"/>
    <col min="15264" max="15264" width="7.33203125" style="82" customWidth="1"/>
    <col min="15265" max="15274" width="5.83203125" style="82" customWidth="1"/>
    <col min="15275" max="15275" width="9.5" style="82" customWidth="1"/>
    <col min="15276" max="15293" width="5.83203125" style="82" customWidth="1"/>
    <col min="15294" max="15501" width="3.5" style="82"/>
    <col min="15502" max="15519" width="5.83203125" style="82" customWidth="1"/>
    <col min="15520" max="15520" width="7.33203125" style="82" customWidth="1"/>
    <col min="15521" max="15530" width="5.83203125" style="82" customWidth="1"/>
    <col min="15531" max="15531" width="9.5" style="82" customWidth="1"/>
    <col min="15532" max="15549" width="5.83203125" style="82" customWidth="1"/>
    <col min="15550" max="15757" width="3.5" style="82"/>
    <col min="15758" max="15775" width="5.83203125" style="82" customWidth="1"/>
    <col min="15776" max="15776" width="7.33203125" style="82" customWidth="1"/>
    <col min="15777" max="15786" width="5.83203125" style="82" customWidth="1"/>
    <col min="15787" max="15787" width="9.5" style="82" customWidth="1"/>
    <col min="15788" max="15805" width="5.83203125" style="82" customWidth="1"/>
    <col min="15806" max="16013" width="3.5" style="82"/>
    <col min="16014" max="16031" width="5.83203125" style="82" customWidth="1"/>
    <col min="16032" max="16032" width="7.33203125" style="82" customWidth="1"/>
    <col min="16033" max="16042" width="5.83203125" style="82" customWidth="1"/>
    <col min="16043" max="16043" width="9.5" style="82" customWidth="1"/>
    <col min="16044" max="16061" width="5.83203125" style="82" customWidth="1"/>
    <col min="16062" max="16384" width="3.5" style="82"/>
  </cols>
  <sheetData>
    <row r="1" spans="1:44" s="81" customFormat="1" ht="30" customHeight="1">
      <c r="A1" s="361" t="s">
        <v>282</v>
      </c>
      <c r="B1" s="361"/>
      <c r="C1" s="361"/>
      <c r="D1" s="361"/>
      <c r="E1" s="361"/>
      <c r="F1" s="361"/>
      <c r="G1" s="361"/>
      <c r="H1" s="361"/>
      <c r="I1" s="361"/>
      <c r="J1" s="361"/>
      <c r="K1" s="361"/>
      <c r="L1" s="361"/>
      <c r="M1" s="361"/>
      <c r="N1" s="361"/>
      <c r="O1" s="361"/>
      <c r="Y1" s="571" t="s">
        <v>283</v>
      </c>
      <c r="Z1" s="572"/>
      <c r="AA1" s="572"/>
      <c r="AB1" s="573" t="s">
        <v>328</v>
      </c>
      <c r="AC1" s="573"/>
      <c r="AD1" s="573"/>
      <c r="AE1" s="573"/>
      <c r="AF1" s="573"/>
      <c r="AG1" s="573"/>
      <c r="AH1" s="573"/>
      <c r="AI1" s="574"/>
      <c r="AJ1" s="572" t="s">
        <v>285</v>
      </c>
      <c r="AK1" s="572"/>
      <c r="AL1" s="572"/>
      <c r="AM1" s="573" t="s">
        <v>286</v>
      </c>
      <c r="AN1" s="573"/>
      <c r="AO1" s="573"/>
      <c r="AP1" s="573"/>
      <c r="AQ1" s="573"/>
      <c r="AR1" s="575"/>
    </row>
    <row r="2" spans="1:44" s="83" customFormat="1" ht="30" customHeight="1" thickBot="1">
      <c r="A2" s="361"/>
      <c r="B2" s="361"/>
      <c r="C2" s="361"/>
      <c r="D2" s="361"/>
      <c r="E2" s="361"/>
      <c r="F2" s="361"/>
      <c r="G2" s="361"/>
      <c r="H2" s="361"/>
      <c r="I2" s="361"/>
      <c r="J2" s="361"/>
      <c r="K2" s="361"/>
      <c r="L2" s="361"/>
      <c r="M2" s="361"/>
      <c r="N2" s="361"/>
      <c r="O2" s="361"/>
      <c r="Y2" s="576" t="s">
        <v>287</v>
      </c>
      <c r="Z2" s="577"/>
      <c r="AA2" s="577"/>
      <c r="AB2" s="578"/>
      <c r="AC2" s="578"/>
      <c r="AD2" s="578"/>
      <c r="AE2" s="578"/>
      <c r="AF2" s="578"/>
      <c r="AG2" s="578"/>
      <c r="AH2" s="578"/>
      <c r="AI2" s="579"/>
      <c r="AJ2" s="580" t="s">
        <v>288</v>
      </c>
      <c r="AK2" s="581"/>
      <c r="AL2" s="582"/>
      <c r="AM2" s="583"/>
      <c r="AN2" s="583"/>
      <c r="AO2" s="583"/>
      <c r="AP2" s="583"/>
      <c r="AQ2" s="583"/>
      <c r="AR2" s="584"/>
    </row>
    <row r="3" spans="1:44" s="83" customFormat="1" ht="30" customHeight="1" thickBot="1">
      <c r="A3" s="159"/>
      <c r="B3" s="159"/>
      <c r="C3" s="159"/>
      <c r="D3" s="159"/>
      <c r="E3" s="159"/>
      <c r="F3" s="159"/>
      <c r="G3" s="159"/>
      <c r="H3" s="159"/>
      <c r="I3" s="159"/>
      <c r="J3" s="159"/>
      <c r="K3" s="159"/>
      <c r="L3" s="159"/>
      <c r="M3" s="159"/>
      <c r="N3" s="159"/>
      <c r="O3" s="159"/>
      <c r="Y3" s="525" t="s">
        <v>289</v>
      </c>
      <c r="Z3" s="526"/>
      <c r="AA3" s="526"/>
      <c r="AB3" s="526"/>
      <c r="AC3" s="526"/>
      <c r="AD3" s="527"/>
      <c r="AE3" s="528"/>
      <c r="AF3" s="529"/>
      <c r="AG3" s="529"/>
      <c r="AH3" s="529"/>
      <c r="AI3" s="530"/>
      <c r="AJ3" s="531" t="s">
        <v>290</v>
      </c>
      <c r="AK3" s="532"/>
      <c r="AL3" s="533"/>
      <c r="AM3" s="534"/>
      <c r="AN3" s="535"/>
      <c r="AO3" s="535"/>
      <c r="AP3" s="535"/>
      <c r="AQ3" s="535"/>
      <c r="AR3" s="536"/>
    </row>
    <row r="4" spans="1:44" s="83" customFormat="1" ht="30.75" customHeight="1" thickBot="1">
      <c r="A4" s="537" t="s">
        <v>291</v>
      </c>
      <c r="B4" s="537"/>
      <c r="C4" s="537"/>
      <c r="D4" s="537"/>
      <c r="E4" s="537"/>
      <c r="S4" s="84"/>
      <c r="T4" s="84"/>
      <c r="U4" s="84"/>
      <c r="V4" s="84"/>
      <c r="W4" s="84"/>
      <c r="X4" s="84"/>
      <c r="Y4" s="84"/>
      <c r="Z4" s="84"/>
      <c r="AA4" s="84"/>
      <c r="AB4" s="84"/>
      <c r="AC4" s="84"/>
      <c r="AD4" s="84"/>
      <c r="AE4" s="84"/>
      <c r="AF4" s="84"/>
      <c r="AG4" s="84"/>
      <c r="AH4" s="84"/>
      <c r="AI4" s="84"/>
      <c r="AJ4" s="84"/>
      <c r="AK4" s="82"/>
    </row>
    <row r="5" spans="1:44" s="83" customFormat="1" ht="24" customHeight="1">
      <c r="A5" s="538" t="s">
        <v>292</v>
      </c>
      <c r="B5" s="539"/>
      <c r="C5" s="539"/>
      <c r="D5" s="539"/>
      <c r="E5" s="539"/>
      <c r="F5" s="539"/>
      <c r="G5" s="539"/>
      <c r="H5" s="539"/>
      <c r="I5" s="539"/>
      <c r="J5" s="539"/>
      <c r="K5" s="539"/>
      <c r="L5" s="539"/>
      <c r="M5" s="539"/>
      <c r="N5" s="539"/>
      <c r="O5" s="539"/>
      <c r="P5" s="539"/>
      <c r="Q5" s="539"/>
      <c r="R5" s="539"/>
      <c r="S5" s="539"/>
      <c r="T5" s="539"/>
      <c r="U5" s="539"/>
      <c r="V5" s="539"/>
      <c r="W5" s="539"/>
      <c r="X5" s="539"/>
      <c r="Y5" s="539"/>
      <c r="Z5" s="540"/>
      <c r="AA5" s="541" t="s">
        <v>293</v>
      </c>
      <c r="AB5" s="542"/>
      <c r="AC5" s="542"/>
      <c r="AD5" s="542"/>
      <c r="AE5" s="542"/>
      <c r="AF5" s="542"/>
      <c r="AG5" s="542"/>
      <c r="AH5" s="543"/>
      <c r="AI5" s="544" t="s">
        <v>294</v>
      </c>
      <c r="AJ5" s="545"/>
      <c r="AK5" s="545"/>
      <c r="AL5" s="545"/>
      <c r="AM5" s="545"/>
      <c r="AN5" s="545"/>
      <c r="AO5" s="545"/>
      <c r="AP5" s="546"/>
      <c r="AQ5" s="547" t="s">
        <v>295</v>
      </c>
      <c r="AR5" s="548"/>
    </row>
    <row r="6" spans="1:44" ht="15.6" customHeight="1">
      <c r="A6" s="374" t="s">
        <v>296</v>
      </c>
      <c r="B6" s="414" t="s">
        <v>297</v>
      </c>
      <c r="C6" s="415"/>
      <c r="D6" s="415"/>
      <c r="E6" s="415"/>
      <c r="F6" s="415"/>
      <c r="G6" s="416"/>
      <c r="H6" s="414" t="s">
        <v>298</v>
      </c>
      <c r="I6" s="415"/>
      <c r="J6" s="415"/>
      <c r="K6" s="415"/>
      <c r="L6" s="415"/>
      <c r="M6" s="415"/>
      <c r="N6" s="415"/>
      <c r="O6" s="415"/>
      <c r="P6" s="416"/>
      <c r="Q6" s="414" t="s">
        <v>299</v>
      </c>
      <c r="R6" s="415"/>
      <c r="S6" s="415"/>
      <c r="T6" s="415"/>
      <c r="U6" s="415"/>
      <c r="V6" s="415"/>
      <c r="W6" s="415"/>
      <c r="X6" s="415"/>
      <c r="Y6" s="416"/>
      <c r="Z6" s="514" t="s">
        <v>300</v>
      </c>
      <c r="AA6" s="517" t="s">
        <v>301</v>
      </c>
      <c r="AB6" s="518"/>
      <c r="AC6" s="518"/>
      <c r="AD6" s="518"/>
      <c r="AE6" s="518"/>
      <c r="AF6" s="518"/>
      <c r="AG6" s="518"/>
      <c r="AH6" s="519"/>
      <c r="AI6" s="520" t="s">
        <v>302</v>
      </c>
      <c r="AJ6" s="521"/>
      <c r="AK6" s="521"/>
      <c r="AL6" s="521"/>
      <c r="AM6" s="521"/>
      <c r="AN6" s="521"/>
      <c r="AO6" s="521"/>
      <c r="AP6" s="522"/>
      <c r="AQ6" s="549"/>
      <c r="AR6" s="550"/>
    </row>
    <row r="7" spans="1:44" ht="15.6" customHeight="1">
      <c r="A7" s="375"/>
      <c r="B7" s="430" t="s">
        <v>303</v>
      </c>
      <c r="C7" s="431"/>
      <c r="D7" s="431"/>
      <c r="E7" s="431"/>
      <c r="F7" s="431"/>
      <c r="G7" s="523"/>
      <c r="H7" s="430" t="s">
        <v>304</v>
      </c>
      <c r="I7" s="431"/>
      <c r="J7" s="431"/>
      <c r="K7" s="431"/>
      <c r="L7" s="431"/>
      <c r="M7" s="431"/>
      <c r="N7" s="431"/>
      <c r="O7" s="431"/>
      <c r="P7" s="523"/>
      <c r="Q7" s="553" t="s">
        <v>305</v>
      </c>
      <c r="R7" s="554"/>
      <c r="S7" s="554"/>
      <c r="T7" s="554"/>
      <c r="U7" s="554"/>
      <c r="V7" s="554"/>
      <c r="W7" s="554"/>
      <c r="X7" s="554"/>
      <c r="Y7" s="555"/>
      <c r="Z7" s="515"/>
      <c r="AA7" s="559" t="s">
        <v>306</v>
      </c>
      <c r="AB7" s="560"/>
      <c r="AC7" s="560"/>
      <c r="AD7" s="560"/>
      <c r="AE7" s="560"/>
      <c r="AF7" s="560"/>
      <c r="AG7" s="560"/>
      <c r="AH7" s="561"/>
      <c r="AI7" s="565" t="s">
        <v>307</v>
      </c>
      <c r="AJ7" s="566"/>
      <c r="AK7" s="566"/>
      <c r="AL7" s="566"/>
      <c r="AM7" s="566"/>
      <c r="AN7" s="566"/>
      <c r="AO7" s="566"/>
      <c r="AP7" s="567"/>
      <c r="AQ7" s="549"/>
      <c r="AR7" s="550"/>
    </row>
    <row r="8" spans="1:44" ht="14.25" customHeight="1">
      <c r="A8" s="376"/>
      <c r="B8" s="433"/>
      <c r="C8" s="434"/>
      <c r="D8" s="434"/>
      <c r="E8" s="434"/>
      <c r="F8" s="434"/>
      <c r="G8" s="524"/>
      <c r="H8" s="433"/>
      <c r="I8" s="434"/>
      <c r="J8" s="434"/>
      <c r="K8" s="434"/>
      <c r="L8" s="434"/>
      <c r="M8" s="434"/>
      <c r="N8" s="434"/>
      <c r="O8" s="434"/>
      <c r="P8" s="524"/>
      <c r="Q8" s="556"/>
      <c r="R8" s="557"/>
      <c r="S8" s="557"/>
      <c r="T8" s="557"/>
      <c r="U8" s="557"/>
      <c r="V8" s="557"/>
      <c r="W8" s="557"/>
      <c r="X8" s="557"/>
      <c r="Y8" s="558"/>
      <c r="Z8" s="516"/>
      <c r="AA8" s="562"/>
      <c r="AB8" s="563"/>
      <c r="AC8" s="563"/>
      <c r="AD8" s="563"/>
      <c r="AE8" s="563"/>
      <c r="AF8" s="563"/>
      <c r="AG8" s="563"/>
      <c r="AH8" s="564"/>
      <c r="AI8" s="568"/>
      <c r="AJ8" s="569"/>
      <c r="AK8" s="569"/>
      <c r="AL8" s="569"/>
      <c r="AM8" s="569"/>
      <c r="AN8" s="569"/>
      <c r="AO8" s="569"/>
      <c r="AP8" s="570"/>
      <c r="AQ8" s="551"/>
      <c r="AR8" s="552"/>
    </row>
    <row r="9" spans="1:44" ht="20.100000000000001" customHeight="1">
      <c r="A9" s="374">
        <v>1</v>
      </c>
      <c r="B9" s="479" t="s">
        <v>308</v>
      </c>
      <c r="C9" s="480"/>
      <c r="D9" s="480"/>
      <c r="E9" s="480"/>
      <c r="F9" s="480"/>
      <c r="G9" s="481"/>
      <c r="H9" s="482"/>
      <c r="I9" s="483"/>
      <c r="J9" s="483"/>
      <c r="K9" s="483"/>
      <c r="L9" s="483"/>
      <c r="M9" s="483"/>
      <c r="N9" s="483"/>
      <c r="O9" s="483"/>
      <c r="P9" s="484"/>
      <c r="Q9" s="85" t="s">
        <v>309</v>
      </c>
      <c r="R9" s="512"/>
      <c r="S9" s="512"/>
      <c r="T9" s="512"/>
      <c r="U9" s="512"/>
      <c r="V9" s="512"/>
      <c r="W9" s="512"/>
      <c r="X9" s="512"/>
      <c r="Y9" s="513"/>
      <c r="Z9" s="493">
        <v>4</v>
      </c>
      <c r="AA9" s="455"/>
      <c r="AB9" s="456"/>
      <c r="AC9" s="456"/>
      <c r="AD9" s="456"/>
      <c r="AE9" s="456"/>
      <c r="AF9" s="456"/>
      <c r="AG9" s="456"/>
      <c r="AH9" s="457"/>
      <c r="AI9" s="455"/>
      <c r="AJ9" s="456"/>
      <c r="AK9" s="456"/>
      <c r="AL9" s="456"/>
      <c r="AM9" s="456"/>
      <c r="AN9" s="456"/>
      <c r="AO9" s="456"/>
      <c r="AP9" s="648"/>
      <c r="AQ9" s="500" t="s">
        <v>310</v>
      </c>
      <c r="AR9" s="501"/>
    </row>
    <row r="10" spans="1:44" ht="20.100000000000001" customHeight="1">
      <c r="A10" s="375"/>
      <c r="B10" s="464"/>
      <c r="C10" s="366"/>
      <c r="D10" s="366"/>
      <c r="E10" s="366"/>
      <c r="F10" s="366"/>
      <c r="G10" s="367"/>
      <c r="H10" s="485"/>
      <c r="I10" s="486"/>
      <c r="J10" s="486"/>
      <c r="K10" s="486"/>
      <c r="L10" s="486"/>
      <c r="M10" s="486"/>
      <c r="N10" s="486"/>
      <c r="O10" s="486"/>
      <c r="P10" s="487"/>
      <c r="Q10" s="86" t="s">
        <v>311</v>
      </c>
      <c r="R10" s="497"/>
      <c r="S10" s="497"/>
      <c r="T10" s="497"/>
      <c r="U10" s="497"/>
      <c r="V10" s="497"/>
      <c r="W10" s="497"/>
      <c r="X10" s="497"/>
      <c r="Y10" s="498"/>
      <c r="Z10" s="494"/>
      <c r="AA10" s="458"/>
      <c r="AB10" s="393"/>
      <c r="AC10" s="393"/>
      <c r="AD10" s="393"/>
      <c r="AE10" s="393"/>
      <c r="AF10" s="393"/>
      <c r="AG10" s="393"/>
      <c r="AH10" s="459"/>
      <c r="AI10" s="458"/>
      <c r="AJ10" s="393"/>
      <c r="AK10" s="393"/>
      <c r="AL10" s="393"/>
      <c r="AM10" s="393"/>
      <c r="AN10" s="393"/>
      <c r="AO10" s="393"/>
      <c r="AP10" s="649"/>
      <c r="AQ10" s="468"/>
      <c r="AR10" s="469"/>
    </row>
    <row r="11" spans="1:44" ht="20.100000000000001" customHeight="1">
      <c r="A11" s="375"/>
      <c r="B11" s="464"/>
      <c r="C11" s="366"/>
      <c r="D11" s="366"/>
      <c r="E11" s="366"/>
      <c r="F11" s="366"/>
      <c r="G11" s="367"/>
      <c r="H11" s="485"/>
      <c r="I11" s="486"/>
      <c r="J11" s="486"/>
      <c r="K11" s="486"/>
      <c r="L11" s="486"/>
      <c r="M11" s="486"/>
      <c r="N11" s="486"/>
      <c r="O11" s="486"/>
      <c r="P11" s="487"/>
      <c r="Q11" s="86" t="s">
        <v>312</v>
      </c>
      <c r="R11" s="497"/>
      <c r="S11" s="497"/>
      <c r="T11" s="497"/>
      <c r="U11" s="497"/>
      <c r="V11" s="497"/>
      <c r="W11" s="497"/>
      <c r="X11" s="497"/>
      <c r="Y11" s="498"/>
      <c r="Z11" s="494"/>
      <c r="AA11" s="458"/>
      <c r="AB11" s="393"/>
      <c r="AC11" s="393"/>
      <c r="AD11" s="393"/>
      <c r="AE11" s="393"/>
      <c r="AF11" s="393"/>
      <c r="AG11" s="393"/>
      <c r="AH11" s="459"/>
      <c r="AI11" s="458"/>
      <c r="AJ11" s="393"/>
      <c r="AK11" s="393"/>
      <c r="AL11" s="393"/>
      <c r="AM11" s="393"/>
      <c r="AN11" s="393"/>
      <c r="AO11" s="393"/>
      <c r="AP11" s="649"/>
      <c r="AQ11" s="470"/>
      <c r="AR11" s="471"/>
    </row>
    <row r="12" spans="1:44" ht="20.100000000000001" customHeight="1">
      <c r="A12" s="375"/>
      <c r="B12" s="465"/>
      <c r="C12" s="466"/>
      <c r="D12" s="466"/>
      <c r="E12" s="466"/>
      <c r="F12" s="466"/>
      <c r="G12" s="467"/>
      <c r="H12" s="485"/>
      <c r="I12" s="486"/>
      <c r="J12" s="486"/>
      <c r="K12" s="486"/>
      <c r="L12" s="486"/>
      <c r="M12" s="486"/>
      <c r="N12" s="486"/>
      <c r="O12" s="486"/>
      <c r="P12" s="487"/>
      <c r="Q12" s="86" t="s">
        <v>313</v>
      </c>
      <c r="R12" s="497"/>
      <c r="S12" s="497"/>
      <c r="T12" s="497"/>
      <c r="U12" s="497"/>
      <c r="V12" s="497"/>
      <c r="W12" s="497"/>
      <c r="X12" s="497"/>
      <c r="Y12" s="498"/>
      <c r="Z12" s="494"/>
      <c r="AA12" s="458"/>
      <c r="AB12" s="393"/>
      <c r="AC12" s="393"/>
      <c r="AD12" s="393"/>
      <c r="AE12" s="393"/>
      <c r="AF12" s="393"/>
      <c r="AG12" s="393"/>
      <c r="AH12" s="459"/>
      <c r="AI12" s="458"/>
      <c r="AJ12" s="393"/>
      <c r="AK12" s="393"/>
      <c r="AL12" s="393"/>
      <c r="AM12" s="393"/>
      <c r="AN12" s="393"/>
      <c r="AO12" s="393"/>
      <c r="AP12" s="649"/>
      <c r="AQ12" s="502"/>
      <c r="AR12" s="503"/>
    </row>
    <row r="13" spans="1:44" ht="20.100000000000001" customHeight="1">
      <c r="A13" s="375"/>
      <c r="B13" s="472" t="s">
        <v>314</v>
      </c>
      <c r="C13" s="473"/>
      <c r="D13" s="473"/>
      <c r="E13" s="473"/>
      <c r="F13" s="473"/>
      <c r="G13" s="474"/>
      <c r="H13" s="485"/>
      <c r="I13" s="486"/>
      <c r="J13" s="486"/>
      <c r="K13" s="486"/>
      <c r="L13" s="486"/>
      <c r="M13" s="486"/>
      <c r="N13" s="486"/>
      <c r="O13" s="486"/>
      <c r="P13" s="487"/>
      <c r="Q13" s="86" t="s">
        <v>315</v>
      </c>
      <c r="R13" s="497"/>
      <c r="S13" s="497"/>
      <c r="T13" s="497"/>
      <c r="U13" s="497"/>
      <c r="V13" s="497"/>
      <c r="W13" s="497"/>
      <c r="X13" s="497"/>
      <c r="Y13" s="498"/>
      <c r="Z13" s="494"/>
      <c r="AA13" s="458"/>
      <c r="AB13" s="393"/>
      <c r="AC13" s="393"/>
      <c r="AD13" s="393"/>
      <c r="AE13" s="393"/>
      <c r="AF13" s="393"/>
      <c r="AG13" s="393"/>
      <c r="AH13" s="459"/>
      <c r="AI13" s="458"/>
      <c r="AJ13" s="393"/>
      <c r="AK13" s="393"/>
      <c r="AL13" s="393"/>
      <c r="AM13" s="393"/>
      <c r="AN13" s="393"/>
      <c r="AO13" s="393"/>
      <c r="AP13" s="649"/>
      <c r="AQ13" s="475" t="s">
        <v>1</v>
      </c>
      <c r="AR13" s="476"/>
    </row>
    <row r="14" spans="1:44" ht="20.100000000000001" customHeight="1">
      <c r="A14" s="375"/>
      <c r="B14" s="464"/>
      <c r="C14" s="366"/>
      <c r="D14" s="366"/>
      <c r="E14" s="366"/>
      <c r="F14" s="366"/>
      <c r="G14" s="367"/>
      <c r="H14" s="485"/>
      <c r="I14" s="486"/>
      <c r="J14" s="486"/>
      <c r="K14" s="486"/>
      <c r="L14" s="486"/>
      <c r="M14" s="486"/>
      <c r="N14" s="486"/>
      <c r="O14" s="486"/>
      <c r="P14" s="487"/>
      <c r="Q14" s="86" t="s">
        <v>316</v>
      </c>
      <c r="R14" s="497"/>
      <c r="S14" s="497"/>
      <c r="T14" s="497"/>
      <c r="U14" s="497"/>
      <c r="V14" s="497"/>
      <c r="W14" s="497"/>
      <c r="X14" s="497"/>
      <c r="Y14" s="498"/>
      <c r="Z14" s="494"/>
      <c r="AA14" s="458"/>
      <c r="AB14" s="393"/>
      <c r="AC14" s="393"/>
      <c r="AD14" s="393"/>
      <c r="AE14" s="393"/>
      <c r="AF14" s="393"/>
      <c r="AG14" s="393"/>
      <c r="AH14" s="459"/>
      <c r="AI14" s="458"/>
      <c r="AJ14" s="393"/>
      <c r="AK14" s="393"/>
      <c r="AL14" s="393"/>
      <c r="AM14" s="393"/>
      <c r="AN14" s="393"/>
      <c r="AO14" s="393"/>
      <c r="AP14" s="650"/>
      <c r="AQ14" s="442">
        <f>Z9*AQ10</f>
        <v>0</v>
      </c>
      <c r="AR14" s="443"/>
    </row>
    <row r="15" spans="1:44" ht="20.100000000000001" customHeight="1">
      <c r="A15" s="375"/>
      <c r="B15" s="464"/>
      <c r="C15" s="366"/>
      <c r="D15" s="366"/>
      <c r="E15" s="366"/>
      <c r="F15" s="366"/>
      <c r="G15" s="367"/>
      <c r="H15" s="485"/>
      <c r="I15" s="486"/>
      <c r="J15" s="486"/>
      <c r="K15" s="486"/>
      <c r="L15" s="486"/>
      <c r="M15" s="486"/>
      <c r="N15" s="486"/>
      <c r="O15" s="486"/>
      <c r="P15" s="487"/>
      <c r="R15" s="366"/>
      <c r="S15" s="366"/>
      <c r="T15" s="366"/>
      <c r="U15" s="366"/>
      <c r="V15" s="366"/>
      <c r="W15" s="366"/>
      <c r="X15" s="366"/>
      <c r="Y15" s="367"/>
      <c r="Z15" s="494"/>
      <c r="AA15" s="458"/>
      <c r="AB15" s="393"/>
      <c r="AC15" s="393"/>
      <c r="AD15" s="393"/>
      <c r="AE15" s="393"/>
      <c r="AF15" s="393"/>
      <c r="AG15" s="393"/>
      <c r="AH15" s="459"/>
      <c r="AI15" s="458"/>
      <c r="AJ15" s="393"/>
      <c r="AK15" s="393"/>
      <c r="AL15" s="393"/>
      <c r="AM15" s="393"/>
      <c r="AN15" s="393"/>
      <c r="AO15" s="393"/>
      <c r="AP15" s="650"/>
      <c r="AQ15" s="444"/>
      <c r="AR15" s="445"/>
    </row>
    <row r="16" spans="1:44" ht="20.100000000000001" customHeight="1">
      <c r="A16" s="376"/>
      <c r="B16" s="499"/>
      <c r="C16" s="477"/>
      <c r="D16" s="477"/>
      <c r="E16" s="477"/>
      <c r="F16" s="477"/>
      <c r="G16" s="478"/>
      <c r="H16" s="504"/>
      <c r="I16" s="505"/>
      <c r="J16" s="505"/>
      <c r="K16" s="505"/>
      <c r="L16" s="505"/>
      <c r="M16" s="505"/>
      <c r="N16" s="505"/>
      <c r="O16" s="505"/>
      <c r="P16" s="506"/>
      <c r="Q16" s="86"/>
      <c r="R16" s="477"/>
      <c r="S16" s="477"/>
      <c r="T16" s="477"/>
      <c r="U16" s="477"/>
      <c r="V16" s="477"/>
      <c r="W16" s="477"/>
      <c r="X16" s="477"/>
      <c r="Y16" s="478"/>
      <c r="Z16" s="507"/>
      <c r="AA16" s="510"/>
      <c r="AB16" s="396"/>
      <c r="AC16" s="396"/>
      <c r="AD16" s="396"/>
      <c r="AE16" s="396"/>
      <c r="AF16" s="396"/>
      <c r="AG16" s="396"/>
      <c r="AH16" s="511"/>
      <c r="AI16" s="510"/>
      <c r="AJ16" s="396"/>
      <c r="AK16" s="396"/>
      <c r="AL16" s="396"/>
      <c r="AM16" s="396"/>
      <c r="AN16" s="396"/>
      <c r="AO16" s="396"/>
      <c r="AP16" s="651"/>
      <c r="AQ16" s="508"/>
      <c r="AR16" s="509"/>
    </row>
    <row r="17" spans="1:44" ht="20.100000000000001" customHeight="1">
      <c r="A17" s="374">
        <v>2</v>
      </c>
      <c r="B17" s="479" t="s">
        <v>308</v>
      </c>
      <c r="C17" s="480"/>
      <c r="D17" s="480"/>
      <c r="E17" s="480"/>
      <c r="F17" s="480"/>
      <c r="G17" s="481"/>
      <c r="H17" s="482"/>
      <c r="I17" s="483"/>
      <c r="J17" s="483"/>
      <c r="K17" s="483"/>
      <c r="L17" s="483"/>
      <c r="M17" s="483"/>
      <c r="N17" s="483"/>
      <c r="O17" s="483"/>
      <c r="P17" s="484"/>
      <c r="Q17" s="85" t="s">
        <v>309</v>
      </c>
      <c r="R17" s="491"/>
      <c r="S17" s="491"/>
      <c r="T17" s="491"/>
      <c r="U17" s="491"/>
      <c r="V17" s="491"/>
      <c r="W17" s="491"/>
      <c r="X17" s="491"/>
      <c r="Y17" s="492"/>
      <c r="Z17" s="493">
        <v>4</v>
      </c>
      <c r="AA17" s="455"/>
      <c r="AB17" s="456"/>
      <c r="AC17" s="456"/>
      <c r="AD17" s="456"/>
      <c r="AE17" s="456"/>
      <c r="AF17" s="456"/>
      <c r="AG17" s="456"/>
      <c r="AH17" s="457"/>
      <c r="AI17" s="455"/>
      <c r="AJ17" s="456"/>
      <c r="AK17" s="456"/>
      <c r="AL17" s="456"/>
      <c r="AM17" s="456"/>
      <c r="AN17" s="456"/>
      <c r="AO17" s="456"/>
      <c r="AP17" s="648"/>
      <c r="AQ17" s="462" t="s">
        <v>329</v>
      </c>
      <c r="AR17" s="463"/>
    </row>
    <row r="18" spans="1:44" ht="19.5" customHeight="1">
      <c r="A18" s="375"/>
      <c r="B18" s="464"/>
      <c r="C18" s="366"/>
      <c r="D18" s="366"/>
      <c r="E18" s="366"/>
      <c r="F18" s="366"/>
      <c r="G18" s="367"/>
      <c r="H18" s="485"/>
      <c r="I18" s="486"/>
      <c r="J18" s="486"/>
      <c r="K18" s="486"/>
      <c r="L18" s="486"/>
      <c r="M18" s="486"/>
      <c r="N18" s="486"/>
      <c r="O18" s="486"/>
      <c r="P18" s="487"/>
      <c r="Q18" s="86" t="s">
        <v>311</v>
      </c>
      <c r="R18" s="366"/>
      <c r="S18" s="366"/>
      <c r="T18" s="366"/>
      <c r="U18" s="366"/>
      <c r="V18" s="366"/>
      <c r="W18" s="366"/>
      <c r="X18" s="366"/>
      <c r="Y18" s="367"/>
      <c r="Z18" s="494"/>
      <c r="AA18" s="458"/>
      <c r="AB18" s="393"/>
      <c r="AC18" s="393"/>
      <c r="AD18" s="393"/>
      <c r="AE18" s="393"/>
      <c r="AF18" s="393"/>
      <c r="AG18" s="393"/>
      <c r="AH18" s="459"/>
      <c r="AI18" s="458"/>
      <c r="AJ18" s="393"/>
      <c r="AK18" s="393"/>
      <c r="AL18" s="393"/>
      <c r="AM18" s="393"/>
      <c r="AN18" s="393"/>
      <c r="AO18" s="393"/>
      <c r="AP18" s="649"/>
      <c r="AQ18" s="468"/>
      <c r="AR18" s="469"/>
    </row>
    <row r="19" spans="1:44" ht="19.5" customHeight="1">
      <c r="A19" s="375"/>
      <c r="B19" s="464"/>
      <c r="C19" s="366"/>
      <c r="D19" s="366"/>
      <c r="E19" s="366"/>
      <c r="F19" s="366"/>
      <c r="G19" s="367"/>
      <c r="H19" s="485"/>
      <c r="I19" s="486"/>
      <c r="J19" s="486"/>
      <c r="K19" s="486"/>
      <c r="L19" s="486"/>
      <c r="M19" s="486"/>
      <c r="N19" s="486"/>
      <c r="O19" s="486"/>
      <c r="P19" s="487"/>
      <c r="Q19" s="86" t="s">
        <v>312</v>
      </c>
      <c r="R19" s="366"/>
      <c r="S19" s="366"/>
      <c r="T19" s="366"/>
      <c r="U19" s="366"/>
      <c r="V19" s="366"/>
      <c r="W19" s="366"/>
      <c r="X19" s="366"/>
      <c r="Y19" s="367"/>
      <c r="Z19" s="494"/>
      <c r="AA19" s="458"/>
      <c r="AB19" s="393"/>
      <c r="AC19" s="393"/>
      <c r="AD19" s="393"/>
      <c r="AE19" s="393"/>
      <c r="AF19" s="393"/>
      <c r="AG19" s="393"/>
      <c r="AH19" s="459"/>
      <c r="AI19" s="458"/>
      <c r="AJ19" s="393"/>
      <c r="AK19" s="393"/>
      <c r="AL19" s="393"/>
      <c r="AM19" s="393"/>
      <c r="AN19" s="393"/>
      <c r="AO19" s="393"/>
      <c r="AP19" s="649"/>
      <c r="AQ19" s="470"/>
      <c r="AR19" s="471"/>
    </row>
    <row r="20" spans="1:44" ht="20.100000000000001" customHeight="1">
      <c r="A20" s="375"/>
      <c r="B20" s="465"/>
      <c r="C20" s="466"/>
      <c r="D20" s="466"/>
      <c r="E20" s="466"/>
      <c r="F20" s="466"/>
      <c r="G20" s="467"/>
      <c r="H20" s="485"/>
      <c r="I20" s="486"/>
      <c r="J20" s="486"/>
      <c r="K20" s="486"/>
      <c r="L20" s="486"/>
      <c r="M20" s="486"/>
      <c r="N20" s="486"/>
      <c r="O20" s="486"/>
      <c r="P20" s="487"/>
      <c r="Q20" s="86" t="s">
        <v>313</v>
      </c>
      <c r="R20" s="366"/>
      <c r="S20" s="366"/>
      <c r="T20" s="366"/>
      <c r="U20" s="366"/>
      <c r="V20" s="366"/>
      <c r="W20" s="366"/>
      <c r="X20" s="366"/>
      <c r="Y20" s="367"/>
      <c r="Z20" s="494"/>
      <c r="AA20" s="458"/>
      <c r="AB20" s="393"/>
      <c r="AC20" s="393"/>
      <c r="AD20" s="393"/>
      <c r="AE20" s="393"/>
      <c r="AF20" s="393"/>
      <c r="AG20" s="393"/>
      <c r="AH20" s="459"/>
      <c r="AI20" s="458"/>
      <c r="AJ20" s="393"/>
      <c r="AK20" s="393"/>
      <c r="AL20" s="393"/>
      <c r="AM20" s="393"/>
      <c r="AN20" s="393"/>
      <c r="AO20" s="393"/>
      <c r="AP20" s="649"/>
      <c r="AQ20" s="470"/>
      <c r="AR20" s="471"/>
    </row>
    <row r="21" spans="1:44" ht="20.100000000000001" customHeight="1">
      <c r="A21" s="375"/>
      <c r="B21" s="472" t="s">
        <v>314</v>
      </c>
      <c r="C21" s="473"/>
      <c r="D21" s="473"/>
      <c r="E21" s="473"/>
      <c r="F21" s="473"/>
      <c r="G21" s="474"/>
      <c r="H21" s="485"/>
      <c r="I21" s="486"/>
      <c r="J21" s="486"/>
      <c r="K21" s="486"/>
      <c r="L21" s="486"/>
      <c r="M21" s="486"/>
      <c r="N21" s="486"/>
      <c r="O21" s="486"/>
      <c r="P21" s="487"/>
      <c r="Q21" s="86" t="s">
        <v>315</v>
      </c>
      <c r="R21" s="366"/>
      <c r="S21" s="366"/>
      <c r="T21" s="366"/>
      <c r="U21" s="366"/>
      <c r="V21" s="366"/>
      <c r="W21" s="366"/>
      <c r="X21" s="366"/>
      <c r="Y21" s="367"/>
      <c r="Z21" s="494"/>
      <c r="AA21" s="458"/>
      <c r="AB21" s="393"/>
      <c r="AC21" s="393"/>
      <c r="AD21" s="393"/>
      <c r="AE21" s="393"/>
      <c r="AF21" s="393"/>
      <c r="AG21" s="393"/>
      <c r="AH21" s="459"/>
      <c r="AI21" s="458"/>
      <c r="AJ21" s="393"/>
      <c r="AK21" s="393"/>
      <c r="AL21" s="393"/>
      <c r="AM21" s="393"/>
      <c r="AN21" s="393"/>
      <c r="AO21" s="393"/>
      <c r="AP21" s="649"/>
      <c r="AQ21" s="475" t="s">
        <v>1</v>
      </c>
      <c r="AR21" s="476"/>
    </row>
    <row r="22" spans="1:44" ht="20.100000000000001" customHeight="1">
      <c r="A22" s="375"/>
      <c r="B22" s="464"/>
      <c r="C22" s="366"/>
      <c r="D22" s="366"/>
      <c r="E22" s="366"/>
      <c r="F22" s="366"/>
      <c r="G22" s="367"/>
      <c r="H22" s="485"/>
      <c r="I22" s="486"/>
      <c r="J22" s="486"/>
      <c r="K22" s="486"/>
      <c r="L22" s="486"/>
      <c r="M22" s="486"/>
      <c r="N22" s="486"/>
      <c r="O22" s="486"/>
      <c r="P22" s="487"/>
      <c r="Q22" s="86" t="s">
        <v>316</v>
      </c>
      <c r="R22" s="497"/>
      <c r="S22" s="497"/>
      <c r="T22" s="497"/>
      <c r="U22" s="497"/>
      <c r="V22" s="497"/>
      <c r="W22" s="497"/>
      <c r="X22" s="497"/>
      <c r="Y22" s="498"/>
      <c r="Z22" s="494"/>
      <c r="AA22" s="458"/>
      <c r="AB22" s="393"/>
      <c r="AC22" s="393"/>
      <c r="AD22" s="393"/>
      <c r="AE22" s="393"/>
      <c r="AF22" s="393"/>
      <c r="AG22" s="393"/>
      <c r="AH22" s="459"/>
      <c r="AI22" s="458"/>
      <c r="AJ22" s="393"/>
      <c r="AK22" s="393"/>
      <c r="AL22" s="393"/>
      <c r="AM22" s="393"/>
      <c r="AN22" s="393"/>
      <c r="AO22" s="393"/>
      <c r="AP22" s="649"/>
      <c r="AQ22" s="442">
        <f>Z17*AQ18</f>
        <v>0</v>
      </c>
      <c r="AR22" s="443"/>
    </row>
    <row r="23" spans="1:44" ht="20.100000000000001" customHeight="1">
      <c r="A23" s="375"/>
      <c r="B23" s="464"/>
      <c r="C23" s="366"/>
      <c r="D23" s="366"/>
      <c r="E23" s="366"/>
      <c r="F23" s="366"/>
      <c r="G23" s="367"/>
      <c r="H23" s="485"/>
      <c r="I23" s="486"/>
      <c r="J23" s="486"/>
      <c r="K23" s="486"/>
      <c r="L23" s="486"/>
      <c r="M23" s="486"/>
      <c r="N23" s="486"/>
      <c r="O23" s="486"/>
      <c r="P23" s="487"/>
      <c r="R23" s="366"/>
      <c r="S23" s="366"/>
      <c r="T23" s="366"/>
      <c r="U23" s="366"/>
      <c r="V23" s="366"/>
      <c r="W23" s="366"/>
      <c r="X23" s="366"/>
      <c r="Y23" s="367"/>
      <c r="Z23" s="494"/>
      <c r="AA23" s="458"/>
      <c r="AB23" s="393"/>
      <c r="AC23" s="393"/>
      <c r="AD23" s="393"/>
      <c r="AE23" s="393"/>
      <c r="AF23" s="393"/>
      <c r="AG23" s="393"/>
      <c r="AH23" s="459"/>
      <c r="AI23" s="458"/>
      <c r="AJ23" s="393"/>
      <c r="AK23" s="393"/>
      <c r="AL23" s="393"/>
      <c r="AM23" s="393"/>
      <c r="AN23" s="393"/>
      <c r="AO23" s="393"/>
      <c r="AP23" s="649"/>
      <c r="AQ23" s="444"/>
      <c r="AR23" s="445"/>
    </row>
    <row r="24" spans="1:44" ht="20.100000000000001" customHeight="1">
      <c r="A24" s="376"/>
      <c r="B24" s="499"/>
      <c r="C24" s="477"/>
      <c r="D24" s="477"/>
      <c r="E24" s="477"/>
      <c r="F24" s="477"/>
      <c r="G24" s="478"/>
      <c r="H24" s="504"/>
      <c r="I24" s="505"/>
      <c r="J24" s="505"/>
      <c r="K24" s="505"/>
      <c r="L24" s="505"/>
      <c r="M24" s="505"/>
      <c r="N24" s="505"/>
      <c r="O24" s="505"/>
      <c r="P24" s="506"/>
      <c r="Q24" s="86"/>
      <c r="R24" s="477"/>
      <c r="S24" s="477"/>
      <c r="T24" s="477"/>
      <c r="U24" s="477"/>
      <c r="V24" s="477"/>
      <c r="W24" s="477"/>
      <c r="X24" s="477"/>
      <c r="Y24" s="478"/>
      <c r="Z24" s="507"/>
      <c r="AA24" s="510"/>
      <c r="AB24" s="396"/>
      <c r="AC24" s="396"/>
      <c r="AD24" s="396"/>
      <c r="AE24" s="396"/>
      <c r="AF24" s="396"/>
      <c r="AG24" s="396"/>
      <c r="AH24" s="511"/>
      <c r="AI24" s="510"/>
      <c r="AJ24" s="396"/>
      <c r="AK24" s="396"/>
      <c r="AL24" s="396"/>
      <c r="AM24" s="396"/>
      <c r="AN24" s="396"/>
      <c r="AO24" s="396"/>
      <c r="AP24" s="652"/>
      <c r="AQ24" s="508"/>
      <c r="AR24" s="509"/>
    </row>
    <row r="25" spans="1:44" ht="20.100000000000001" customHeight="1">
      <c r="A25" s="374">
        <v>3</v>
      </c>
      <c r="B25" s="479" t="s">
        <v>308</v>
      </c>
      <c r="C25" s="480"/>
      <c r="D25" s="480"/>
      <c r="E25" s="480"/>
      <c r="F25" s="480"/>
      <c r="G25" s="481"/>
      <c r="H25" s="482"/>
      <c r="I25" s="483"/>
      <c r="J25" s="483"/>
      <c r="K25" s="483"/>
      <c r="L25" s="483"/>
      <c r="M25" s="483"/>
      <c r="N25" s="483"/>
      <c r="O25" s="483"/>
      <c r="P25" s="484"/>
      <c r="Q25" s="85" t="s">
        <v>309</v>
      </c>
      <c r="R25" s="491"/>
      <c r="S25" s="491"/>
      <c r="T25" s="491"/>
      <c r="U25" s="491"/>
      <c r="V25" s="491"/>
      <c r="W25" s="491"/>
      <c r="X25" s="491"/>
      <c r="Y25" s="492"/>
      <c r="Z25" s="493">
        <v>2</v>
      </c>
      <c r="AA25" s="455"/>
      <c r="AB25" s="456"/>
      <c r="AC25" s="456"/>
      <c r="AD25" s="456"/>
      <c r="AE25" s="456"/>
      <c r="AF25" s="456"/>
      <c r="AG25" s="456"/>
      <c r="AH25" s="457"/>
      <c r="AI25" s="455"/>
      <c r="AJ25" s="456"/>
      <c r="AK25" s="456"/>
      <c r="AL25" s="456"/>
      <c r="AM25" s="456"/>
      <c r="AN25" s="456"/>
      <c r="AO25" s="456"/>
      <c r="AP25" s="648"/>
      <c r="AQ25" s="462" t="s">
        <v>310</v>
      </c>
      <c r="AR25" s="463"/>
    </row>
    <row r="26" spans="1:44" ht="20.100000000000001" customHeight="1">
      <c r="A26" s="375"/>
      <c r="B26" s="464"/>
      <c r="C26" s="366"/>
      <c r="D26" s="366"/>
      <c r="E26" s="366"/>
      <c r="F26" s="366"/>
      <c r="G26" s="367"/>
      <c r="H26" s="485"/>
      <c r="I26" s="486"/>
      <c r="J26" s="486"/>
      <c r="K26" s="486"/>
      <c r="L26" s="486"/>
      <c r="M26" s="486"/>
      <c r="N26" s="486"/>
      <c r="O26" s="486"/>
      <c r="P26" s="487"/>
      <c r="Q26" s="86" t="s">
        <v>311</v>
      </c>
      <c r="R26" s="366"/>
      <c r="S26" s="366"/>
      <c r="T26" s="366"/>
      <c r="U26" s="366"/>
      <c r="V26" s="366"/>
      <c r="W26" s="366"/>
      <c r="X26" s="366"/>
      <c r="Y26" s="367"/>
      <c r="Z26" s="494"/>
      <c r="AA26" s="458"/>
      <c r="AB26" s="393"/>
      <c r="AC26" s="393"/>
      <c r="AD26" s="393"/>
      <c r="AE26" s="393"/>
      <c r="AF26" s="393"/>
      <c r="AG26" s="393"/>
      <c r="AH26" s="459"/>
      <c r="AI26" s="458"/>
      <c r="AJ26" s="393"/>
      <c r="AK26" s="393"/>
      <c r="AL26" s="393"/>
      <c r="AM26" s="393"/>
      <c r="AN26" s="393"/>
      <c r="AO26" s="393"/>
      <c r="AP26" s="649"/>
      <c r="AQ26" s="468"/>
      <c r="AR26" s="469"/>
    </row>
    <row r="27" spans="1:44" ht="20.100000000000001" customHeight="1">
      <c r="A27" s="375"/>
      <c r="B27" s="464"/>
      <c r="C27" s="366"/>
      <c r="D27" s="366"/>
      <c r="E27" s="366"/>
      <c r="F27" s="366"/>
      <c r="G27" s="367"/>
      <c r="H27" s="485"/>
      <c r="I27" s="486"/>
      <c r="J27" s="486"/>
      <c r="K27" s="486"/>
      <c r="L27" s="486"/>
      <c r="M27" s="486"/>
      <c r="N27" s="486"/>
      <c r="O27" s="486"/>
      <c r="P27" s="487"/>
      <c r="Q27" s="86" t="s">
        <v>312</v>
      </c>
      <c r="R27" s="366"/>
      <c r="S27" s="366"/>
      <c r="T27" s="366"/>
      <c r="U27" s="366"/>
      <c r="V27" s="366"/>
      <c r="W27" s="366"/>
      <c r="X27" s="366"/>
      <c r="Y27" s="367"/>
      <c r="Z27" s="494"/>
      <c r="AA27" s="458"/>
      <c r="AB27" s="393"/>
      <c r="AC27" s="393"/>
      <c r="AD27" s="393"/>
      <c r="AE27" s="393"/>
      <c r="AF27" s="393"/>
      <c r="AG27" s="393"/>
      <c r="AH27" s="459"/>
      <c r="AI27" s="458"/>
      <c r="AJ27" s="393"/>
      <c r="AK27" s="393"/>
      <c r="AL27" s="393"/>
      <c r="AM27" s="393"/>
      <c r="AN27" s="393"/>
      <c r="AO27" s="393"/>
      <c r="AP27" s="649"/>
      <c r="AQ27" s="470"/>
      <c r="AR27" s="471"/>
    </row>
    <row r="28" spans="1:44" ht="20.100000000000001" customHeight="1">
      <c r="A28" s="375"/>
      <c r="B28" s="465"/>
      <c r="C28" s="466"/>
      <c r="D28" s="466"/>
      <c r="E28" s="466"/>
      <c r="F28" s="466"/>
      <c r="G28" s="467"/>
      <c r="H28" s="485"/>
      <c r="I28" s="486"/>
      <c r="J28" s="486"/>
      <c r="K28" s="486"/>
      <c r="L28" s="486"/>
      <c r="M28" s="486"/>
      <c r="N28" s="486"/>
      <c r="O28" s="486"/>
      <c r="P28" s="487"/>
      <c r="Q28" s="86" t="s">
        <v>313</v>
      </c>
      <c r="R28" s="366"/>
      <c r="S28" s="366"/>
      <c r="T28" s="366"/>
      <c r="U28" s="366"/>
      <c r="V28" s="366"/>
      <c r="W28" s="366"/>
      <c r="X28" s="366"/>
      <c r="Y28" s="367"/>
      <c r="Z28" s="494"/>
      <c r="AA28" s="458"/>
      <c r="AB28" s="393"/>
      <c r="AC28" s="393"/>
      <c r="AD28" s="393"/>
      <c r="AE28" s="393"/>
      <c r="AF28" s="393"/>
      <c r="AG28" s="393"/>
      <c r="AH28" s="459"/>
      <c r="AI28" s="458"/>
      <c r="AJ28" s="393"/>
      <c r="AK28" s="393"/>
      <c r="AL28" s="393"/>
      <c r="AM28" s="393"/>
      <c r="AN28" s="393"/>
      <c r="AO28" s="393"/>
      <c r="AP28" s="649"/>
      <c r="AQ28" s="470"/>
      <c r="AR28" s="471"/>
    </row>
    <row r="29" spans="1:44" ht="20.100000000000001" customHeight="1">
      <c r="A29" s="375"/>
      <c r="B29" s="472" t="s">
        <v>314</v>
      </c>
      <c r="C29" s="473"/>
      <c r="D29" s="473"/>
      <c r="E29" s="473"/>
      <c r="F29" s="473"/>
      <c r="G29" s="474"/>
      <c r="H29" s="485"/>
      <c r="I29" s="486"/>
      <c r="J29" s="486"/>
      <c r="K29" s="486"/>
      <c r="L29" s="486"/>
      <c r="M29" s="486"/>
      <c r="N29" s="486"/>
      <c r="O29" s="486"/>
      <c r="P29" s="487"/>
      <c r="Q29" s="86" t="s">
        <v>315</v>
      </c>
      <c r="R29" s="366"/>
      <c r="S29" s="366"/>
      <c r="T29" s="366"/>
      <c r="U29" s="366"/>
      <c r="V29" s="366"/>
      <c r="W29" s="366"/>
      <c r="X29" s="366"/>
      <c r="Y29" s="367"/>
      <c r="Z29" s="494"/>
      <c r="AA29" s="458"/>
      <c r="AB29" s="393"/>
      <c r="AC29" s="393"/>
      <c r="AD29" s="393"/>
      <c r="AE29" s="393"/>
      <c r="AF29" s="393"/>
      <c r="AG29" s="393"/>
      <c r="AH29" s="459"/>
      <c r="AI29" s="458"/>
      <c r="AJ29" s="393"/>
      <c r="AK29" s="393"/>
      <c r="AL29" s="393"/>
      <c r="AM29" s="393"/>
      <c r="AN29" s="393"/>
      <c r="AO29" s="393"/>
      <c r="AP29" s="649"/>
      <c r="AQ29" s="475" t="s">
        <v>1</v>
      </c>
      <c r="AR29" s="476"/>
    </row>
    <row r="30" spans="1:44" ht="20.100000000000001" customHeight="1">
      <c r="A30" s="375"/>
      <c r="B30" s="464"/>
      <c r="C30" s="366"/>
      <c r="D30" s="366"/>
      <c r="E30" s="366"/>
      <c r="F30" s="366"/>
      <c r="G30" s="367"/>
      <c r="H30" s="485"/>
      <c r="I30" s="486"/>
      <c r="J30" s="486"/>
      <c r="K30" s="486"/>
      <c r="L30" s="486"/>
      <c r="M30" s="486"/>
      <c r="N30" s="486"/>
      <c r="O30" s="486"/>
      <c r="P30" s="487"/>
      <c r="Q30" s="86" t="s">
        <v>316</v>
      </c>
      <c r="R30" s="497"/>
      <c r="S30" s="497"/>
      <c r="T30" s="497"/>
      <c r="U30" s="497"/>
      <c r="V30" s="497"/>
      <c r="W30" s="497"/>
      <c r="X30" s="497"/>
      <c r="Y30" s="498"/>
      <c r="Z30" s="494"/>
      <c r="AA30" s="458"/>
      <c r="AB30" s="393"/>
      <c r="AC30" s="393"/>
      <c r="AD30" s="393"/>
      <c r="AE30" s="393"/>
      <c r="AF30" s="393"/>
      <c r="AG30" s="393"/>
      <c r="AH30" s="459"/>
      <c r="AI30" s="458"/>
      <c r="AJ30" s="393"/>
      <c r="AK30" s="393"/>
      <c r="AL30" s="393"/>
      <c r="AM30" s="393"/>
      <c r="AN30" s="393"/>
      <c r="AO30" s="393"/>
      <c r="AP30" s="649"/>
      <c r="AQ30" s="442">
        <f>Z25*AQ26</f>
        <v>0</v>
      </c>
      <c r="AR30" s="443"/>
    </row>
    <row r="31" spans="1:44" ht="20.100000000000001" customHeight="1">
      <c r="A31" s="375"/>
      <c r="B31" s="464"/>
      <c r="C31" s="366"/>
      <c r="D31" s="366"/>
      <c r="E31" s="366"/>
      <c r="F31" s="366"/>
      <c r="G31" s="367"/>
      <c r="H31" s="485"/>
      <c r="I31" s="486"/>
      <c r="J31" s="486"/>
      <c r="K31" s="486"/>
      <c r="L31" s="486"/>
      <c r="M31" s="486"/>
      <c r="N31" s="486"/>
      <c r="O31" s="486"/>
      <c r="P31" s="487"/>
      <c r="Q31" s="163"/>
      <c r="R31" s="366"/>
      <c r="S31" s="366"/>
      <c r="T31" s="366"/>
      <c r="U31" s="366"/>
      <c r="V31" s="366"/>
      <c r="W31" s="366"/>
      <c r="X31" s="366"/>
      <c r="Y31" s="367"/>
      <c r="Z31" s="494"/>
      <c r="AA31" s="458"/>
      <c r="AB31" s="393"/>
      <c r="AC31" s="393"/>
      <c r="AD31" s="393"/>
      <c r="AE31" s="393"/>
      <c r="AF31" s="393"/>
      <c r="AG31" s="393"/>
      <c r="AH31" s="459"/>
      <c r="AI31" s="458"/>
      <c r="AJ31" s="393"/>
      <c r="AK31" s="393"/>
      <c r="AL31" s="393"/>
      <c r="AM31" s="393"/>
      <c r="AN31" s="393"/>
      <c r="AO31" s="393"/>
      <c r="AP31" s="649"/>
      <c r="AQ31" s="444"/>
      <c r="AR31" s="445"/>
    </row>
    <row r="32" spans="1:44" ht="20.100000000000001" customHeight="1" thickBot="1">
      <c r="A32" s="398"/>
      <c r="B32" s="496"/>
      <c r="C32" s="448"/>
      <c r="D32" s="448"/>
      <c r="E32" s="448"/>
      <c r="F32" s="448"/>
      <c r="G32" s="449"/>
      <c r="H32" s="488"/>
      <c r="I32" s="489"/>
      <c r="J32" s="489"/>
      <c r="K32" s="489"/>
      <c r="L32" s="489"/>
      <c r="M32" s="489"/>
      <c r="N32" s="489"/>
      <c r="O32" s="489"/>
      <c r="P32" s="490"/>
      <c r="Q32" s="96"/>
      <c r="R32" s="448"/>
      <c r="S32" s="448"/>
      <c r="T32" s="448"/>
      <c r="U32" s="448"/>
      <c r="V32" s="448"/>
      <c r="W32" s="448"/>
      <c r="X32" s="448"/>
      <c r="Y32" s="449"/>
      <c r="Z32" s="495"/>
      <c r="AA32" s="460"/>
      <c r="AB32" s="403"/>
      <c r="AC32" s="403"/>
      <c r="AD32" s="403"/>
      <c r="AE32" s="403"/>
      <c r="AF32" s="403"/>
      <c r="AG32" s="403"/>
      <c r="AH32" s="461"/>
      <c r="AI32" s="460"/>
      <c r="AJ32" s="403"/>
      <c r="AK32" s="403"/>
      <c r="AL32" s="403"/>
      <c r="AM32" s="403"/>
      <c r="AN32" s="403"/>
      <c r="AO32" s="403"/>
      <c r="AP32" s="653"/>
      <c r="AQ32" s="446"/>
      <c r="AR32" s="447"/>
    </row>
    <row r="33" spans="1:44" ht="20.100000000000001" customHeight="1">
      <c r="A33" s="374">
        <v>4</v>
      </c>
      <c r="B33" s="479" t="s">
        <v>330</v>
      </c>
      <c r="C33" s="480"/>
      <c r="D33" s="480"/>
      <c r="E33" s="480"/>
      <c r="F33" s="480"/>
      <c r="G33" s="481"/>
      <c r="H33" s="482"/>
      <c r="I33" s="483"/>
      <c r="J33" s="483"/>
      <c r="K33" s="483"/>
      <c r="L33" s="483"/>
      <c r="M33" s="483"/>
      <c r="N33" s="483"/>
      <c r="O33" s="483"/>
      <c r="P33" s="484"/>
      <c r="Q33" s="85" t="s">
        <v>309</v>
      </c>
      <c r="R33" s="491"/>
      <c r="S33" s="491"/>
      <c r="T33" s="491"/>
      <c r="U33" s="491"/>
      <c r="V33" s="491"/>
      <c r="W33" s="491"/>
      <c r="X33" s="491"/>
      <c r="Y33" s="492"/>
      <c r="Z33" s="493">
        <v>2</v>
      </c>
      <c r="AA33" s="455"/>
      <c r="AB33" s="456"/>
      <c r="AC33" s="456"/>
      <c r="AD33" s="456"/>
      <c r="AE33" s="456"/>
      <c r="AF33" s="456"/>
      <c r="AG33" s="456"/>
      <c r="AH33" s="457"/>
      <c r="AI33" s="455"/>
      <c r="AJ33" s="456"/>
      <c r="AK33" s="456"/>
      <c r="AL33" s="456"/>
      <c r="AM33" s="456"/>
      <c r="AN33" s="456"/>
      <c r="AO33" s="456"/>
      <c r="AP33" s="648"/>
      <c r="AQ33" s="462" t="s">
        <v>310</v>
      </c>
      <c r="AR33" s="463"/>
    </row>
    <row r="34" spans="1:44" ht="20.100000000000001" customHeight="1">
      <c r="A34" s="375"/>
      <c r="B34" s="464"/>
      <c r="C34" s="366"/>
      <c r="D34" s="366"/>
      <c r="E34" s="366"/>
      <c r="F34" s="366"/>
      <c r="G34" s="367"/>
      <c r="H34" s="485"/>
      <c r="I34" s="486"/>
      <c r="J34" s="486"/>
      <c r="K34" s="486"/>
      <c r="L34" s="486"/>
      <c r="M34" s="486"/>
      <c r="N34" s="486"/>
      <c r="O34" s="486"/>
      <c r="P34" s="487"/>
      <c r="Q34" s="86" t="s">
        <v>311</v>
      </c>
      <c r="R34" s="366"/>
      <c r="S34" s="366"/>
      <c r="T34" s="366"/>
      <c r="U34" s="366"/>
      <c r="V34" s="366"/>
      <c r="W34" s="366"/>
      <c r="X34" s="366"/>
      <c r="Y34" s="367"/>
      <c r="Z34" s="494"/>
      <c r="AA34" s="458"/>
      <c r="AB34" s="393"/>
      <c r="AC34" s="393"/>
      <c r="AD34" s="393"/>
      <c r="AE34" s="393"/>
      <c r="AF34" s="393"/>
      <c r="AG34" s="393"/>
      <c r="AH34" s="459"/>
      <c r="AI34" s="458"/>
      <c r="AJ34" s="393"/>
      <c r="AK34" s="393"/>
      <c r="AL34" s="393"/>
      <c r="AM34" s="393"/>
      <c r="AN34" s="393"/>
      <c r="AO34" s="393"/>
      <c r="AP34" s="649"/>
      <c r="AQ34" s="468"/>
      <c r="AR34" s="469"/>
    </row>
    <row r="35" spans="1:44" ht="20.100000000000001" customHeight="1">
      <c r="A35" s="375"/>
      <c r="B35" s="464"/>
      <c r="C35" s="366"/>
      <c r="D35" s="366"/>
      <c r="E35" s="366"/>
      <c r="F35" s="366"/>
      <c r="G35" s="367"/>
      <c r="H35" s="485"/>
      <c r="I35" s="486"/>
      <c r="J35" s="486"/>
      <c r="K35" s="486"/>
      <c r="L35" s="486"/>
      <c r="M35" s="486"/>
      <c r="N35" s="486"/>
      <c r="O35" s="486"/>
      <c r="P35" s="487"/>
      <c r="Q35" s="86" t="s">
        <v>312</v>
      </c>
      <c r="R35" s="366"/>
      <c r="S35" s="366"/>
      <c r="T35" s="366"/>
      <c r="U35" s="366"/>
      <c r="V35" s="366"/>
      <c r="W35" s="366"/>
      <c r="X35" s="366"/>
      <c r="Y35" s="367"/>
      <c r="Z35" s="494"/>
      <c r="AA35" s="458"/>
      <c r="AB35" s="393"/>
      <c r="AC35" s="393"/>
      <c r="AD35" s="393"/>
      <c r="AE35" s="393"/>
      <c r="AF35" s="393"/>
      <c r="AG35" s="393"/>
      <c r="AH35" s="459"/>
      <c r="AI35" s="458"/>
      <c r="AJ35" s="393"/>
      <c r="AK35" s="393"/>
      <c r="AL35" s="393"/>
      <c r="AM35" s="393"/>
      <c r="AN35" s="393"/>
      <c r="AO35" s="393"/>
      <c r="AP35" s="649"/>
      <c r="AQ35" s="470"/>
      <c r="AR35" s="471"/>
    </row>
    <row r="36" spans="1:44" ht="20.100000000000001" customHeight="1">
      <c r="A36" s="375"/>
      <c r="B36" s="465"/>
      <c r="C36" s="466"/>
      <c r="D36" s="466"/>
      <c r="E36" s="466"/>
      <c r="F36" s="466"/>
      <c r="G36" s="467"/>
      <c r="H36" s="485"/>
      <c r="I36" s="486"/>
      <c r="J36" s="486"/>
      <c r="K36" s="486"/>
      <c r="L36" s="486"/>
      <c r="M36" s="486"/>
      <c r="N36" s="486"/>
      <c r="O36" s="486"/>
      <c r="P36" s="487"/>
      <c r="Q36" s="86" t="s">
        <v>313</v>
      </c>
      <c r="R36" s="366"/>
      <c r="S36" s="366"/>
      <c r="T36" s="366"/>
      <c r="U36" s="366"/>
      <c r="V36" s="366"/>
      <c r="W36" s="366"/>
      <c r="X36" s="366"/>
      <c r="Y36" s="367"/>
      <c r="Z36" s="494"/>
      <c r="AA36" s="458"/>
      <c r="AB36" s="393"/>
      <c r="AC36" s="393"/>
      <c r="AD36" s="393"/>
      <c r="AE36" s="393"/>
      <c r="AF36" s="393"/>
      <c r="AG36" s="393"/>
      <c r="AH36" s="459"/>
      <c r="AI36" s="458"/>
      <c r="AJ36" s="393"/>
      <c r="AK36" s="393"/>
      <c r="AL36" s="393"/>
      <c r="AM36" s="393"/>
      <c r="AN36" s="393"/>
      <c r="AO36" s="393"/>
      <c r="AP36" s="649"/>
      <c r="AQ36" s="470"/>
      <c r="AR36" s="471"/>
    </row>
    <row r="37" spans="1:44" ht="20.100000000000001" customHeight="1">
      <c r="A37" s="375"/>
      <c r="B37" s="472" t="s">
        <v>314</v>
      </c>
      <c r="C37" s="473"/>
      <c r="D37" s="473"/>
      <c r="E37" s="473"/>
      <c r="F37" s="473"/>
      <c r="G37" s="474"/>
      <c r="H37" s="485"/>
      <c r="I37" s="486"/>
      <c r="J37" s="486"/>
      <c r="K37" s="486"/>
      <c r="L37" s="486"/>
      <c r="M37" s="486"/>
      <c r="N37" s="486"/>
      <c r="O37" s="486"/>
      <c r="P37" s="487"/>
      <c r="Q37" s="86" t="s">
        <v>315</v>
      </c>
      <c r="R37" s="366"/>
      <c r="S37" s="366"/>
      <c r="T37" s="366"/>
      <c r="U37" s="366"/>
      <c r="V37" s="366"/>
      <c r="W37" s="366"/>
      <c r="X37" s="366"/>
      <c r="Y37" s="367"/>
      <c r="Z37" s="494"/>
      <c r="AA37" s="458"/>
      <c r="AB37" s="393"/>
      <c r="AC37" s="393"/>
      <c r="AD37" s="393"/>
      <c r="AE37" s="393"/>
      <c r="AF37" s="393"/>
      <c r="AG37" s="393"/>
      <c r="AH37" s="459"/>
      <c r="AI37" s="458"/>
      <c r="AJ37" s="393"/>
      <c r="AK37" s="393"/>
      <c r="AL37" s="393"/>
      <c r="AM37" s="393"/>
      <c r="AN37" s="393"/>
      <c r="AO37" s="393"/>
      <c r="AP37" s="649"/>
      <c r="AQ37" s="475" t="s">
        <v>1</v>
      </c>
      <c r="AR37" s="476"/>
    </row>
    <row r="38" spans="1:44" ht="20.100000000000001" customHeight="1">
      <c r="A38" s="375"/>
      <c r="B38" s="464"/>
      <c r="C38" s="366"/>
      <c r="D38" s="366"/>
      <c r="E38" s="366"/>
      <c r="F38" s="366"/>
      <c r="G38" s="367"/>
      <c r="H38" s="485"/>
      <c r="I38" s="486"/>
      <c r="J38" s="486"/>
      <c r="K38" s="486"/>
      <c r="L38" s="486"/>
      <c r="M38" s="486"/>
      <c r="N38" s="486"/>
      <c r="O38" s="486"/>
      <c r="P38" s="487"/>
      <c r="Q38" s="86" t="s">
        <v>316</v>
      </c>
      <c r="R38" s="497"/>
      <c r="S38" s="497"/>
      <c r="T38" s="497"/>
      <c r="U38" s="497"/>
      <c r="V38" s="497"/>
      <c r="W38" s="497"/>
      <c r="X38" s="497"/>
      <c r="Y38" s="498"/>
      <c r="Z38" s="494"/>
      <c r="AA38" s="458"/>
      <c r="AB38" s="393"/>
      <c r="AC38" s="393"/>
      <c r="AD38" s="393"/>
      <c r="AE38" s="393"/>
      <c r="AF38" s="393"/>
      <c r="AG38" s="393"/>
      <c r="AH38" s="459"/>
      <c r="AI38" s="458"/>
      <c r="AJ38" s="393"/>
      <c r="AK38" s="393"/>
      <c r="AL38" s="393"/>
      <c r="AM38" s="393"/>
      <c r="AN38" s="393"/>
      <c r="AO38" s="393"/>
      <c r="AP38" s="649"/>
      <c r="AQ38" s="442">
        <f>Z33*AQ34</f>
        <v>0</v>
      </c>
      <c r="AR38" s="443"/>
    </row>
    <row r="39" spans="1:44" ht="20.100000000000001" customHeight="1">
      <c r="A39" s="375"/>
      <c r="B39" s="464"/>
      <c r="C39" s="366"/>
      <c r="D39" s="366"/>
      <c r="E39" s="366"/>
      <c r="F39" s="366"/>
      <c r="G39" s="367"/>
      <c r="H39" s="485"/>
      <c r="I39" s="486"/>
      <c r="J39" s="486"/>
      <c r="K39" s="486"/>
      <c r="L39" s="486"/>
      <c r="M39" s="486"/>
      <c r="N39" s="486"/>
      <c r="O39" s="486"/>
      <c r="P39" s="487"/>
      <c r="Q39" s="163"/>
      <c r="R39" s="366"/>
      <c r="S39" s="366"/>
      <c r="T39" s="366"/>
      <c r="U39" s="366"/>
      <c r="V39" s="366"/>
      <c r="W39" s="366"/>
      <c r="X39" s="366"/>
      <c r="Y39" s="367"/>
      <c r="Z39" s="494"/>
      <c r="AA39" s="458"/>
      <c r="AB39" s="393"/>
      <c r="AC39" s="393"/>
      <c r="AD39" s="393"/>
      <c r="AE39" s="393"/>
      <c r="AF39" s="393"/>
      <c r="AG39" s="393"/>
      <c r="AH39" s="459"/>
      <c r="AI39" s="458"/>
      <c r="AJ39" s="393"/>
      <c r="AK39" s="393"/>
      <c r="AL39" s="393"/>
      <c r="AM39" s="393"/>
      <c r="AN39" s="393"/>
      <c r="AO39" s="393"/>
      <c r="AP39" s="649"/>
      <c r="AQ39" s="444"/>
      <c r="AR39" s="445"/>
    </row>
    <row r="40" spans="1:44" ht="20.100000000000001" customHeight="1" thickBot="1">
      <c r="A40" s="398"/>
      <c r="B40" s="496"/>
      <c r="C40" s="448"/>
      <c r="D40" s="448"/>
      <c r="E40" s="448"/>
      <c r="F40" s="448"/>
      <c r="G40" s="449"/>
      <c r="H40" s="488"/>
      <c r="I40" s="489"/>
      <c r="J40" s="489"/>
      <c r="K40" s="489"/>
      <c r="L40" s="489"/>
      <c r="M40" s="489"/>
      <c r="N40" s="489"/>
      <c r="O40" s="489"/>
      <c r="P40" s="490"/>
      <c r="Q40" s="96"/>
      <c r="R40" s="448"/>
      <c r="S40" s="448"/>
      <c r="T40" s="448"/>
      <c r="U40" s="448"/>
      <c r="V40" s="448"/>
      <c r="W40" s="448"/>
      <c r="X40" s="448"/>
      <c r="Y40" s="449"/>
      <c r="Z40" s="495"/>
      <c r="AA40" s="460"/>
      <c r="AB40" s="403"/>
      <c r="AC40" s="403"/>
      <c r="AD40" s="403"/>
      <c r="AE40" s="403"/>
      <c r="AF40" s="403"/>
      <c r="AG40" s="403"/>
      <c r="AH40" s="461"/>
      <c r="AI40" s="460"/>
      <c r="AJ40" s="403"/>
      <c r="AK40" s="403"/>
      <c r="AL40" s="403"/>
      <c r="AM40" s="403"/>
      <c r="AN40" s="403"/>
      <c r="AO40" s="403"/>
      <c r="AP40" s="653"/>
      <c r="AQ40" s="446"/>
      <c r="AR40" s="447"/>
    </row>
    <row r="41" spans="1:44" ht="20.100000000000001" customHeight="1">
      <c r="Z41" s="97">
        <f>SUM(Z9:Z40)</f>
        <v>12</v>
      </c>
      <c r="AA41" s="164"/>
      <c r="AB41" s="164"/>
      <c r="AC41" s="164"/>
      <c r="AD41" s="164"/>
      <c r="AE41" s="164"/>
      <c r="AF41" s="164"/>
      <c r="AG41" s="164"/>
      <c r="AH41" s="164"/>
      <c r="AQ41" s="450">
        <f>AQ14+AQ22+AQ38+AQ30</f>
        <v>0</v>
      </c>
      <c r="AR41" s="450"/>
    </row>
    <row r="42" spans="1:44" ht="42.75" customHeight="1" thickBot="1"/>
    <row r="43" spans="1:44" s="88" customFormat="1" ht="27.75" customHeight="1" thickBot="1">
      <c r="A43" s="451" t="s">
        <v>317</v>
      </c>
      <c r="B43" s="451"/>
      <c r="C43" s="451"/>
      <c r="D43" s="451"/>
      <c r="E43" s="451"/>
      <c r="F43" s="451" t="s">
        <v>318</v>
      </c>
      <c r="G43" s="451"/>
      <c r="H43" s="451"/>
      <c r="I43" s="451"/>
      <c r="J43" s="451"/>
      <c r="K43" s="451"/>
      <c r="L43" s="452"/>
      <c r="M43" s="453"/>
      <c r="N43" s="453"/>
      <c r="O43" s="453"/>
      <c r="P43" s="453"/>
      <c r="Q43" s="453"/>
      <c r="R43" s="453"/>
      <c r="S43" s="453"/>
      <c r="T43" s="453"/>
      <c r="U43" s="453"/>
      <c r="V43" s="453"/>
      <c r="W43" s="453"/>
      <c r="X43" s="453"/>
      <c r="Y43" s="453"/>
      <c r="Z43" s="453"/>
      <c r="AA43" s="453"/>
      <c r="AB43" s="453"/>
      <c r="AC43" s="453"/>
      <c r="AD43" s="453"/>
      <c r="AE43" s="453"/>
      <c r="AF43" s="453"/>
      <c r="AG43" s="454"/>
    </row>
    <row r="44" spans="1:44" s="88" customFormat="1" ht="15" customHeight="1" thickBot="1">
      <c r="A44" s="165"/>
      <c r="B44" s="165"/>
      <c r="C44" s="165"/>
      <c r="D44" s="165"/>
      <c r="E44" s="165"/>
      <c r="F44" s="165"/>
      <c r="G44" s="165"/>
      <c r="H44" s="165"/>
      <c r="I44" s="165"/>
      <c r="J44" s="165"/>
      <c r="K44" s="165"/>
      <c r="L44" s="166"/>
      <c r="M44" s="166"/>
      <c r="N44" s="166"/>
      <c r="O44" s="166"/>
      <c r="P44" s="166"/>
      <c r="Q44" s="166"/>
      <c r="R44" s="166"/>
      <c r="S44" s="166"/>
      <c r="T44" s="166"/>
      <c r="U44" s="166"/>
      <c r="V44" s="166"/>
      <c r="W44" s="166"/>
      <c r="X44" s="166"/>
      <c r="Y44" s="166"/>
      <c r="Z44" s="166"/>
      <c r="AA44" s="166"/>
      <c r="AB44" s="166"/>
      <c r="AC44" s="166"/>
      <c r="AD44" s="166"/>
      <c r="AE44" s="166"/>
      <c r="AF44" s="166"/>
      <c r="AG44" s="166"/>
    </row>
    <row r="45" spans="1:44" s="83" customFormat="1" ht="24" customHeight="1">
      <c r="A45" s="405" t="s">
        <v>292</v>
      </c>
      <c r="B45" s="406"/>
      <c r="C45" s="406"/>
      <c r="D45" s="406"/>
      <c r="E45" s="406"/>
      <c r="F45" s="406"/>
      <c r="G45" s="406"/>
      <c r="H45" s="406"/>
      <c r="I45" s="406"/>
      <c r="J45" s="406"/>
      <c r="K45" s="406"/>
      <c r="L45" s="406"/>
      <c r="M45" s="406"/>
      <c r="N45" s="406"/>
      <c r="O45" s="406"/>
      <c r="P45" s="406"/>
      <c r="Q45" s="406"/>
      <c r="R45" s="406"/>
      <c r="S45" s="406"/>
      <c r="T45" s="406"/>
      <c r="U45" s="406"/>
      <c r="V45" s="406"/>
      <c r="W45" s="406"/>
      <c r="X45" s="407"/>
      <c r="Y45" s="408" t="s">
        <v>319</v>
      </c>
      <c r="Z45" s="409"/>
      <c r="AA45" s="409"/>
      <c r="AB45" s="409"/>
      <c r="AC45" s="409"/>
      <c r="AD45" s="409"/>
      <c r="AE45" s="409"/>
      <c r="AF45" s="409"/>
      <c r="AG45" s="410"/>
      <c r="AH45" s="411" t="s">
        <v>320</v>
      </c>
      <c r="AI45" s="412"/>
      <c r="AJ45" s="412"/>
      <c r="AK45" s="412"/>
      <c r="AL45" s="412"/>
      <c r="AM45" s="412"/>
      <c r="AN45" s="412"/>
      <c r="AO45" s="412"/>
      <c r="AP45" s="412"/>
      <c r="AQ45" s="412"/>
      <c r="AR45" s="413"/>
    </row>
    <row r="46" spans="1:44" ht="15.6" customHeight="1">
      <c r="A46" s="374" t="s">
        <v>296</v>
      </c>
      <c r="B46" s="414" t="s">
        <v>321</v>
      </c>
      <c r="C46" s="415"/>
      <c r="D46" s="415"/>
      <c r="E46" s="415"/>
      <c r="F46" s="415"/>
      <c r="G46" s="415"/>
      <c r="H46" s="415"/>
      <c r="I46" s="415"/>
      <c r="J46" s="415"/>
      <c r="K46" s="416"/>
      <c r="L46" s="414" t="s">
        <v>298</v>
      </c>
      <c r="M46" s="415"/>
      <c r="N46" s="415"/>
      <c r="O46" s="415"/>
      <c r="P46" s="415"/>
      <c r="Q46" s="415"/>
      <c r="R46" s="415"/>
      <c r="S46" s="415"/>
      <c r="T46" s="415"/>
      <c r="U46" s="415"/>
      <c r="V46" s="415"/>
      <c r="W46" s="415"/>
      <c r="X46" s="423"/>
      <c r="Y46" s="424" t="s">
        <v>301</v>
      </c>
      <c r="Z46" s="425"/>
      <c r="AA46" s="425"/>
      <c r="AB46" s="425"/>
      <c r="AC46" s="425"/>
      <c r="AD46" s="425"/>
      <c r="AE46" s="425"/>
      <c r="AF46" s="425"/>
      <c r="AG46" s="426"/>
      <c r="AH46" s="427" t="s">
        <v>322</v>
      </c>
      <c r="AI46" s="428"/>
      <c r="AJ46" s="428"/>
      <c r="AK46" s="428"/>
      <c r="AL46" s="428"/>
      <c r="AM46" s="428"/>
      <c r="AN46" s="428"/>
      <c r="AO46" s="428"/>
      <c r="AP46" s="428"/>
      <c r="AQ46" s="428"/>
      <c r="AR46" s="429"/>
    </row>
    <row r="47" spans="1:44" ht="15.6" customHeight="1">
      <c r="A47" s="375"/>
      <c r="B47" s="417"/>
      <c r="C47" s="418"/>
      <c r="D47" s="418"/>
      <c r="E47" s="418"/>
      <c r="F47" s="418"/>
      <c r="G47" s="418"/>
      <c r="H47" s="418"/>
      <c r="I47" s="418"/>
      <c r="J47" s="418"/>
      <c r="K47" s="419"/>
      <c r="L47" s="430" t="s">
        <v>323</v>
      </c>
      <c r="M47" s="431"/>
      <c r="N47" s="431"/>
      <c r="O47" s="431"/>
      <c r="P47" s="431"/>
      <c r="Q47" s="431"/>
      <c r="R47" s="431"/>
      <c r="S47" s="431"/>
      <c r="T47" s="431"/>
      <c r="U47" s="431"/>
      <c r="V47" s="431"/>
      <c r="W47" s="431"/>
      <c r="X47" s="432"/>
      <c r="Y47" s="436" t="s">
        <v>324</v>
      </c>
      <c r="Z47" s="437"/>
      <c r="AA47" s="437"/>
      <c r="AB47" s="437"/>
      <c r="AC47" s="437"/>
      <c r="AD47" s="437"/>
      <c r="AE47" s="437"/>
      <c r="AF47" s="437"/>
      <c r="AG47" s="438"/>
      <c r="AH47" s="368" t="s">
        <v>325</v>
      </c>
      <c r="AI47" s="369"/>
      <c r="AJ47" s="369"/>
      <c r="AK47" s="369"/>
      <c r="AL47" s="369"/>
      <c r="AM47" s="369"/>
      <c r="AN47" s="369"/>
      <c r="AO47" s="369"/>
      <c r="AP47" s="369"/>
      <c r="AQ47" s="369"/>
      <c r="AR47" s="370"/>
    </row>
    <row r="48" spans="1:44">
      <c r="A48" s="376"/>
      <c r="B48" s="420"/>
      <c r="C48" s="421"/>
      <c r="D48" s="421"/>
      <c r="E48" s="421"/>
      <c r="F48" s="421"/>
      <c r="G48" s="421"/>
      <c r="H48" s="421"/>
      <c r="I48" s="421"/>
      <c r="J48" s="421"/>
      <c r="K48" s="422"/>
      <c r="L48" s="433"/>
      <c r="M48" s="434"/>
      <c r="N48" s="434"/>
      <c r="O48" s="434"/>
      <c r="P48" s="434"/>
      <c r="Q48" s="434"/>
      <c r="R48" s="434"/>
      <c r="S48" s="434"/>
      <c r="T48" s="434"/>
      <c r="U48" s="434"/>
      <c r="V48" s="434"/>
      <c r="W48" s="434"/>
      <c r="X48" s="435"/>
      <c r="Y48" s="439"/>
      <c r="Z48" s="440"/>
      <c r="AA48" s="440"/>
      <c r="AB48" s="440"/>
      <c r="AC48" s="440"/>
      <c r="AD48" s="440"/>
      <c r="AE48" s="440"/>
      <c r="AF48" s="440"/>
      <c r="AG48" s="441"/>
      <c r="AH48" s="371"/>
      <c r="AI48" s="372"/>
      <c r="AJ48" s="372"/>
      <c r="AK48" s="372"/>
      <c r="AL48" s="372"/>
      <c r="AM48" s="372"/>
      <c r="AN48" s="372"/>
      <c r="AO48" s="372"/>
      <c r="AP48" s="372"/>
      <c r="AQ48" s="372"/>
      <c r="AR48" s="373"/>
    </row>
    <row r="49" spans="1:44" ht="20.100000000000001" customHeight="1">
      <c r="A49" s="374">
        <v>1</v>
      </c>
      <c r="B49" s="377" t="s">
        <v>326</v>
      </c>
      <c r="C49" s="378"/>
      <c r="D49" s="378"/>
      <c r="E49" s="378"/>
      <c r="F49" s="378"/>
      <c r="G49" s="378"/>
      <c r="H49" s="378"/>
      <c r="I49" s="378"/>
      <c r="J49" s="378"/>
      <c r="K49" s="379"/>
      <c r="L49" s="380"/>
      <c r="M49" s="381"/>
      <c r="N49" s="381"/>
      <c r="O49" s="381"/>
      <c r="P49" s="381"/>
      <c r="Q49" s="381"/>
      <c r="R49" s="381"/>
      <c r="S49" s="381"/>
      <c r="T49" s="381"/>
      <c r="U49" s="381"/>
      <c r="V49" s="381"/>
      <c r="W49" s="381"/>
      <c r="X49" s="382"/>
      <c r="Y49" s="155"/>
      <c r="Z49" s="155"/>
      <c r="AA49" s="155"/>
      <c r="AB49" s="155"/>
      <c r="AC49" s="155"/>
      <c r="AD49" s="155"/>
      <c r="AE49" s="155"/>
      <c r="AF49" s="155"/>
      <c r="AG49" s="155"/>
      <c r="AH49" s="167"/>
      <c r="AI49" s="168"/>
      <c r="AJ49" s="168"/>
      <c r="AK49" s="168"/>
      <c r="AL49" s="168"/>
      <c r="AM49" s="168"/>
      <c r="AN49" s="168"/>
      <c r="AO49" s="168"/>
      <c r="AP49" s="168"/>
      <c r="AQ49" s="168"/>
      <c r="AR49" s="169"/>
    </row>
    <row r="50" spans="1:44" ht="20.100000000000001" customHeight="1">
      <c r="A50" s="375"/>
      <c r="B50" s="389"/>
      <c r="C50" s="390"/>
      <c r="D50" s="390"/>
      <c r="E50" s="390"/>
      <c r="F50" s="390"/>
      <c r="G50" s="390"/>
      <c r="H50" s="390"/>
      <c r="I50" s="390"/>
      <c r="J50" s="390"/>
      <c r="K50" s="391"/>
      <c r="L50" s="383"/>
      <c r="M50" s="384"/>
      <c r="N50" s="384"/>
      <c r="O50" s="384"/>
      <c r="P50" s="384"/>
      <c r="Q50" s="384"/>
      <c r="R50" s="384"/>
      <c r="S50" s="384"/>
      <c r="T50" s="384"/>
      <c r="U50" s="384"/>
      <c r="V50" s="384"/>
      <c r="W50" s="384"/>
      <c r="X50" s="385"/>
      <c r="Y50" s="156"/>
      <c r="Z50" s="156"/>
      <c r="AA50" s="156"/>
      <c r="AB50" s="156"/>
      <c r="AC50" s="156"/>
      <c r="AD50" s="156"/>
      <c r="AE50" s="156"/>
      <c r="AF50" s="156"/>
      <c r="AG50" s="156"/>
      <c r="AH50" s="170"/>
      <c r="AI50" s="81"/>
      <c r="AJ50" s="81"/>
      <c r="AK50" s="81"/>
      <c r="AL50" s="81"/>
      <c r="AM50" s="81"/>
      <c r="AN50" s="81"/>
      <c r="AO50" s="81"/>
      <c r="AP50" s="81"/>
      <c r="AQ50" s="81"/>
      <c r="AR50" s="171"/>
    </row>
    <row r="51" spans="1:44" ht="20.100000000000001" customHeight="1">
      <c r="A51" s="375"/>
      <c r="B51" s="392"/>
      <c r="C51" s="393"/>
      <c r="D51" s="393"/>
      <c r="E51" s="393"/>
      <c r="F51" s="393"/>
      <c r="G51" s="393"/>
      <c r="H51" s="393"/>
      <c r="I51" s="393"/>
      <c r="J51" s="393"/>
      <c r="K51" s="394"/>
      <c r="L51" s="383"/>
      <c r="M51" s="384"/>
      <c r="N51" s="384"/>
      <c r="O51" s="384"/>
      <c r="P51" s="384"/>
      <c r="Q51" s="384"/>
      <c r="R51" s="384"/>
      <c r="S51" s="384"/>
      <c r="T51" s="384"/>
      <c r="U51" s="384"/>
      <c r="V51" s="384"/>
      <c r="W51" s="384"/>
      <c r="X51" s="385"/>
      <c r="Y51" s="156"/>
      <c r="Z51" s="156"/>
      <c r="AA51" s="156"/>
      <c r="AB51" s="156"/>
      <c r="AC51" s="156"/>
      <c r="AD51" s="156"/>
      <c r="AE51" s="156"/>
      <c r="AF51" s="156"/>
      <c r="AG51" s="156"/>
      <c r="AH51" s="170"/>
      <c r="AI51" s="81"/>
      <c r="AJ51" s="81"/>
      <c r="AK51" s="81"/>
      <c r="AL51" s="81"/>
      <c r="AM51" s="81"/>
      <c r="AN51" s="81"/>
      <c r="AO51" s="81"/>
      <c r="AP51" s="81"/>
      <c r="AQ51" s="81"/>
      <c r="AR51" s="171"/>
    </row>
    <row r="52" spans="1:44" ht="20.100000000000001" customHeight="1">
      <c r="A52" s="375"/>
      <c r="B52" s="392"/>
      <c r="C52" s="393"/>
      <c r="D52" s="393"/>
      <c r="E52" s="393"/>
      <c r="F52" s="393"/>
      <c r="G52" s="393"/>
      <c r="H52" s="393"/>
      <c r="I52" s="393"/>
      <c r="J52" s="393"/>
      <c r="K52" s="394"/>
      <c r="L52" s="383"/>
      <c r="M52" s="384"/>
      <c r="N52" s="384"/>
      <c r="O52" s="384"/>
      <c r="P52" s="384"/>
      <c r="Q52" s="384"/>
      <c r="R52" s="384"/>
      <c r="S52" s="384"/>
      <c r="T52" s="384"/>
      <c r="U52" s="384"/>
      <c r="V52" s="384"/>
      <c r="W52" s="384"/>
      <c r="X52" s="385"/>
      <c r="Y52" s="156"/>
      <c r="Z52" s="156"/>
      <c r="AA52" s="156"/>
      <c r="AB52" s="156"/>
      <c r="AC52" s="156"/>
      <c r="AD52" s="156"/>
      <c r="AE52" s="156"/>
      <c r="AF52" s="156"/>
      <c r="AG52" s="156"/>
      <c r="AH52" s="170"/>
      <c r="AI52" s="81"/>
      <c r="AJ52" s="81"/>
      <c r="AK52" s="81"/>
      <c r="AL52" s="81"/>
      <c r="AM52" s="81"/>
      <c r="AN52" s="81"/>
      <c r="AO52" s="81"/>
      <c r="AP52" s="81"/>
      <c r="AQ52" s="81"/>
      <c r="AR52" s="171"/>
    </row>
    <row r="53" spans="1:44" ht="20.100000000000001" customHeight="1">
      <c r="A53" s="375"/>
      <c r="B53" s="392"/>
      <c r="C53" s="393"/>
      <c r="D53" s="393"/>
      <c r="E53" s="393"/>
      <c r="F53" s="393"/>
      <c r="G53" s="393"/>
      <c r="H53" s="393"/>
      <c r="I53" s="393"/>
      <c r="J53" s="393"/>
      <c r="K53" s="394"/>
      <c r="L53" s="383"/>
      <c r="M53" s="384"/>
      <c r="N53" s="384"/>
      <c r="O53" s="384"/>
      <c r="P53" s="384"/>
      <c r="Q53" s="384"/>
      <c r="R53" s="384"/>
      <c r="S53" s="384"/>
      <c r="T53" s="384"/>
      <c r="U53" s="384"/>
      <c r="V53" s="384"/>
      <c r="W53" s="384"/>
      <c r="X53" s="385"/>
      <c r="Y53" s="156"/>
      <c r="Z53" s="156"/>
      <c r="AA53" s="156"/>
      <c r="AB53" s="156"/>
      <c r="AC53" s="156"/>
      <c r="AD53" s="156"/>
      <c r="AE53" s="156"/>
      <c r="AF53" s="156"/>
      <c r="AG53" s="156"/>
      <c r="AH53" s="170"/>
      <c r="AI53" s="81"/>
      <c r="AJ53" s="81"/>
      <c r="AK53" s="81"/>
      <c r="AL53" s="81"/>
      <c r="AM53" s="81"/>
      <c r="AN53" s="81"/>
      <c r="AO53" s="81"/>
      <c r="AP53" s="81"/>
      <c r="AQ53" s="81"/>
      <c r="AR53" s="171"/>
    </row>
    <row r="54" spans="1:44" ht="20.100000000000001" customHeight="1">
      <c r="A54" s="375"/>
      <c r="B54" s="392"/>
      <c r="C54" s="393"/>
      <c r="D54" s="393"/>
      <c r="E54" s="393"/>
      <c r="F54" s="393"/>
      <c r="G54" s="393"/>
      <c r="H54" s="393"/>
      <c r="I54" s="393"/>
      <c r="J54" s="393"/>
      <c r="K54" s="394"/>
      <c r="L54" s="383"/>
      <c r="M54" s="384"/>
      <c r="N54" s="384"/>
      <c r="O54" s="384"/>
      <c r="P54" s="384"/>
      <c r="Q54" s="384"/>
      <c r="R54" s="384"/>
      <c r="S54" s="384"/>
      <c r="T54" s="384"/>
      <c r="U54" s="384"/>
      <c r="V54" s="384"/>
      <c r="W54" s="384"/>
      <c r="X54" s="385"/>
      <c r="Y54" s="156"/>
      <c r="Z54" s="156"/>
      <c r="AA54" s="156"/>
      <c r="AB54" s="156"/>
      <c r="AC54" s="156"/>
      <c r="AD54" s="156"/>
      <c r="AE54" s="156"/>
      <c r="AF54" s="156"/>
      <c r="AG54" s="156"/>
      <c r="AH54" s="170"/>
      <c r="AI54" s="81"/>
      <c r="AJ54" s="81"/>
      <c r="AK54" s="81"/>
      <c r="AL54" s="81"/>
      <c r="AM54" s="81"/>
      <c r="AN54" s="81"/>
      <c r="AO54" s="81"/>
      <c r="AP54" s="81"/>
      <c r="AQ54" s="81"/>
      <c r="AR54" s="171"/>
    </row>
    <row r="55" spans="1:44" ht="20.100000000000001" customHeight="1">
      <c r="A55" s="376"/>
      <c r="B55" s="395"/>
      <c r="C55" s="396"/>
      <c r="D55" s="396"/>
      <c r="E55" s="396"/>
      <c r="F55" s="396"/>
      <c r="G55" s="396"/>
      <c r="H55" s="396"/>
      <c r="I55" s="396"/>
      <c r="J55" s="396"/>
      <c r="K55" s="397"/>
      <c r="L55" s="386"/>
      <c r="M55" s="387"/>
      <c r="N55" s="387"/>
      <c r="O55" s="387"/>
      <c r="P55" s="387"/>
      <c r="Q55" s="387"/>
      <c r="R55" s="387"/>
      <c r="S55" s="387"/>
      <c r="T55" s="387"/>
      <c r="U55" s="387"/>
      <c r="V55" s="387"/>
      <c r="W55" s="387"/>
      <c r="X55" s="388"/>
      <c r="Y55" s="157"/>
      <c r="Z55" s="157"/>
      <c r="AA55" s="157"/>
      <c r="AB55" s="157"/>
      <c r="AC55" s="157"/>
      <c r="AD55" s="157"/>
      <c r="AE55" s="157"/>
      <c r="AF55" s="157"/>
      <c r="AG55" s="157"/>
      <c r="AH55" s="172"/>
      <c r="AI55" s="173"/>
      <c r="AJ55" s="173"/>
      <c r="AK55" s="173"/>
      <c r="AL55" s="173"/>
      <c r="AM55" s="173"/>
      <c r="AN55" s="173"/>
      <c r="AO55" s="173"/>
      <c r="AP55" s="173"/>
      <c r="AQ55" s="173"/>
      <c r="AR55" s="174"/>
    </row>
    <row r="56" spans="1:44" ht="20.100000000000001" customHeight="1">
      <c r="A56" s="374">
        <v>2</v>
      </c>
      <c r="B56" s="377" t="s">
        <v>327</v>
      </c>
      <c r="C56" s="378"/>
      <c r="D56" s="378"/>
      <c r="E56" s="378"/>
      <c r="F56" s="378"/>
      <c r="G56" s="378"/>
      <c r="H56" s="378"/>
      <c r="I56" s="378"/>
      <c r="J56" s="378"/>
      <c r="K56" s="379"/>
      <c r="L56" s="380"/>
      <c r="M56" s="381"/>
      <c r="N56" s="381"/>
      <c r="O56" s="381"/>
      <c r="P56" s="381"/>
      <c r="Q56" s="381"/>
      <c r="R56" s="381"/>
      <c r="S56" s="381"/>
      <c r="T56" s="381"/>
      <c r="U56" s="381"/>
      <c r="V56" s="381"/>
      <c r="W56" s="381"/>
      <c r="X56" s="382"/>
      <c r="Y56" s="155"/>
      <c r="Z56" s="155"/>
      <c r="AA56" s="155"/>
      <c r="AB56" s="155"/>
      <c r="AC56" s="155"/>
      <c r="AD56" s="155"/>
      <c r="AE56" s="155"/>
      <c r="AF56" s="155"/>
      <c r="AG56" s="155"/>
      <c r="AH56" s="167"/>
      <c r="AI56" s="168"/>
      <c r="AJ56" s="168"/>
      <c r="AK56" s="168"/>
      <c r="AL56" s="168"/>
      <c r="AM56" s="168"/>
      <c r="AN56" s="168"/>
      <c r="AO56" s="168"/>
      <c r="AP56" s="168"/>
      <c r="AQ56" s="168"/>
      <c r="AR56" s="169"/>
    </row>
    <row r="57" spans="1:44" ht="20.100000000000001" customHeight="1">
      <c r="A57" s="375"/>
      <c r="B57" s="389"/>
      <c r="C57" s="390"/>
      <c r="D57" s="390"/>
      <c r="E57" s="390"/>
      <c r="F57" s="390"/>
      <c r="G57" s="390"/>
      <c r="H57" s="390"/>
      <c r="I57" s="390"/>
      <c r="J57" s="390"/>
      <c r="K57" s="391"/>
      <c r="L57" s="383"/>
      <c r="M57" s="384"/>
      <c r="N57" s="384"/>
      <c r="O57" s="384"/>
      <c r="P57" s="384"/>
      <c r="Q57" s="384"/>
      <c r="R57" s="384"/>
      <c r="S57" s="384"/>
      <c r="T57" s="384"/>
      <c r="U57" s="384"/>
      <c r="V57" s="384"/>
      <c r="W57" s="384"/>
      <c r="X57" s="385"/>
      <c r="Y57" s="156"/>
      <c r="Z57" s="156"/>
      <c r="AA57" s="156"/>
      <c r="AB57" s="156"/>
      <c r="AC57" s="156"/>
      <c r="AD57" s="156"/>
      <c r="AE57" s="156"/>
      <c r="AF57" s="156"/>
      <c r="AG57" s="156"/>
      <c r="AH57" s="170"/>
      <c r="AI57" s="81"/>
      <c r="AJ57" s="81"/>
      <c r="AK57" s="81"/>
      <c r="AL57" s="81"/>
      <c r="AM57" s="81"/>
      <c r="AN57" s="81"/>
      <c r="AO57" s="81"/>
      <c r="AP57" s="81"/>
      <c r="AQ57" s="81"/>
      <c r="AR57" s="171"/>
    </row>
    <row r="58" spans="1:44" ht="20.100000000000001" customHeight="1">
      <c r="A58" s="375"/>
      <c r="B58" s="392"/>
      <c r="C58" s="393"/>
      <c r="D58" s="393"/>
      <c r="E58" s="393"/>
      <c r="F58" s="393"/>
      <c r="G58" s="393"/>
      <c r="H58" s="393"/>
      <c r="I58" s="393"/>
      <c r="J58" s="393"/>
      <c r="K58" s="394"/>
      <c r="L58" s="383"/>
      <c r="M58" s="384"/>
      <c r="N58" s="384"/>
      <c r="O58" s="384"/>
      <c r="P58" s="384"/>
      <c r="Q58" s="384"/>
      <c r="R58" s="384"/>
      <c r="S58" s="384"/>
      <c r="T58" s="384"/>
      <c r="U58" s="384"/>
      <c r="V58" s="384"/>
      <c r="W58" s="384"/>
      <c r="X58" s="385"/>
      <c r="Y58" s="156"/>
      <c r="Z58" s="156"/>
      <c r="AA58" s="156"/>
      <c r="AB58" s="156"/>
      <c r="AC58" s="156"/>
      <c r="AD58" s="156"/>
      <c r="AE58" s="156"/>
      <c r="AF58" s="156"/>
      <c r="AG58" s="156"/>
      <c r="AH58" s="170"/>
      <c r="AI58" s="81"/>
      <c r="AJ58" s="81"/>
      <c r="AK58" s="81"/>
      <c r="AL58" s="81"/>
      <c r="AM58" s="81"/>
      <c r="AN58" s="81"/>
      <c r="AO58" s="81"/>
      <c r="AP58" s="81"/>
      <c r="AQ58" s="81"/>
      <c r="AR58" s="171"/>
    </row>
    <row r="59" spans="1:44" ht="20.100000000000001" customHeight="1">
      <c r="A59" s="375"/>
      <c r="B59" s="392"/>
      <c r="C59" s="393"/>
      <c r="D59" s="393"/>
      <c r="E59" s="393"/>
      <c r="F59" s="393"/>
      <c r="G59" s="393"/>
      <c r="H59" s="393"/>
      <c r="I59" s="393"/>
      <c r="J59" s="393"/>
      <c r="K59" s="394"/>
      <c r="L59" s="383"/>
      <c r="M59" s="384"/>
      <c r="N59" s="384"/>
      <c r="O59" s="384"/>
      <c r="P59" s="384"/>
      <c r="Q59" s="384"/>
      <c r="R59" s="384"/>
      <c r="S59" s="384"/>
      <c r="T59" s="384"/>
      <c r="U59" s="384"/>
      <c r="V59" s="384"/>
      <c r="W59" s="384"/>
      <c r="X59" s="385"/>
      <c r="Y59" s="156"/>
      <c r="Z59" s="156"/>
      <c r="AA59" s="156"/>
      <c r="AB59" s="156"/>
      <c r="AC59" s="156"/>
      <c r="AD59" s="156"/>
      <c r="AE59" s="156"/>
      <c r="AF59" s="156"/>
      <c r="AG59" s="156"/>
      <c r="AH59" s="170"/>
      <c r="AI59" s="81"/>
      <c r="AJ59" s="81"/>
      <c r="AK59" s="81"/>
      <c r="AL59" s="81"/>
      <c r="AM59" s="81"/>
      <c r="AN59" s="81"/>
      <c r="AO59" s="81"/>
      <c r="AP59" s="81"/>
      <c r="AQ59" s="81"/>
      <c r="AR59" s="171"/>
    </row>
    <row r="60" spans="1:44" ht="20.100000000000001" customHeight="1">
      <c r="A60" s="375"/>
      <c r="B60" s="392"/>
      <c r="C60" s="393"/>
      <c r="D60" s="393"/>
      <c r="E60" s="393"/>
      <c r="F60" s="393"/>
      <c r="G60" s="393"/>
      <c r="H60" s="393"/>
      <c r="I60" s="393"/>
      <c r="J60" s="393"/>
      <c r="K60" s="394"/>
      <c r="L60" s="383"/>
      <c r="M60" s="384"/>
      <c r="N60" s="384"/>
      <c r="O60" s="384"/>
      <c r="P60" s="384"/>
      <c r="Q60" s="384"/>
      <c r="R60" s="384"/>
      <c r="S60" s="384"/>
      <c r="T60" s="384"/>
      <c r="U60" s="384"/>
      <c r="V60" s="384"/>
      <c r="W60" s="384"/>
      <c r="X60" s="385"/>
      <c r="Y60" s="156"/>
      <c r="Z60" s="156"/>
      <c r="AA60" s="156"/>
      <c r="AB60" s="156"/>
      <c r="AC60" s="156"/>
      <c r="AD60" s="156"/>
      <c r="AE60" s="156"/>
      <c r="AF60" s="156"/>
      <c r="AG60" s="156"/>
      <c r="AH60" s="170"/>
      <c r="AI60" s="81"/>
      <c r="AJ60" s="81"/>
      <c r="AK60" s="81"/>
      <c r="AL60" s="81"/>
      <c r="AM60" s="81"/>
      <c r="AN60" s="81"/>
      <c r="AO60" s="81"/>
      <c r="AP60" s="81"/>
      <c r="AQ60" s="81"/>
      <c r="AR60" s="171"/>
    </row>
    <row r="61" spans="1:44" ht="20.100000000000001" customHeight="1">
      <c r="A61" s="375"/>
      <c r="B61" s="392"/>
      <c r="C61" s="393"/>
      <c r="D61" s="393"/>
      <c r="E61" s="393"/>
      <c r="F61" s="393"/>
      <c r="G61" s="393"/>
      <c r="H61" s="393"/>
      <c r="I61" s="393"/>
      <c r="J61" s="393"/>
      <c r="K61" s="394"/>
      <c r="L61" s="383"/>
      <c r="M61" s="384"/>
      <c r="N61" s="384"/>
      <c r="O61" s="384"/>
      <c r="P61" s="384"/>
      <c r="Q61" s="384"/>
      <c r="R61" s="384"/>
      <c r="S61" s="384"/>
      <c r="T61" s="384"/>
      <c r="U61" s="384"/>
      <c r="V61" s="384"/>
      <c r="W61" s="384"/>
      <c r="X61" s="385"/>
      <c r="Y61" s="156"/>
      <c r="Z61" s="156"/>
      <c r="AA61" s="156"/>
      <c r="AB61" s="156"/>
      <c r="AC61" s="156"/>
      <c r="AD61" s="156"/>
      <c r="AE61" s="156"/>
      <c r="AF61" s="156"/>
      <c r="AG61" s="156"/>
      <c r="AH61" s="170"/>
      <c r="AI61" s="81"/>
      <c r="AJ61" s="81"/>
      <c r="AK61" s="81"/>
      <c r="AL61" s="81"/>
      <c r="AM61" s="81"/>
      <c r="AN61" s="81"/>
      <c r="AO61" s="81"/>
      <c r="AP61" s="81"/>
      <c r="AQ61" s="81"/>
      <c r="AR61" s="171"/>
    </row>
    <row r="62" spans="1:44" ht="20.100000000000001" customHeight="1" thickBot="1">
      <c r="A62" s="398"/>
      <c r="B62" s="402"/>
      <c r="C62" s="403"/>
      <c r="D62" s="403"/>
      <c r="E62" s="403"/>
      <c r="F62" s="403"/>
      <c r="G62" s="403"/>
      <c r="H62" s="403"/>
      <c r="I62" s="403"/>
      <c r="J62" s="403"/>
      <c r="K62" s="404"/>
      <c r="L62" s="399"/>
      <c r="M62" s="400"/>
      <c r="N62" s="400"/>
      <c r="O62" s="400"/>
      <c r="P62" s="400"/>
      <c r="Q62" s="400"/>
      <c r="R62" s="400"/>
      <c r="S62" s="400"/>
      <c r="T62" s="400"/>
      <c r="U62" s="400"/>
      <c r="V62" s="400"/>
      <c r="W62" s="400"/>
      <c r="X62" s="401"/>
      <c r="Y62" s="158"/>
      <c r="Z62" s="158"/>
      <c r="AA62" s="158"/>
      <c r="AB62" s="158"/>
      <c r="AC62" s="158"/>
      <c r="AD62" s="158"/>
      <c r="AE62" s="158"/>
      <c r="AF62" s="158"/>
      <c r="AG62" s="158"/>
      <c r="AH62" s="175"/>
      <c r="AI62" s="176"/>
      <c r="AJ62" s="176"/>
      <c r="AK62" s="176"/>
      <c r="AL62" s="176"/>
      <c r="AM62" s="176"/>
      <c r="AN62" s="176"/>
      <c r="AO62" s="176"/>
      <c r="AP62" s="176"/>
      <c r="AQ62" s="176"/>
      <c r="AR62" s="177"/>
    </row>
    <row r="63" spans="1:44" ht="20.100000000000001" customHeight="1"/>
  </sheetData>
  <mergeCells count="137">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A6:A8"/>
    <mergeCell ref="B6:G6"/>
    <mergeCell ref="H6:P6"/>
    <mergeCell ref="Q6:Y6"/>
    <mergeCell ref="Z6:Z8"/>
    <mergeCell ref="AA6:AH6"/>
    <mergeCell ref="AI6:AP6"/>
    <mergeCell ref="B7:G8"/>
    <mergeCell ref="H7:P8"/>
    <mergeCell ref="Q7:Y8"/>
    <mergeCell ref="AA7:AH8"/>
    <mergeCell ref="AQ9:AR9"/>
    <mergeCell ref="B10:G12"/>
    <mergeCell ref="R10:Y10"/>
    <mergeCell ref="AQ10:AR12"/>
    <mergeCell ref="R11:Y11"/>
    <mergeCell ref="R12:Y12"/>
    <mergeCell ref="AI7:AP8"/>
    <mergeCell ref="A9:A16"/>
    <mergeCell ref="B9:G9"/>
    <mergeCell ref="H9:P16"/>
    <mergeCell ref="R9:Y9"/>
    <mergeCell ref="Z9:Z16"/>
    <mergeCell ref="AA9:AH16"/>
    <mergeCell ref="AI9:AP16"/>
    <mergeCell ref="B13:G13"/>
    <mergeCell ref="R13:Y13"/>
    <mergeCell ref="B17:G17"/>
    <mergeCell ref="H17:P24"/>
    <mergeCell ref="R17:Y17"/>
    <mergeCell ref="Z17:Z24"/>
    <mergeCell ref="AA17:AH24"/>
    <mergeCell ref="R22:Y22"/>
    <mergeCell ref="AQ13:AR13"/>
    <mergeCell ref="B14:G16"/>
    <mergeCell ref="R14:Y14"/>
    <mergeCell ref="AQ14:AR16"/>
    <mergeCell ref="R15:Y15"/>
    <mergeCell ref="R16:Y16"/>
    <mergeCell ref="B37:G37"/>
    <mergeCell ref="R37:Y37"/>
    <mergeCell ref="AQ37:AR37"/>
    <mergeCell ref="AQ22:AR24"/>
    <mergeCell ref="R23:Y23"/>
    <mergeCell ref="R24:Y24"/>
    <mergeCell ref="A33:A40"/>
    <mergeCell ref="B33:G33"/>
    <mergeCell ref="H33:P40"/>
    <mergeCell ref="R33:Y33"/>
    <mergeCell ref="Z33:Z40"/>
    <mergeCell ref="AA33:AH40"/>
    <mergeCell ref="AI33:AP40"/>
    <mergeCell ref="AI17:AP24"/>
    <mergeCell ref="AQ17:AR17"/>
    <mergeCell ref="B18:G20"/>
    <mergeCell ref="R18:Y18"/>
    <mergeCell ref="AQ18:AR20"/>
    <mergeCell ref="R20:Y20"/>
    <mergeCell ref="B21:G21"/>
    <mergeCell ref="R21:Y21"/>
    <mergeCell ref="AQ21:AR21"/>
    <mergeCell ref="B22:G24"/>
    <mergeCell ref="A17:A24"/>
    <mergeCell ref="A56:A62"/>
    <mergeCell ref="B56:K56"/>
    <mergeCell ref="L56:X62"/>
    <mergeCell ref="B57:K62"/>
    <mergeCell ref="A46:A48"/>
    <mergeCell ref="B46:K48"/>
    <mergeCell ref="L46:X46"/>
    <mergeCell ref="Y46:AG46"/>
    <mergeCell ref="AH46:AR46"/>
    <mergeCell ref="L47:X48"/>
    <mergeCell ref="Y47:AG48"/>
    <mergeCell ref="AH47:AR48"/>
    <mergeCell ref="A25:A32"/>
    <mergeCell ref="B25:G25"/>
    <mergeCell ref="H25:P32"/>
    <mergeCell ref="R25:Y25"/>
    <mergeCell ref="Z25:Z32"/>
    <mergeCell ref="AA25:AH32"/>
    <mergeCell ref="R30:Y30"/>
    <mergeCell ref="A49:A55"/>
    <mergeCell ref="B49:K49"/>
    <mergeCell ref="L49:X55"/>
    <mergeCell ref="B50:K55"/>
    <mergeCell ref="A43:E43"/>
    <mergeCell ref="F43:K43"/>
    <mergeCell ref="L43:AG43"/>
    <mergeCell ref="A45:X45"/>
    <mergeCell ref="Y45:AG45"/>
    <mergeCell ref="AH45:AR45"/>
    <mergeCell ref="B38:G40"/>
    <mergeCell ref="R38:Y38"/>
    <mergeCell ref="AQ38:AR40"/>
    <mergeCell ref="R39:Y39"/>
    <mergeCell ref="R40:Y40"/>
    <mergeCell ref="AQ41:AR41"/>
    <mergeCell ref="AQ33:AR33"/>
    <mergeCell ref="AQ30:AR32"/>
    <mergeCell ref="R31:Y31"/>
    <mergeCell ref="R32:Y32"/>
    <mergeCell ref="R19:Y19"/>
    <mergeCell ref="R27:Y27"/>
    <mergeCell ref="R35:Y35"/>
    <mergeCell ref="AI25:AP32"/>
    <mergeCell ref="AQ25:AR25"/>
    <mergeCell ref="B26:G28"/>
    <mergeCell ref="R26:Y26"/>
    <mergeCell ref="AQ26:AR28"/>
    <mergeCell ref="R28:Y28"/>
    <mergeCell ref="B29:G29"/>
    <mergeCell ref="R29:Y29"/>
    <mergeCell ref="AQ29:AR29"/>
    <mergeCell ref="B30:G32"/>
    <mergeCell ref="B34:G36"/>
    <mergeCell ref="R34:Y34"/>
    <mergeCell ref="AQ34:AR36"/>
    <mergeCell ref="R36:Y36"/>
  </mergeCells>
  <phoneticPr fontId="26"/>
  <dataValidations count="2">
    <dataValidation type="list" allowBlank="1" showInputMessage="1" showErrorMessage="1" sqref="AB1:AI1" xr:uid="{62DB51DC-8D98-41FA-9C6A-8A97C5885E3A}">
      <formula1>"Ｓ４（上席スペシャリスト）,Ｓ３（シニアスペシャリスト）,Ｓ２（スペシャリスト）,Ｓ１（ジュニアスペシャリスト）"</formula1>
    </dataValidation>
    <dataValidation type="list" allowBlank="1" showInputMessage="1" showErrorMessage="1" sqref="WIF983052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8:FN65548 PC65548:PJ65548 YY65548:ZF65548 AIU65548:AJB65548 ASQ65548:ASX65548 BCM65548:BCT65548 BMI65548:BMP65548 BWE65548:BWL65548 CGA65548:CGH65548 CPW65548:CQD65548 CZS65548:CZZ65548 DJO65548:DJV65548 DTK65548:DTR65548 EDG65548:EDN65548 ENC65548:ENJ65548 EWY65548:EXF65548 FGU65548:FHB65548 FQQ65548:FQX65548 GAM65548:GAT65548 GKI65548:GKP65548 GUE65548:GUL65548 HEA65548:HEH65548 HNW65548:HOD65548 HXS65548:HXZ65548 IHO65548:IHV65548 IRK65548:IRR65548 JBG65548:JBN65548 JLC65548:JLJ65548 JUY65548:JVF65548 KEU65548:KFB65548 KOQ65548:KOX65548 KYM65548:KYT65548 LII65548:LIP65548 LSE65548:LSL65548 MCA65548:MCH65548 MLW65548:MMD65548 MVS65548:MVZ65548 NFO65548:NFV65548 NPK65548:NPR65548 NZG65548:NZN65548 OJC65548:OJJ65548 OSY65548:OTF65548 PCU65548:PDB65548 PMQ65548:PMX65548 PWM65548:PWT65548 QGI65548:QGP65548 QQE65548:QQL65548 RAA65548:RAH65548 RJW65548:RKD65548 RTS65548:RTZ65548 SDO65548:SDV65548 SNK65548:SNR65548 SXG65548:SXN65548 THC65548:THJ65548 TQY65548:TRF65548 UAU65548:UBB65548 UKQ65548:UKX65548 UUM65548:UUT65548 VEI65548:VEP65548 VOE65548:VOL65548 VYA65548:VYH65548 WHW65548:WID65548 WRS65548:WRZ65548 FG131084:FN131084 PC131084:PJ131084 YY131084:ZF131084 AIU131084:AJB131084 ASQ131084:ASX131084 BCM131084:BCT131084 BMI131084:BMP131084 BWE131084:BWL131084 CGA131084:CGH131084 CPW131084:CQD131084 CZS131084:CZZ131084 DJO131084:DJV131084 DTK131084:DTR131084 EDG131084:EDN131084 ENC131084:ENJ131084 EWY131084:EXF131084 FGU131084:FHB131084 FQQ131084:FQX131084 GAM131084:GAT131084 GKI131084:GKP131084 GUE131084:GUL131084 HEA131084:HEH131084 HNW131084:HOD131084 HXS131084:HXZ131084 IHO131084:IHV131084 IRK131084:IRR131084 JBG131084:JBN131084 JLC131084:JLJ131084 JUY131084:JVF131084 KEU131084:KFB131084 KOQ131084:KOX131084 KYM131084:KYT131084 LII131084:LIP131084 LSE131084:LSL131084 MCA131084:MCH131084 MLW131084:MMD131084 MVS131084:MVZ131084 NFO131084:NFV131084 NPK131084:NPR131084 NZG131084:NZN131084 OJC131084:OJJ131084 OSY131084:OTF131084 PCU131084:PDB131084 PMQ131084:PMX131084 PWM131084:PWT131084 QGI131084:QGP131084 QQE131084:QQL131084 RAA131084:RAH131084 RJW131084:RKD131084 RTS131084:RTZ131084 SDO131084:SDV131084 SNK131084:SNR131084 SXG131084:SXN131084 THC131084:THJ131084 TQY131084:TRF131084 UAU131084:UBB131084 UKQ131084:UKX131084 UUM131084:UUT131084 VEI131084:VEP131084 VOE131084:VOL131084 VYA131084:VYH131084 WHW131084:WID131084 WRS131084:WRZ131084 FG196620:FN196620 PC196620:PJ196620 YY196620:ZF196620 AIU196620:AJB196620 ASQ196620:ASX196620 BCM196620:BCT196620 BMI196620:BMP196620 BWE196620:BWL196620 CGA196620:CGH196620 CPW196620:CQD196620 CZS196620:CZZ196620 DJO196620:DJV196620 DTK196620:DTR196620 EDG196620:EDN196620 ENC196620:ENJ196620 EWY196620:EXF196620 FGU196620:FHB196620 FQQ196620:FQX196620 GAM196620:GAT196620 GKI196620:GKP196620 GUE196620:GUL196620 HEA196620:HEH196620 HNW196620:HOD196620 HXS196620:HXZ196620 IHO196620:IHV196620 IRK196620:IRR196620 JBG196620:JBN196620 JLC196620:JLJ196620 JUY196620:JVF196620 KEU196620:KFB196620 KOQ196620:KOX196620 KYM196620:KYT196620 LII196620:LIP196620 LSE196620:LSL196620 MCA196620:MCH196620 MLW196620:MMD196620 MVS196620:MVZ196620 NFO196620:NFV196620 NPK196620:NPR196620 NZG196620:NZN196620 OJC196620:OJJ196620 OSY196620:OTF196620 PCU196620:PDB196620 PMQ196620:PMX196620 PWM196620:PWT196620 QGI196620:QGP196620 QQE196620:QQL196620 RAA196620:RAH196620 RJW196620:RKD196620 RTS196620:RTZ196620 SDO196620:SDV196620 SNK196620:SNR196620 SXG196620:SXN196620 THC196620:THJ196620 TQY196620:TRF196620 UAU196620:UBB196620 UKQ196620:UKX196620 UUM196620:UUT196620 VEI196620:VEP196620 VOE196620:VOL196620 VYA196620:VYH196620 WHW196620:WID196620 WRS196620:WRZ196620 FG262156:FN262156 PC262156:PJ262156 YY262156:ZF262156 AIU262156:AJB262156 ASQ262156:ASX262156 BCM262156:BCT262156 BMI262156:BMP262156 BWE262156:BWL262156 CGA262156:CGH262156 CPW262156:CQD262156 CZS262156:CZZ262156 DJO262156:DJV262156 DTK262156:DTR262156 EDG262156:EDN262156 ENC262156:ENJ262156 EWY262156:EXF262156 FGU262156:FHB262156 FQQ262156:FQX262156 GAM262156:GAT262156 GKI262156:GKP262156 GUE262156:GUL262156 HEA262156:HEH262156 HNW262156:HOD262156 HXS262156:HXZ262156 IHO262156:IHV262156 IRK262156:IRR262156 JBG262156:JBN262156 JLC262156:JLJ262156 JUY262156:JVF262156 KEU262156:KFB262156 KOQ262156:KOX262156 KYM262156:KYT262156 LII262156:LIP262156 LSE262156:LSL262156 MCA262156:MCH262156 MLW262156:MMD262156 MVS262156:MVZ262156 NFO262156:NFV262156 NPK262156:NPR262156 NZG262156:NZN262156 OJC262156:OJJ262156 OSY262156:OTF262156 PCU262156:PDB262156 PMQ262156:PMX262156 PWM262156:PWT262156 QGI262156:QGP262156 QQE262156:QQL262156 RAA262156:RAH262156 RJW262156:RKD262156 RTS262156:RTZ262156 SDO262156:SDV262156 SNK262156:SNR262156 SXG262156:SXN262156 THC262156:THJ262156 TQY262156:TRF262156 UAU262156:UBB262156 UKQ262156:UKX262156 UUM262156:UUT262156 VEI262156:VEP262156 VOE262156:VOL262156 VYA262156:VYH262156 WHW262156:WID262156 WRS262156:WRZ262156 FG327692:FN327692 PC327692:PJ327692 YY327692:ZF327692 AIU327692:AJB327692 ASQ327692:ASX327692 BCM327692:BCT327692 BMI327692:BMP327692 BWE327692:BWL327692 CGA327692:CGH327692 CPW327692:CQD327692 CZS327692:CZZ327692 DJO327692:DJV327692 DTK327692:DTR327692 EDG327692:EDN327692 ENC327692:ENJ327692 EWY327692:EXF327692 FGU327692:FHB327692 FQQ327692:FQX327692 GAM327692:GAT327692 GKI327692:GKP327692 GUE327692:GUL327692 HEA327692:HEH327692 HNW327692:HOD327692 HXS327692:HXZ327692 IHO327692:IHV327692 IRK327692:IRR327692 JBG327692:JBN327692 JLC327692:JLJ327692 JUY327692:JVF327692 KEU327692:KFB327692 KOQ327692:KOX327692 KYM327692:KYT327692 LII327692:LIP327692 LSE327692:LSL327692 MCA327692:MCH327692 MLW327692:MMD327692 MVS327692:MVZ327692 NFO327692:NFV327692 NPK327692:NPR327692 NZG327692:NZN327692 OJC327692:OJJ327692 OSY327692:OTF327692 PCU327692:PDB327692 PMQ327692:PMX327692 PWM327692:PWT327692 QGI327692:QGP327692 QQE327692:QQL327692 RAA327692:RAH327692 RJW327692:RKD327692 RTS327692:RTZ327692 SDO327692:SDV327692 SNK327692:SNR327692 SXG327692:SXN327692 THC327692:THJ327692 TQY327692:TRF327692 UAU327692:UBB327692 UKQ327692:UKX327692 UUM327692:UUT327692 VEI327692:VEP327692 VOE327692:VOL327692 VYA327692:VYH327692 WHW327692:WID327692 WRS327692:WRZ327692 FG393228:FN393228 PC393228:PJ393228 YY393228:ZF393228 AIU393228:AJB393228 ASQ393228:ASX393228 BCM393228:BCT393228 BMI393228:BMP393228 BWE393228:BWL393228 CGA393228:CGH393228 CPW393228:CQD393228 CZS393228:CZZ393228 DJO393228:DJV393228 DTK393228:DTR393228 EDG393228:EDN393228 ENC393228:ENJ393228 EWY393228:EXF393228 FGU393228:FHB393228 FQQ393228:FQX393228 GAM393228:GAT393228 GKI393228:GKP393228 GUE393228:GUL393228 HEA393228:HEH393228 HNW393228:HOD393228 HXS393228:HXZ393228 IHO393228:IHV393228 IRK393228:IRR393228 JBG393228:JBN393228 JLC393228:JLJ393228 JUY393228:JVF393228 KEU393228:KFB393228 KOQ393228:KOX393228 KYM393228:KYT393228 LII393228:LIP393228 LSE393228:LSL393228 MCA393228:MCH393228 MLW393228:MMD393228 MVS393228:MVZ393228 NFO393228:NFV393228 NPK393228:NPR393228 NZG393228:NZN393228 OJC393228:OJJ393228 OSY393228:OTF393228 PCU393228:PDB393228 PMQ393228:PMX393228 PWM393228:PWT393228 QGI393228:QGP393228 QQE393228:QQL393228 RAA393228:RAH393228 RJW393228:RKD393228 RTS393228:RTZ393228 SDO393228:SDV393228 SNK393228:SNR393228 SXG393228:SXN393228 THC393228:THJ393228 TQY393228:TRF393228 UAU393228:UBB393228 UKQ393228:UKX393228 UUM393228:UUT393228 VEI393228:VEP393228 VOE393228:VOL393228 VYA393228:VYH393228 WHW393228:WID393228 WRS393228:WRZ393228 FG458764:FN458764 PC458764:PJ458764 YY458764:ZF458764 AIU458764:AJB458764 ASQ458764:ASX458764 BCM458764:BCT458764 BMI458764:BMP458764 BWE458764:BWL458764 CGA458764:CGH458764 CPW458764:CQD458764 CZS458764:CZZ458764 DJO458764:DJV458764 DTK458764:DTR458764 EDG458764:EDN458764 ENC458764:ENJ458764 EWY458764:EXF458764 FGU458764:FHB458764 FQQ458764:FQX458764 GAM458764:GAT458764 GKI458764:GKP458764 GUE458764:GUL458764 HEA458764:HEH458764 HNW458764:HOD458764 HXS458764:HXZ458764 IHO458764:IHV458764 IRK458764:IRR458764 JBG458764:JBN458764 JLC458764:JLJ458764 JUY458764:JVF458764 KEU458764:KFB458764 KOQ458764:KOX458764 KYM458764:KYT458764 LII458764:LIP458764 LSE458764:LSL458764 MCA458764:MCH458764 MLW458764:MMD458764 MVS458764:MVZ458764 NFO458764:NFV458764 NPK458764:NPR458764 NZG458764:NZN458764 OJC458764:OJJ458764 OSY458764:OTF458764 PCU458764:PDB458764 PMQ458764:PMX458764 PWM458764:PWT458764 QGI458764:QGP458764 QQE458764:QQL458764 RAA458764:RAH458764 RJW458764:RKD458764 RTS458764:RTZ458764 SDO458764:SDV458764 SNK458764:SNR458764 SXG458764:SXN458764 THC458764:THJ458764 TQY458764:TRF458764 UAU458764:UBB458764 UKQ458764:UKX458764 UUM458764:UUT458764 VEI458764:VEP458764 VOE458764:VOL458764 VYA458764:VYH458764 WHW458764:WID458764 WRS458764:WRZ458764 FG524300:FN524300 PC524300:PJ524300 YY524300:ZF524300 AIU524300:AJB524300 ASQ524300:ASX524300 BCM524300:BCT524300 BMI524300:BMP524300 BWE524300:BWL524300 CGA524300:CGH524300 CPW524300:CQD524300 CZS524300:CZZ524300 DJO524300:DJV524300 DTK524300:DTR524300 EDG524300:EDN524300 ENC524300:ENJ524300 EWY524300:EXF524300 FGU524300:FHB524300 FQQ524300:FQX524300 GAM524300:GAT524300 GKI524300:GKP524300 GUE524300:GUL524300 HEA524300:HEH524300 HNW524300:HOD524300 HXS524300:HXZ524300 IHO524300:IHV524300 IRK524300:IRR524300 JBG524300:JBN524300 JLC524300:JLJ524300 JUY524300:JVF524300 KEU524300:KFB524300 KOQ524300:KOX524300 KYM524300:KYT524300 LII524300:LIP524300 LSE524300:LSL524300 MCA524300:MCH524300 MLW524300:MMD524300 MVS524300:MVZ524300 NFO524300:NFV524300 NPK524300:NPR524300 NZG524300:NZN524300 OJC524300:OJJ524300 OSY524300:OTF524300 PCU524300:PDB524300 PMQ524300:PMX524300 PWM524300:PWT524300 QGI524300:QGP524300 QQE524300:QQL524300 RAA524300:RAH524300 RJW524300:RKD524300 RTS524300:RTZ524300 SDO524300:SDV524300 SNK524300:SNR524300 SXG524300:SXN524300 THC524300:THJ524300 TQY524300:TRF524300 UAU524300:UBB524300 UKQ524300:UKX524300 UUM524300:UUT524300 VEI524300:VEP524300 VOE524300:VOL524300 VYA524300:VYH524300 WHW524300:WID524300 WRS524300:WRZ524300 FG589836:FN589836 PC589836:PJ589836 YY589836:ZF589836 AIU589836:AJB589836 ASQ589836:ASX589836 BCM589836:BCT589836 BMI589836:BMP589836 BWE589836:BWL589836 CGA589836:CGH589836 CPW589836:CQD589836 CZS589836:CZZ589836 DJO589836:DJV589836 DTK589836:DTR589836 EDG589836:EDN589836 ENC589836:ENJ589836 EWY589836:EXF589836 FGU589836:FHB589836 FQQ589836:FQX589836 GAM589836:GAT589836 GKI589836:GKP589836 GUE589836:GUL589836 HEA589836:HEH589836 HNW589836:HOD589836 HXS589836:HXZ589836 IHO589836:IHV589836 IRK589836:IRR589836 JBG589836:JBN589836 JLC589836:JLJ589836 JUY589836:JVF589836 KEU589836:KFB589836 KOQ589836:KOX589836 KYM589836:KYT589836 LII589836:LIP589836 LSE589836:LSL589836 MCA589836:MCH589836 MLW589836:MMD589836 MVS589836:MVZ589836 NFO589836:NFV589836 NPK589836:NPR589836 NZG589836:NZN589836 OJC589836:OJJ589836 OSY589836:OTF589836 PCU589836:PDB589836 PMQ589836:PMX589836 PWM589836:PWT589836 QGI589836:QGP589836 QQE589836:QQL589836 RAA589836:RAH589836 RJW589836:RKD589836 RTS589836:RTZ589836 SDO589836:SDV589836 SNK589836:SNR589836 SXG589836:SXN589836 THC589836:THJ589836 TQY589836:TRF589836 UAU589836:UBB589836 UKQ589836:UKX589836 UUM589836:UUT589836 VEI589836:VEP589836 VOE589836:VOL589836 VYA589836:VYH589836 WHW589836:WID589836 WRS589836:WRZ589836 FG655372:FN655372 PC655372:PJ655372 YY655372:ZF655372 AIU655372:AJB655372 ASQ655372:ASX655372 BCM655372:BCT655372 BMI655372:BMP655372 BWE655372:BWL655372 CGA655372:CGH655372 CPW655372:CQD655372 CZS655372:CZZ655372 DJO655372:DJV655372 DTK655372:DTR655372 EDG655372:EDN655372 ENC655372:ENJ655372 EWY655372:EXF655372 FGU655372:FHB655372 FQQ655372:FQX655372 GAM655372:GAT655372 GKI655372:GKP655372 GUE655372:GUL655372 HEA655372:HEH655372 HNW655372:HOD655372 HXS655372:HXZ655372 IHO655372:IHV655372 IRK655372:IRR655372 JBG655372:JBN655372 JLC655372:JLJ655372 JUY655372:JVF655372 KEU655372:KFB655372 KOQ655372:KOX655372 KYM655372:KYT655372 LII655372:LIP655372 LSE655372:LSL655372 MCA655372:MCH655372 MLW655372:MMD655372 MVS655372:MVZ655372 NFO655372:NFV655372 NPK655372:NPR655372 NZG655372:NZN655372 OJC655372:OJJ655372 OSY655372:OTF655372 PCU655372:PDB655372 PMQ655372:PMX655372 PWM655372:PWT655372 QGI655372:QGP655372 QQE655372:QQL655372 RAA655372:RAH655372 RJW655372:RKD655372 RTS655372:RTZ655372 SDO655372:SDV655372 SNK655372:SNR655372 SXG655372:SXN655372 THC655372:THJ655372 TQY655372:TRF655372 UAU655372:UBB655372 UKQ655372:UKX655372 UUM655372:UUT655372 VEI655372:VEP655372 VOE655372:VOL655372 VYA655372:VYH655372 WHW655372:WID655372 WRS655372:WRZ655372 FG720908:FN720908 PC720908:PJ720908 YY720908:ZF720908 AIU720908:AJB720908 ASQ720908:ASX720908 BCM720908:BCT720908 BMI720908:BMP720908 BWE720908:BWL720908 CGA720908:CGH720908 CPW720908:CQD720908 CZS720908:CZZ720908 DJO720908:DJV720908 DTK720908:DTR720908 EDG720908:EDN720908 ENC720908:ENJ720908 EWY720908:EXF720908 FGU720908:FHB720908 FQQ720908:FQX720908 GAM720908:GAT720908 GKI720908:GKP720908 GUE720908:GUL720908 HEA720908:HEH720908 HNW720908:HOD720908 HXS720908:HXZ720908 IHO720908:IHV720908 IRK720908:IRR720908 JBG720908:JBN720908 JLC720908:JLJ720908 JUY720908:JVF720908 KEU720908:KFB720908 KOQ720908:KOX720908 KYM720908:KYT720908 LII720908:LIP720908 LSE720908:LSL720908 MCA720908:MCH720908 MLW720908:MMD720908 MVS720908:MVZ720908 NFO720908:NFV720908 NPK720908:NPR720908 NZG720908:NZN720908 OJC720908:OJJ720908 OSY720908:OTF720908 PCU720908:PDB720908 PMQ720908:PMX720908 PWM720908:PWT720908 QGI720908:QGP720908 QQE720908:QQL720908 RAA720908:RAH720908 RJW720908:RKD720908 RTS720908:RTZ720908 SDO720908:SDV720908 SNK720908:SNR720908 SXG720908:SXN720908 THC720908:THJ720908 TQY720908:TRF720908 UAU720908:UBB720908 UKQ720908:UKX720908 UUM720908:UUT720908 VEI720908:VEP720908 VOE720908:VOL720908 VYA720908:VYH720908 WHW720908:WID720908 WRS720908:WRZ720908 FG786444:FN786444 PC786444:PJ786444 YY786444:ZF786444 AIU786444:AJB786444 ASQ786444:ASX786444 BCM786444:BCT786444 BMI786444:BMP786444 BWE786444:BWL786444 CGA786444:CGH786444 CPW786444:CQD786444 CZS786444:CZZ786444 DJO786444:DJV786444 DTK786444:DTR786444 EDG786444:EDN786444 ENC786444:ENJ786444 EWY786444:EXF786444 FGU786444:FHB786444 FQQ786444:FQX786444 GAM786444:GAT786444 GKI786444:GKP786444 GUE786444:GUL786444 HEA786444:HEH786444 HNW786444:HOD786444 HXS786444:HXZ786444 IHO786444:IHV786444 IRK786444:IRR786444 JBG786444:JBN786444 JLC786444:JLJ786444 JUY786444:JVF786444 KEU786444:KFB786444 KOQ786444:KOX786444 KYM786444:KYT786444 LII786444:LIP786444 LSE786444:LSL786444 MCA786444:MCH786444 MLW786444:MMD786444 MVS786444:MVZ786444 NFO786444:NFV786444 NPK786444:NPR786444 NZG786444:NZN786444 OJC786444:OJJ786444 OSY786444:OTF786444 PCU786444:PDB786444 PMQ786444:PMX786444 PWM786444:PWT786444 QGI786444:QGP786444 QQE786444:QQL786444 RAA786444:RAH786444 RJW786444:RKD786444 RTS786444:RTZ786444 SDO786444:SDV786444 SNK786444:SNR786444 SXG786444:SXN786444 THC786444:THJ786444 TQY786444:TRF786444 UAU786444:UBB786444 UKQ786444:UKX786444 UUM786444:UUT786444 VEI786444:VEP786444 VOE786444:VOL786444 VYA786444:VYH786444 WHW786444:WID786444 WRS786444:WRZ786444 FG851980:FN851980 PC851980:PJ851980 YY851980:ZF851980 AIU851980:AJB851980 ASQ851980:ASX851980 BCM851980:BCT851980 BMI851980:BMP851980 BWE851980:BWL851980 CGA851980:CGH851980 CPW851980:CQD851980 CZS851980:CZZ851980 DJO851980:DJV851980 DTK851980:DTR851980 EDG851980:EDN851980 ENC851980:ENJ851980 EWY851980:EXF851980 FGU851980:FHB851980 FQQ851980:FQX851980 GAM851980:GAT851980 GKI851980:GKP851980 GUE851980:GUL851980 HEA851980:HEH851980 HNW851980:HOD851980 HXS851980:HXZ851980 IHO851980:IHV851980 IRK851980:IRR851980 JBG851980:JBN851980 JLC851980:JLJ851980 JUY851980:JVF851980 KEU851980:KFB851980 KOQ851980:KOX851980 KYM851980:KYT851980 LII851980:LIP851980 LSE851980:LSL851980 MCA851980:MCH851980 MLW851980:MMD851980 MVS851980:MVZ851980 NFO851980:NFV851980 NPK851980:NPR851980 NZG851980:NZN851980 OJC851980:OJJ851980 OSY851980:OTF851980 PCU851980:PDB851980 PMQ851980:PMX851980 PWM851980:PWT851980 QGI851980:QGP851980 QQE851980:QQL851980 RAA851980:RAH851980 RJW851980:RKD851980 RTS851980:RTZ851980 SDO851980:SDV851980 SNK851980:SNR851980 SXG851980:SXN851980 THC851980:THJ851980 TQY851980:TRF851980 UAU851980:UBB851980 UKQ851980:UKX851980 UUM851980:UUT851980 VEI851980:VEP851980 VOE851980:VOL851980 VYA851980:VYH851980 WHW851980:WID851980 WRS851980:WRZ851980 FG917516:FN917516 PC917516:PJ917516 YY917516:ZF917516 AIU917516:AJB917516 ASQ917516:ASX917516 BCM917516:BCT917516 BMI917516:BMP917516 BWE917516:BWL917516 CGA917516:CGH917516 CPW917516:CQD917516 CZS917516:CZZ917516 DJO917516:DJV917516 DTK917516:DTR917516 EDG917516:EDN917516 ENC917516:ENJ917516 EWY917516:EXF917516 FGU917516:FHB917516 FQQ917516:FQX917516 GAM917516:GAT917516 GKI917516:GKP917516 GUE917516:GUL917516 HEA917516:HEH917516 HNW917516:HOD917516 HXS917516:HXZ917516 IHO917516:IHV917516 IRK917516:IRR917516 JBG917516:JBN917516 JLC917516:JLJ917516 JUY917516:JVF917516 KEU917516:KFB917516 KOQ917516:KOX917516 KYM917516:KYT917516 LII917516:LIP917516 LSE917516:LSL917516 MCA917516:MCH917516 MLW917516:MMD917516 MVS917516:MVZ917516 NFO917516:NFV917516 NPK917516:NPR917516 NZG917516:NZN917516 OJC917516:OJJ917516 OSY917516:OTF917516 PCU917516:PDB917516 PMQ917516:PMX917516 PWM917516:PWT917516 QGI917516:QGP917516 QQE917516:QQL917516 RAA917516:RAH917516 RJW917516:RKD917516 RTS917516:RTZ917516 SDO917516:SDV917516 SNK917516:SNR917516 SXG917516:SXN917516 THC917516:THJ917516 TQY917516:TRF917516 UAU917516:UBB917516 UKQ917516:UKX917516 UUM917516:UUT917516 VEI917516:VEP917516 VOE917516:VOL917516 VYA917516:VYH917516 WHW917516:WID917516 WRS917516:WRZ917516 FG983052:FN983052 PC983052:PJ983052 YY983052:ZF983052 AIU983052:AJB983052 ASQ983052:ASX983052 BCM983052:BCT983052 BMI983052:BMP983052 BWE983052:BWL983052 CGA983052:CGH983052 CPW983052:CQD983052 CZS983052:CZZ983052 DJO983052:DJV983052 DTK983052:DTR983052 EDG983052:EDN983052 ENC983052:ENJ983052 EWY983052:EXF983052 FGU983052:FHB983052 FQQ983052:FQX983052 GAM983052:GAT983052 GKI983052:GKP983052 GUE983052:GUL983052 HEA983052:HEH983052 HNW983052:HOD983052 HXS983052:HXZ983052 IHO983052:IHV983052 IRK983052:IRR983052 JBG983052:JBN983052 JLC983052:JLJ983052 JUY983052:JVF983052 KEU983052:KFB983052 KOQ983052:KOX983052 KYM983052:KYT983052 LII983052:LIP983052 LSE983052:LSL983052 MCA983052:MCH983052 MLW983052:MMD983052 MVS983052:MVZ983052 NFO983052:NFV983052 NPK983052:NPR983052 NZG983052:NZN983052 OJC983052:OJJ983052 OSY983052:OTF983052 PCU983052:PDB983052 PMQ983052:PMX983052 PWM983052:PWT983052 QGI983052:QGP983052 QQE983052:QQL983052 RAA983052:RAH983052 RJW983052:RKD983052 RTS983052:RTZ983052 SDO983052:SDV983052 SNK983052:SNR983052 SXG983052:SXN983052 THC983052:THJ983052 TQY983052:TRF983052 UAU983052:UBB983052 UKQ983052:UKX983052 UUM983052:UUT983052 VEI983052:VEP983052 VOE983052:VOL983052 VYA983052:VYH983052 WHW983052:WID983052 WRS983052:WRZ983052 WSB983052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8 FP65548 PL65548 ZH65548 AJD65548 ASZ65548 BCV65548 BMR65548 BWN65548 CGJ65548 CQF65548 DAB65548 DJX65548 DTT65548 EDP65548 ENL65548 EXH65548 FHD65548 FQZ65548 GAV65548 GKR65548 GUN65548 HEJ65548 HOF65548 HYB65548 IHX65548 IRT65548 JBP65548 JLL65548 JVH65548 KFD65548 KOZ65548 KYV65548 LIR65548 LSN65548 MCJ65548 MMF65548 MWB65548 NFX65548 NPT65548 NZP65548 OJL65548 OTH65548 PDD65548 PMZ65548 PWV65548 QGR65548 QQN65548 RAJ65548 RKF65548 RUB65548 SDX65548 SNT65548 SXP65548 THL65548 TRH65548 UBD65548 UKZ65548 UUV65548 VER65548 VON65548 VYJ65548 WIF65548 WSB65548 AA131084 FP131084 PL131084 ZH131084 AJD131084 ASZ131084 BCV131084 BMR131084 BWN131084 CGJ131084 CQF131084 DAB131084 DJX131084 DTT131084 EDP131084 ENL131084 EXH131084 FHD131084 FQZ131084 GAV131084 GKR131084 GUN131084 HEJ131084 HOF131084 HYB131084 IHX131084 IRT131084 JBP131084 JLL131084 JVH131084 KFD131084 KOZ131084 KYV131084 LIR131084 LSN131084 MCJ131084 MMF131084 MWB131084 NFX131084 NPT131084 NZP131084 OJL131084 OTH131084 PDD131084 PMZ131084 PWV131084 QGR131084 QQN131084 RAJ131084 RKF131084 RUB131084 SDX131084 SNT131084 SXP131084 THL131084 TRH131084 UBD131084 UKZ131084 UUV131084 VER131084 VON131084 VYJ131084 WIF131084 WSB131084 AA196620 FP196620 PL196620 ZH196620 AJD196620 ASZ196620 BCV196620 BMR196620 BWN196620 CGJ196620 CQF196620 DAB196620 DJX196620 DTT196620 EDP196620 ENL196620 EXH196620 FHD196620 FQZ196620 GAV196620 GKR196620 GUN196620 HEJ196620 HOF196620 HYB196620 IHX196620 IRT196620 JBP196620 JLL196620 JVH196620 KFD196620 KOZ196620 KYV196620 LIR196620 LSN196620 MCJ196620 MMF196620 MWB196620 NFX196620 NPT196620 NZP196620 OJL196620 OTH196620 PDD196620 PMZ196620 PWV196620 QGR196620 QQN196620 RAJ196620 RKF196620 RUB196620 SDX196620 SNT196620 SXP196620 THL196620 TRH196620 UBD196620 UKZ196620 UUV196620 VER196620 VON196620 VYJ196620 WIF196620 WSB196620 AA262156 FP262156 PL262156 ZH262156 AJD262156 ASZ262156 BCV262156 BMR262156 BWN262156 CGJ262156 CQF262156 DAB262156 DJX262156 DTT262156 EDP262156 ENL262156 EXH262156 FHD262156 FQZ262156 GAV262156 GKR262156 GUN262156 HEJ262156 HOF262156 HYB262156 IHX262156 IRT262156 JBP262156 JLL262156 JVH262156 KFD262156 KOZ262156 KYV262156 LIR262156 LSN262156 MCJ262156 MMF262156 MWB262156 NFX262156 NPT262156 NZP262156 OJL262156 OTH262156 PDD262156 PMZ262156 PWV262156 QGR262156 QQN262156 RAJ262156 RKF262156 RUB262156 SDX262156 SNT262156 SXP262156 THL262156 TRH262156 UBD262156 UKZ262156 UUV262156 VER262156 VON262156 VYJ262156 WIF262156 WSB262156 AA327692 FP327692 PL327692 ZH327692 AJD327692 ASZ327692 BCV327692 BMR327692 BWN327692 CGJ327692 CQF327692 DAB327692 DJX327692 DTT327692 EDP327692 ENL327692 EXH327692 FHD327692 FQZ327692 GAV327692 GKR327692 GUN327692 HEJ327692 HOF327692 HYB327692 IHX327692 IRT327692 JBP327692 JLL327692 JVH327692 KFD327692 KOZ327692 KYV327692 LIR327692 LSN327692 MCJ327692 MMF327692 MWB327692 NFX327692 NPT327692 NZP327692 OJL327692 OTH327692 PDD327692 PMZ327692 PWV327692 QGR327692 QQN327692 RAJ327692 RKF327692 RUB327692 SDX327692 SNT327692 SXP327692 THL327692 TRH327692 UBD327692 UKZ327692 UUV327692 VER327692 VON327692 VYJ327692 WIF327692 WSB327692 AA393228 FP393228 PL393228 ZH393228 AJD393228 ASZ393228 BCV393228 BMR393228 BWN393228 CGJ393228 CQF393228 DAB393228 DJX393228 DTT393228 EDP393228 ENL393228 EXH393228 FHD393228 FQZ393228 GAV393228 GKR393228 GUN393228 HEJ393228 HOF393228 HYB393228 IHX393228 IRT393228 JBP393228 JLL393228 JVH393228 KFD393228 KOZ393228 KYV393228 LIR393228 LSN393228 MCJ393228 MMF393228 MWB393228 NFX393228 NPT393228 NZP393228 OJL393228 OTH393228 PDD393228 PMZ393228 PWV393228 QGR393228 QQN393228 RAJ393228 RKF393228 RUB393228 SDX393228 SNT393228 SXP393228 THL393228 TRH393228 UBD393228 UKZ393228 UUV393228 VER393228 VON393228 VYJ393228 WIF393228 WSB393228 AA458764 FP458764 PL458764 ZH458764 AJD458764 ASZ458764 BCV458764 BMR458764 BWN458764 CGJ458764 CQF458764 DAB458764 DJX458764 DTT458764 EDP458764 ENL458764 EXH458764 FHD458764 FQZ458764 GAV458764 GKR458764 GUN458764 HEJ458764 HOF458764 HYB458764 IHX458764 IRT458764 JBP458764 JLL458764 JVH458764 KFD458764 KOZ458764 KYV458764 LIR458764 LSN458764 MCJ458764 MMF458764 MWB458764 NFX458764 NPT458764 NZP458764 OJL458764 OTH458764 PDD458764 PMZ458764 PWV458764 QGR458764 QQN458764 RAJ458764 RKF458764 RUB458764 SDX458764 SNT458764 SXP458764 THL458764 TRH458764 UBD458764 UKZ458764 UUV458764 VER458764 VON458764 VYJ458764 WIF458764 WSB458764 AA524300 FP524300 PL524300 ZH524300 AJD524300 ASZ524300 BCV524300 BMR524300 BWN524300 CGJ524300 CQF524300 DAB524300 DJX524300 DTT524300 EDP524300 ENL524300 EXH524300 FHD524300 FQZ524300 GAV524300 GKR524300 GUN524300 HEJ524300 HOF524300 HYB524300 IHX524300 IRT524300 JBP524300 JLL524300 JVH524300 KFD524300 KOZ524300 KYV524300 LIR524300 LSN524300 MCJ524300 MMF524300 MWB524300 NFX524300 NPT524300 NZP524300 OJL524300 OTH524300 PDD524300 PMZ524300 PWV524300 QGR524300 QQN524300 RAJ524300 RKF524300 RUB524300 SDX524300 SNT524300 SXP524300 THL524300 TRH524300 UBD524300 UKZ524300 UUV524300 VER524300 VON524300 VYJ524300 WIF524300 WSB524300 AA589836 FP589836 PL589836 ZH589836 AJD589836 ASZ589836 BCV589836 BMR589836 BWN589836 CGJ589836 CQF589836 DAB589836 DJX589836 DTT589836 EDP589836 ENL589836 EXH589836 FHD589836 FQZ589836 GAV589836 GKR589836 GUN589836 HEJ589836 HOF589836 HYB589836 IHX589836 IRT589836 JBP589836 JLL589836 JVH589836 KFD589836 KOZ589836 KYV589836 LIR589836 LSN589836 MCJ589836 MMF589836 MWB589836 NFX589836 NPT589836 NZP589836 OJL589836 OTH589836 PDD589836 PMZ589836 PWV589836 QGR589836 QQN589836 RAJ589836 RKF589836 RUB589836 SDX589836 SNT589836 SXP589836 THL589836 TRH589836 UBD589836 UKZ589836 UUV589836 VER589836 VON589836 VYJ589836 WIF589836 WSB589836 AA655372 FP655372 PL655372 ZH655372 AJD655372 ASZ655372 BCV655372 BMR655372 BWN655372 CGJ655372 CQF655372 DAB655372 DJX655372 DTT655372 EDP655372 ENL655372 EXH655372 FHD655372 FQZ655372 GAV655372 GKR655372 GUN655372 HEJ655372 HOF655372 HYB655372 IHX655372 IRT655372 JBP655372 JLL655372 JVH655372 KFD655372 KOZ655372 KYV655372 LIR655372 LSN655372 MCJ655372 MMF655372 MWB655372 NFX655372 NPT655372 NZP655372 OJL655372 OTH655372 PDD655372 PMZ655372 PWV655372 QGR655372 QQN655372 RAJ655372 RKF655372 RUB655372 SDX655372 SNT655372 SXP655372 THL655372 TRH655372 UBD655372 UKZ655372 UUV655372 VER655372 VON655372 VYJ655372 WIF655372 WSB655372 AA720908 FP720908 PL720908 ZH720908 AJD720908 ASZ720908 BCV720908 BMR720908 BWN720908 CGJ720908 CQF720908 DAB720908 DJX720908 DTT720908 EDP720908 ENL720908 EXH720908 FHD720908 FQZ720908 GAV720908 GKR720908 GUN720908 HEJ720908 HOF720908 HYB720908 IHX720908 IRT720908 JBP720908 JLL720908 JVH720908 KFD720908 KOZ720908 KYV720908 LIR720908 LSN720908 MCJ720908 MMF720908 MWB720908 NFX720908 NPT720908 NZP720908 OJL720908 OTH720908 PDD720908 PMZ720908 PWV720908 QGR720908 QQN720908 RAJ720908 RKF720908 RUB720908 SDX720908 SNT720908 SXP720908 THL720908 TRH720908 UBD720908 UKZ720908 UUV720908 VER720908 VON720908 VYJ720908 WIF720908 WSB720908 AA786444 FP786444 PL786444 ZH786444 AJD786444 ASZ786444 BCV786444 BMR786444 BWN786444 CGJ786444 CQF786444 DAB786444 DJX786444 DTT786444 EDP786444 ENL786444 EXH786444 FHD786444 FQZ786444 GAV786444 GKR786444 GUN786444 HEJ786444 HOF786444 HYB786444 IHX786444 IRT786444 JBP786444 JLL786444 JVH786444 KFD786444 KOZ786444 KYV786444 LIR786444 LSN786444 MCJ786444 MMF786444 MWB786444 NFX786444 NPT786444 NZP786444 OJL786444 OTH786444 PDD786444 PMZ786444 PWV786444 QGR786444 QQN786444 RAJ786444 RKF786444 RUB786444 SDX786444 SNT786444 SXP786444 THL786444 TRH786444 UBD786444 UKZ786444 UUV786444 VER786444 VON786444 VYJ786444 WIF786444 WSB786444 AA851980 FP851980 PL851980 ZH851980 AJD851980 ASZ851980 BCV851980 BMR851980 BWN851980 CGJ851980 CQF851980 DAB851980 DJX851980 DTT851980 EDP851980 ENL851980 EXH851980 FHD851980 FQZ851980 GAV851980 GKR851980 GUN851980 HEJ851980 HOF851980 HYB851980 IHX851980 IRT851980 JBP851980 JLL851980 JVH851980 KFD851980 KOZ851980 KYV851980 LIR851980 LSN851980 MCJ851980 MMF851980 MWB851980 NFX851980 NPT851980 NZP851980 OJL851980 OTH851980 PDD851980 PMZ851980 PWV851980 QGR851980 QQN851980 RAJ851980 RKF851980 RUB851980 SDX851980 SNT851980 SXP851980 THL851980 TRH851980 UBD851980 UKZ851980 UUV851980 VER851980 VON851980 VYJ851980 WIF851980 WSB851980 AA917516 FP917516 PL917516 ZH917516 AJD917516 ASZ917516 BCV917516 BMR917516 BWN917516 CGJ917516 CQF917516 DAB917516 DJX917516 DTT917516 EDP917516 ENL917516 EXH917516 FHD917516 FQZ917516 GAV917516 GKR917516 GUN917516 HEJ917516 HOF917516 HYB917516 IHX917516 IRT917516 JBP917516 JLL917516 JVH917516 KFD917516 KOZ917516 KYV917516 LIR917516 LSN917516 MCJ917516 MMF917516 MWB917516 NFX917516 NPT917516 NZP917516 OJL917516 OTH917516 PDD917516 PMZ917516 PWV917516 QGR917516 QQN917516 RAJ917516 RKF917516 RUB917516 SDX917516 SNT917516 SXP917516 THL917516 TRH917516 UBD917516 UKZ917516 UUV917516 VER917516 VON917516 VYJ917516 WIF917516 WSB917516 AA983052 FP983052 PL983052 ZH983052 AJD983052 ASZ983052 BCV983052 BMR983052 BWN983052 CGJ983052 CQF983052 DAB983052 DJX983052 DTT983052 EDP983052 ENL983052 EXH983052 FHD983052 FQZ983052 GAV983052 GKR983052 GUN983052 HEJ983052 HOF983052 HYB983052 IHX983052 IRT983052 JBP983052 JLL983052 JVH983052 KFD983052 KOZ983052 KYV983052 LIR983052 LSN983052 MCJ983052 MMF983052 MWB983052 NFX983052 NPT983052 NZP983052 OJL983052 OTH983052 PDD983052 PMZ983052 PWV983052 QGR983052 QQN983052 RAJ983052 RKF983052 RUB983052 SDX983052 SNT983052 SXP983052 THL983052 TRH983052 UBD983052 UKZ983052 UUV983052 VER983052 VON983052 VYJ983052 T983052:Y983052 T917516:Y917516 T851980:Y851980 T786444:Y786444 T720908:Y720908 T655372:Y655372 T589836:Y589836 T524300:Y524300 T458764:Y458764 T393228:Y393228 T327692:Y327692 T262156:Y262156 T196620:Y196620 T131084:Y131084 T65548:Y65548" xr:uid="{19EA6E63-DCDA-4D83-9607-9776B10CDBCF}">
      <formula1>"Ｍ３（部長）,Ｍ２（Ｍ）,Ｍ１（ＰＭ）,Ｓ２,Ｓ１,Ｒ４,Ｒ３,Ｒ２,Ｒ１"</formula1>
    </dataValidation>
  </dataValidations>
  <pageMargins left="0.70866141732283472" right="0.31496062992125984" top="0.55118110236220474" bottom="0.35433070866141736" header="0.31496062992125984" footer="0.31496062992125984"/>
  <pageSetup paperSize="9" scale="45"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8882-092C-4759-B7AF-8A512E965132}">
  <sheetPr>
    <pageSetUpPr fitToPage="1"/>
  </sheetPr>
  <dimension ref="A1:BR55"/>
  <sheetViews>
    <sheetView zoomScale="50" zoomScaleNormal="50" workbookViewId="0">
      <selection activeCell="AM1" sqref="AM1:AR1"/>
    </sheetView>
  </sheetViews>
  <sheetFormatPr defaultColWidth="3.5" defaultRowHeight="13.15"/>
  <cols>
    <col min="1" max="1" width="5.83203125" style="83" customWidth="1"/>
    <col min="2" max="7" width="8.83203125" style="82" customWidth="1"/>
    <col min="8" max="25" width="6.83203125" style="82" customWidth="1"/>
    <col min="26" max="26" width="9.5" style="82" customWidth="1"/>
    <col min="27" max="44" width="6.83203125" style="82" customWidth="1"/>
    <col min="45" max="47" width="3.5" style="82"/>
    <col min="48" max="69" width="5.83203125" style="82" customWidth="1"/>
    <col min="70" max="177" width="3.5" style="82"/>
    <col min="178" max="195" width="5.83203125" style="82" customWidth="1"/>
    <col min="196" max="196" width="7.33203125" style="82" customWidth="1"/>
    <col min="197" max="206" width="5.83203125" style="82" customWidth="1"/>
    <col min="207" max="207" width="9.5" style="82" customWidth="1"/>
    <col min="208" max="225" width="5.83203125" style="82" customWidth="1"/>
    <col min="226" max="433" width="3.5" style="82"/>
    <col min="434" max="451" width="5.83203125" style="82" customWidth="1"/>
    <col min="452" max="452" width="7.33203125" style="82" customWidth="1"/>
    <col min="453" max="462" width="5.83203125" style="82" customWidth="1"/>
    <col min="463" max="463" width="9.5" style="82" customWidth="1"/>
    <col min="464" max="481" width="5.83203125" style="82" customWidth="1"/>
    <col min="482" max="689" width="3.5" style="82"/>
    <col min="690" max="707" width="5.83203125" style="82" customWidth="1"/>
    <col min="708" max="708" width="7.33203125" style="82" customWidth="1"/>
    <col min="709" max="718" width="5.83203125" style="82" customWidth="1"/>
    <col min="719" max="719" width="9.5" style="82" customWidth="1"/>
    <col min="720" max="737" width="5.83203125" style="82" customWidth="1"/>
    <col min="738" max="945" width="3.5" style="82"/>
    <col min="946" max="963" width="5.83203125" style="82" customWidth="1"/>
    <col min="964" max="964" width="7.33203125" style="82" customWidth="1"/>
    <col min="965" max="974" width="5.83203125" style="82" customWidth="1"/>
    <col min="975" max="975" width="9.5" style="82" customWidth="1"/>
    <col min="976" max="993" width="5.83203125" style="82" customWidth="1"/>
    <col min="994" max="1201" width="3.5" style="82"/>
    <col min="1202" max="1219" width="5.83203125" style="82" customWidth="1"/>
    <col min="1220" max="1220" width="7.33203125" style="82" customWidth="1"/>
    <col min="1221" max="1230" width="5.83203125" style="82" customWidth="1"/>
    <col min="1231" max="1231" width="9.5" style="82" customWidth="1"/>
    <col min="1232" max="1249" width="5.83203125" style="82" customWidth="1"/>
    <col min="1250" max="1457" width="3.5" style="82"/>
    <col min="1458" max="1475" width="5.83203125" style="82" customWidth="1"/>
    <col min="1476" max="1476" width="7.33203125" style="82" customWidth="1"/>
    <col min="1477" max="1486" width="5.83203125" style="82" customWidth="1"/>
    <col min="1487" max="1487" width="9.5" style="82" customWidth="1"/>
    <col min="1488" max="1505" width="5.83203125" style="82" customWidth="1"/>
    <col min="1506" max="1713" width="3.5" style="82"/>
    <col min="1714" max="1731" width="5.83203125" style="82" customWidth="1"/>
    <col min="1732" max="1732" width="7.33203125" style="82" customWidth="1"/>
    <col min="1733" max="1742" width="5.83203125" style="82" customWidth="1"/>
    <col min="1743" max="1743" width="9.5" style="82" customWidth="1"/>
    <col min="1744" max="1761" width="5.83203125" style="82" customWidth="1"/>
    <col min="1762" max="1969" width="3.5" style="82"/>
    <col min="1970" max="1987" width="5.83203125" style="82" customWidth="1"/>
    <col min="1988" max="1988" width="7.33203125" style="82" customWidth="1"/>
    <col min="1989" max="1998" width="5.83203125" style="82" customWidth="1"/>
    <col min="1999" max="1999" width="9.5" style="82" customWidth="1"/>
    <col min="2000" max="2017" width="5.83203125" style="82" customWidth="1"/>
    <col min="2018" max="2225" width="3.5" style="82"/>
    <col min="2226" max="2243" width="5.83203125" style="82" customWidth="1"/>
    <col min="2244" max="2244" width="7.33203125" style="82" customWidth="1"/>
    <col min="2245" max="2254" width="5.83203125" style="82" customWidth="1"/>
    <col min="2255" max="2255" width="9.5" style="82" customWidth="1"/>
    <col min="2256" max="2273" width="5.83203125" style="82" customWidth="1"/>
    <col min="2274" max="2481" width="3.5" style="82"/>
    <col min="2482" max="2499" width="5.83203125" style="82" customWidth="1"/>
    <col min="2500" max="2500" width="7.33203125" style="82" customWidth="1"/>
    <col min="2501" max="2510" width="5.83203125" style="82" customWidth="1"/>
    <col min="2511" max="2511" width="9.5" style="82" customWidth="1"/>
    <col min="2512" max="2529" width="5.83203125" style="82" customWidth="1"/>
    <col min="2530" max="2737" width="3.5" style="82"/>
    <col min="2738" max="2755" width="5.83203125" style="82" customWidth="1"/>
    <col min="2756" max="2756" width="7.33203125" style="82" customWidth="1"/>
    <col min="2757" max="2766" width="5.83203125" style="82" customWidth="1"/>
    <col min="2767" max="2767" width="9.5" style="82" customWidth="1"/>
    <col min="2768" max="2785" width="5.83203125" style="82" customWidth="1"/>
    <col min="2786" max="2993" width="3.5" style="82"/>
    <col min="2994" max="3011" width="5.83203125" style="82" customWidth="1"/>
    <col min="3012" max="3012" width="7.33203125" style="82" customWidth="1"/>
    <col min="3013" max="3022" width="5.83203125" style="82" customWidth="1"/>
    <col min="3023" max="3023" width="9.5" style="82" customWidth="1"/>
    <col min="3024" max="3041" width="5.83203125" style="82" customWidth="1"/>
    <col min="3042" max="3249" width="3.5" style="82"/>
    <col min="3250" max="3267" width="5.83203125" style="82" customWidth="1"/>
    <col min="3268" max="3268" width="7.33203125" style="82" customWidth="1"/>
    <col min="3269" max="3278" width="5.83203125" style="82" customWidth="1"/>
    <col min="3279" max="3279" width="9.5" style="82" customWidth="1"/>
    <col min="3280" max="3297" width="5.83203125" style="82" customWidth="1"/>
    <col min="3298" max="3505" width="3.5" style="82"/>
    <col min="3506" max="3523" width="5.83203125" style="82" customWidth="1"/>
    <col min="3524" max="3524" width="7.33203125" style="82" customWidth="1"/>
    <col min="3525" max="3534" width="5.83203125" style="82" customWidth="1"/>
    <col min="3535" max="3535" width="9.5" style="82" customWidth="1"/>
    <col min="3536" max="3553" width="5.83203125" style="82" customWidth="1"/>
    <col min="3554" max="3761" width="3.5" style="82"/>
    <col min="3762" max="3779" width="5.83203125" style="82" customWidth="1"/>
    <col min="3780" max="3780" width="7.33203125" style="82" customWidth="1"/>
    <col min="3781" max="3790" width="5.83203125" style="82" customWidth="1"/>
    <col min="3791" max="3791" width="9.5" style="82" customWidth="1"/>
    <col min="3792" max="3809" width="5.83203125" style="82" customWidth="1"/>
    <col min="3810" max="4017" width="3.5" style="82"/>
    <col min="4018" max="4035" width="5.83203125" style="82" customWidth="1"/>
    <col min="4036" max="4036" width="7.33203125" style="82" customWidth="1"/>
    <col min="4037" max="4046" width="5.83203125" style="82" customWidth="1"/>
    <col min="4047" max="4047" width="9.5" style="82" customWidth="1"/>
    <col min="4048" max="4065" width="5.83203125" style="82" customWidth="1"/>
    <col min="4066" max="4273" width="3.5" style="82"/>
    <col min="4274" max="4291" width="5.83203125" style="82" customWidth="1"/>
    <col min="4292" max="4292" width="7.33203125" style="82" customWidth="1"/>
    <col min="4293" max="4302" width="5.83203125" style="82" customWidth="1"/>
    <col min="4303" max="4303" width="9.5" style="82" customWidth="1"/>
    <col min="4304" max="4321" width="5.83203125" style="82" customWidth="1"/>
    <col min="4322" max="4529" width="3.5" style="82"/>
    <col min="4530" max="4547" width="5.83203125" style="82" customWidth="1"/>
    <col min="4548" max="4548" width="7.33203125" style="82" customWidth="1"/>
    <col min="4549" max="4558" width="5.83203125" style="82" customWidth="1"/>
    <col min="4559" max="4559" width="9.5" style="82" customWidth="1"/>
    <col min="4560" max="4577" width="5.83203125" style="82" customWidth="1"/>
    <col min="4578" max="4785" width="3.5" style="82"/>
    <col min="4786" max="4803" width="5.83203125" style="82" customWidth="1"/>
    <col min="4804" max="4804" width="7.33203125" style="82" customWidth="1"/>
    <col min="4805" max="4814" width="5.83203125" style="82" customWidth="1"/>
    <col min="4815" max="4815" width="9.5" style="82" customWidth="1"/>
    <col min="4816" max="4833" width="5.83203125" style="82" customWidth="1"/>
    <col min="4834" max="5041" width="3.5" style="82"/>
    <col min="5042" max="5059" width="5.83203125" style="82" customWidth="1"/>
    <col min="5060" max="5060" width="7.33203125" style="82" customWidth="1"/>
    <col min="5061" max="5070" width="5.83203125" style="82" customWidth="1"/>
    <col min="5071" max="5071" width="9.5" style="82" customWidth="1"/>
    <col min="5072" max="5089" width="5.83203125" style="82" customWidth="1"/>
    <col min="5090" max="5297" width="3.5" style="82"/>
    <col min="5298" max="5315" width="5.83203125" style="82" customWidth="1"/>
    <col min="5316" max="5316" width="7.33203125" style="82" customWidth="1"/>
    <col min="5317" max="5326" width="5.83203125" style="82" customWidth="1"/>
    <col min="5327" max="5327" width="9.5" style="82" customWidth="1"/>
    <col min="5328" max="5345" width="5.83203125" style="82" customWidth="1"/>
    <col min="5346" max="5553" width="3.5" style="82"/>
    <col min="5554" max="5571" width="5.83203125" style="82" customWidth="1"/>
    <col min="5572" max="5572" width="7.33203125" style="82" customWidth="1"/>
    <col min="5573" max="5582" width="5.83203125" style="82" customWidth="1"/>
    <col min="5583" max="5583" width="9.5" style="82" customWidth="1"/>
    <col min="5584" max="5601" width="5.83203125" style="82" customWidth="1"/>
    <col min="5602" max="5809" width="3.5" style="82"/>
    <col min="5810" max="5827" width="5.83203125" style="82" customWidth="1"/>
    <col min="5828" max="5828" width="7.33203125" style="82" customWidth="1"/>
    <col min="5829" max="5838" width="5.83203125" style="82" customWidth="1"/>
    <col min="5839" max="5839" width="9.5" style="82" customWidth="1"/>
    <col min="5840" max="5857" width="5.83203125" style="82" customWidth="1"/>
    <col min="5858" max="6065" width="3.5" style="82"/>
    <col min="6066" max="6083" width="5.83203125" style="82" customWidth="1"/>
    <col min="6084" max="6084" width="7.33203125" style="82" customWidth="1"/>
    <col min="6085" max="6094" width="5.83203125" style="82" customWidth="1"/>
    <col min="6095" max="6095" width="9.5" style="82" customWidth="1"/>
    <col min="6096" max="6113" width="5.83203125" style="82" customWidth="1"/>
    <col min="6114" max="6321" width="3.5" style="82"/>
    <col min="6322" max="6339" width="5.83203125" style="82" customWidth="1"/>
    <col min="6340" max="6340" width="7.33203125" style="82" customWidth="1"/>
    <col min="6341" max="6350" width="5.83203125" style="82" customWidth="1"/>
    <col min="6351" max="6351" width="9.5" style="82" customWidth="1"/>
    <col min="6352" max="6369" width="5.83203125" style="82" customWidth="1"/>
    <col min="6370" max="6577" width="3.5" style="82"/>
    <col min="6578" max="6595" width="5.83203125" style="82" customWidth="1"/>
    <col min="6596" max="6596" width="7.33203125" style="82" customWidth="1"/>
    <col min="6597" max="6606" width="5.83203125" style="82" customWidth="1"/>
    <col min="6607" max="6607" width="9.5" style="82" customWidth="1"/>
    <col min="6608" max="6625" width="5.83203125" style="82" customWidth="1"/>
    <col min="6626" max="6833" width="3.5" style="82"/>
    <col min="6834" max="6851" width="5.83203125" style="82" customWidth="1"/>
    <col min="6852" max="6852" width="7.33203125" style="82" customWidth="1"/>
    <col min="6853" max="6862" width="5.83203125" style="82" customWidth="1"/>
    <col min="6863" max="6863" width="9.5" style="82" customWidth="1"/>
    <col min="6864" max="6881" width="5.83203125" style="82" customWidth="1"/>
    <col min="6882" max="7089" width="3.5" style="82"/>
    <col min="7090" max="7107" width="5.83203125" style="82" customWidth="1"/>
    <col min="7108" max="7108" width="7.33203125" style="82" customWidth="1"/>
    <col min="7109" max="7118" width="5.83203125" style="82" customWidth="1"/>
    <col min="7119" max="7119" width="9.5" style="82" customWidth="1"/>
    <col min="7120" max="7137" width="5.83203125" style="82" customWidth="1"/>
    <col min="7138" max="7345" width="3.5" style="82"/>
    <col min="7346" max="7363" width="5.83203125" style="82" customWidth="1"/>
    <col min="7364" max="7364" width="7.33203125" style="82" customWidth="1"/>
    <col min="7365" max="7374" width="5.83203125" style="82" customWidth="1"/>
    <col min="7375" max="7375" width="9.5" style="82" customWidth="1"/>
    <col min="7376" max="7393" width="5.83203125" style="82" customWidth="1"/>
    <col min="7394" max="7601" width="3.5" style="82"/>
    <col min="7602" max="7619" width="5.83203125" style="82" customWidth="1"/>
    <col min="7620" max="7620" width="7.33203125" style="82" customWidth="1"/>
    <col min="7621" max="7630" width="5.83203125" style="82" customWidth="1"/>
    <col min="7631" max="7631" width="9.5" style="82" customWidth="1"/>
    <col min="7632" max="7649" width="5.83203125" style="82" customWidth="1"/>
    <col min="7650" max="7857" width="3.5" style="82"/>
    <col min="7858" max="7875" width="5.83203125" style="82" customWidth="1"/>
    <col min="7876" max="7876" width="7.33203125" style="82" customWidth="1"/>
    <col min="7877" max="7886" width="5.83203125" style="82" customWidth="1"/>
    <col min="7887" max="7887" width="9.5" style="82" customWidth="1"/>
    <col min="7888" max="7905" width="5.83203125" style="82" customWidth="1"/>
    <col min="7906" max="8113" width="3.5" style="82"/>
    <col min="8114" max="8131" width="5.83203125" style="82" customWidth="1"/>
    <col min="8132" max="8132" width="7.33203125" style="82" customWidth="1"/>
    <col min="8133" max="8142" width="5.83203125" style="82" customWidth="1"/>
    <col min="8143" max="8143" width="9.5" style="82" customWidth="1"/>
    <col min="8144" max="8161" width="5.83203125" style="82" customWidth="1"/>
    <col min="8162" max="8369" width="3.5" style="82"/>
    <col min="8370" max="8387" width="5.83203125" style="82" customWidth="1"/>
    <col min="8388" max="8388" width="7.33203125" style="82" customWidth="1"/>
    <col min="8389" max="8398" width="5.83203125" style="82" customWidth="1"/>
    <col min="8399" max="8399" width="9.5" style="82" customWidth="1"/>
    <col min="8400" max="8417" width="5.83203125" style="82" customWidth="1"/>
    <col min="8418" max="8625" width="3.5" style="82"/>
    <col min="8626" max="8643" width="5.83203125" style="82" customWidth="1"/>
    <col min="8644" max="8644" width="7.33203125" style="82" customWidth="1"/>
    <col min="8645" max="8654" width="5.83203125" style="82" customWidth="1"/>
    <col min="8655" max="8655" width="9.5" style="82" customWidth="1"/>
    <col min="8656" max="8673" width="5.83203125" style="82" customWidth="1"/>
    <col min="8674" max="8881" width="3.5" style="82"/>
    <col min="8882" max="8899" width="5.83203125" style="82" customWidth="1"/>
    <col min="8900" max="8900" width="7.33203125" style="82" customWidth="1"/>
    <col min="8901" max="8910" width="5.83203125" style="82" customWidth="1"/>
    <col min="8911" max="8911" width="9.5" style="82" customWidth="1"/>
    <col min="8912" max="8929" width="5.83203125" style="82" customWidth="1"/>
    <col min="8930" max="9137" width="3.5" style="82"/>
    <col min="9138" max="9155" width="5.83203125" style="82" customWidth="1"/>
    <col min="9156" max="9156" width="7.33203125" style="82" customWidth="1"/>
    <col min="9157" max="9166" width="5.83203125" style="82" customWidth="1"/>
    <col min="9167" max="9167" width="9.5" style="82" customWidth="1"/>
    <col min="9168" max="9185" width="5.83203125" style="82" customWidth="1"/>
    <col min="9186" max="9393" width="3.5" style="82"/>
    <col min="9394" max="9411" width="5.83203125" style="82" customWidth="1"/>
    <col min="9412" max="9412" width="7.33203125" style="82" customWidth="1"/>
    <col min="9413" max="9422" width="5.83203125" style="82" customWidth="1"/>
    <col min="9423" max="9423" width="9.5" style="82" customWidth="1"/>
    <col min="9424" max="9441" width="5.83203125" style="82" customWidth="1"/>
    <col min="9442" max="9649" width="3.5" style="82"/>
    <col min="9650" max="9667" width="5.83203125" style="82" customWidth="1"/>
    <col min="9668" max="9668" width="7.33203125" style="82" customWidth="1"/>
    <col min="9669" max="9678" width="5.83203125" style="82" customWidth="1"/>
    <col min="9679" max="9679" width="9.5" style="82" customWidth="1"/>
    <col min="9680" max="9697" width="5.83203125" style="82" customWidth="1"/>
    <col min="9698" max="9905" width="3.5" style="82"/>
    <col min="9906" max="9923" width="5.83203125" style="82" customWidth="1"/>
    <col min="9924" max="9924" width="7.33203125" style="82" customWidth="1"/>
    <col min="9925" max="9934" width="5.83203125" style="82" customWidth="1"/>
    <col min="9935" max="9935" width="9.5" style="82" customWidth="1"/>
    <col min="9936" max="9953" width="5.83203125" style="82" customWidth="1"/>
    <col min="9954" max="10161" width="3.5" style="82"/>
    <col min="10162" max="10179" width="5.83203125" style="82" customWidth="1"/>
    <col min="10180" max="10180" width="7.33203125" style="82" customWidth="1"/>
    <col min="10181" max="10190" width="5.83203125" style="82" customWidth="1"/>
    <col min="10191" max="10191" width="9.5" style="82" customWidth="1"/>
    <col min="10192" max="10209" width="5.83203125" style="82" customWidth="1"/>
    <col min="10210" max="10417" width="3.5" style="82"/>
    <col min="10418" max="10435" width="5.83203125" style="82" customWidth="1"/>
    <col min="10436" max="10436" width="7.33203125" style="82" customWidth="1"/>
    <col min="10437" max="10446" width="5.83203125" style="82" customWidth="1"/>
    <col min="10447" max="10447" width="9.5" style="82" customWidth="1"/>
    <col min="10448" max="10465" width="5.83203125" style="82" customWidth="1"/>
    <col min="10466" max="10673" width="3.5" style="82"/>
    <col min="10674" max="10691" width="5.83203125" style="82" customWidth="1"/>
    <col min="10692" max="10692" width="7.33203125" style="82" customWidth="1"/>
    <col min="10693" max="10702" width="5.83203125" style="82" customWidth="1"/>
    <col min="10703" max="10703" width="9.5" style="82" customWidth="1"/>
    <col min="10704" max="10721" width="5.83203125" style="82" customWidth="1"/>
    <col min="10722" max="10929" width="3.5" style="82"/>
    <col min="10930" max="10947" width="5.83203125" style="82" customWidth="1"/>
    <col min="10948" max="10948" width="7.33203125" style="82" customWidth="1"/>
    <col min="10949" max="10958" width="5.83203125" style="82" customWidth="1"/>
    <col min="10959" max="10959" width="9.5" style="82" customWidth="1"/>
    <col min="10960" max="10977" width="5.83203125" style="82" customWidth="1"/>
    <col min="10978" max="11185" width="3.5" style="82"/>
    <col min="11186" max="11203" width="5.83203125" style="82" customWidth="1"/>
    <col min="11204" max="11204" width="7.33203125" style="82" customWidth="1"/>
    <col min="11205" max="11214" width="5.83203125" style="82" customWidth="1"/>
    <col min="11215" max="11215" width="9.5" style="82" customWidth="1"/>
    <col min="11216" max="11233" width="5.83203125" style="82" customWidth="1"/>
    <col min="11234" max="11441" width="3.5" style="82"/>
    <col min="11442" max="11459" width="5.83203125" style="82" customWidth="1"/>
    <col min="11460" max="11460" width="7.33203125" style="82" customWidth="1"/>
    <col min="11461" max="11470" width="5.83203125" style="82" customWidth="1"/>
    <col min="11471" max="11471" width="9.5" style="82" customWidth="1"/>
    <col min="11472" max="11489" width="5.83203125" style="82" customWidth="1"/>
    <col min="11490" max="11697" width="3.5" style="82"/>
    <col min="11698" max="11715" width="5.83203125" style="82" customWidth="1"/>
    <col min="11716" max="11716" width="7.33203125" style="82" customWidth="1"/>
    <col min="11717" max="11726" width="5.83203125" style="82" customWidth="1"/>
    <col min="11727" max="11727" width="9.5" style="82" customWidth="1"/>
    <col min="11728" max="11745" width="5.83203125" style="82" customWidth="1"/>
    <col min="11746" max="11953" width="3.5" style="82"/>
    <col min="11954" max="11971" width="5.83203125" style="82" customWidth="1"/>
    <col min="11972" max="11972" width="7.33203125" style="82" customWidth="1"/>
    <col min="11973" max="11982" width="5.83203125" style="82" customWidth="1"/>
    <col min="11983" max="11983" width="9.5" style="82" customWidth="1"/>
    <col min="11984" max="12001" width="5.83203125" style="82" customWidth="1"/>
    <col min="12002" max="12209" width="3.5" style="82"/>
    <col min="12210" max="12227" width="5.83203125" style="82" customWidth="1"/>
    <col min="12228" max="12228" width="7.33203125" style="82" customWidth="1"/>
    <col min="12229" max="12238" width="5.83203125" style="82" customWidth="1"/>
    <col min="12239" max="12239" width="9.5" style="82" customWidth="1"/>
    <col min="12240" max="12257" width="5.83203125" style="82" customWidth="1"/>
    <col min="12258" max="12465" width="3.5" style="82"/>
    <col min="12466" max="12483" width="5.83203125" style="82" customWidth="1"/>
    <col min="12484" max="12484" width="7.33203125" style="82" customWidth="1"/>
    <col min="12485" max="12494" width="5.83203125" style="82" customWidth="1"/>
    <col min="12495" max="12495" width="9.5" style="82" customWidth="1"/>
    <col min="12496" max="12513" width="5.83203125" style="82" customWidth="1"/>
    <col min="12514" max="12721" width="3.5" style="82"/>
    <col min="12722" max="12739" width="5.83203125" style="82" customWidth="1"/>
    <col min="12740" max="12740" width="7.33203125" style="82" customWidth="1"/>
    <col min="12741" max="12750" width="5.83203125" style="82" customWidth="1"/>
    <col min="12751" max="12751" width="9.5" style="82" customWidth="1"/>
    <col min="12752" max="12769" width="5.83203125" style="82" customWidth="1"/>
    <col min="12770" max="12977" width="3.5" style="82"/>
    <col min="12978" max="12995" width="5.83203125" style="82" customWidth="1"/>
    <col min="12996" max="12996" width="7.33203125" style="82" customWidth="1"/>
    <col min="12997" max="13006" width="5.83203125" style="82" customWidth="1"/>
    <col min="13007" max="13007" width="9.5" style="82" customWidth="1"/>
    <col min="13008" max="13025" width="5.83203125" style="82" customWidth="1"/>
    <col min="13026" max="13233" width="3.5" style="82"/>
    <col min="13234" max="13251" width="5.83203125" style="82" customWidth="1"/>
    <col min="13252" max="13252" width="7.33203125" style="82" customWidth="1"/>
    <col min="13253" max="13262" width="5.83203125" style="82" customWidth="1"/>
    <col min="13263" max="13263" width="9.5" style="82" customWidth="1"/>
    <col min="13264" max="13281" width="5.83203125" style="82" customWidth="1"/>
    <col min="13282" max="13489" width="3.5" style="82"/>
    <col min="13490" max="13507" width="5.83203125" style="82" customWidth="1"/>
    <col min="13508" max="13508" width="7.33203125" style="82" customWidth="1"/>
    <col min="13509" max="13518" width="5.83203125" style="82" customWidth="1"/>
    <col min="13519" max="13519" width="9.5" style="82" customWidth="1"/>
    <col min="13520" max="13537" width="5.83203125" style="82" customWidth="1"/>
    <col min="13538" max="13745" width="3.5" style="82"/>
    <col min="13746" max="13763" width="5.83203125" style="82" customWidth="1"/>
    <col min="13764" max="13764" width="7.33203125" style="82" customWidth="1"/>
    <col min="13765" max="13774" width="5.83203125" style="82" customWidth="1"/>
    <col min="13775" max="13775" width="9.5" style="82" customWidth="1"/>
    <col min="13776" max="13793" width="5.83203125" style="82" customWidth="1"/>
    <col min="13794" max="14001" width="3.5" style="82"/>
    <col min="14002" max="14019" width="5.83203125" style="82" customWidth="1"/>
    <col min="14020" max="14020" width="7.33203125" style="82" customWidth="1"/>
    <col min="14021" max="14030" width="5.83203125" style="82" customWidth="1"/>
    <col min="14031" max="14031" width="9.5" style="82" customWidth="1"/>
    <col min="14032" max="14049" width="5.83203125" style="82" customWidth="1"/>
    <col min="14050" max="14257" width="3.5" style="82"/>
    <col min="14258" max="14275" width="5.83203125" style="82" customWidth="1"/>
    <col min="14276" max="14276" width="7.33203125" style="82" customWidth="1"/>
    <col min="14277" max="14286" width="5.83203125" style="82" customWidth="1"/>
    <col min="14287" max="14287" width="9.5" style="82" customWidth="1"/>
    <col min="14288" max="14305" width="5.83203125" style="82" customWidth="1"/>
    <col min="14306" max="14513" width="3.5" style="82"/>
    <col min="14514" max="14531" width="5.83203125" style="82" customWidth="1"/>
    <col min="14532" max="14532" width="7.33203125" style="82" customWidth="1"/>
    <col min="14533" max="14542" width="5.83203125" style="82" customWidth="1"/>
    <col min="14543" max="14543" width="9.5" style="82" customWidth="1"/>
    <col min="14544" max="14561" width="5.83203125" style="82" customWidth="1"/>
    <col min="14562" max="14769" width="3.5" style="82"/>
    <col min="14770" max="14787" width="5.83203125" style="82" customWidth="1"/>
    <col min="14788" max="14788" width="7.33203125" style="82" customWidth="1"/>
    <col min="14789" max="14798" width="5.83203125" style="82" customWidth="1"/>
    <col min="14799" max="14799" width="9.5" style="82" customWidth="1"/>
    <col min="14800" max="14817" width="5.83203125" style="82" customWidth="1"/>
    <col min="14818" max="15025" width="3.5" style="82"/>
    <col min="15026" max="15043" width="5.83203125" style="82" customWidth="1"/>
    <col min="15044" max="15044" width="7.33203125" style="82" customWidth="1"/>
    <col min="15045" max="15054" width="5.83203125" style="82" customWidth="1"/>
    <col min="15055" max="15055" width="9.5" style="82" customWidth="1"/>
    <col min="15056" max="15073" width="5.83203125" style="82" customWidth="1"/>
    <col min="15074" max="15281" width="3.5" style="82"/>
    <col min="15282" max="15299" width="5.83203125" style="82" customWidth="1"/>
    <col min="15300" max="15300" width="7.33203125" style="82" customWidth="1"/>
    <col min="15301" max="15310" width="5.83203125" style="82" customWidth="1"/>
    <col min="15311" max="15311" width="9.5" style="82" customWidth="1"/>
    <col min="15312" max="15329" width="5.83203125" style="82" customWidth="1"/>
    <col min="15330" max="15537" width="3.5" style="82"/>
    <col min="15538" max="15555" width="5.83203125" style="82" customWidth="1"/>
    <col min="15556" max="15556" width="7.33203125" style="82" customWidth="1"/>
    <col min="15557" max="15566" width="5.83203125" style="82" customWidth="1"/>
    <col min="15567" max="15567" width="9.5" style="82" customWidth="1"/>
    <col min="15568" max="15585" width="5.83203125" style="82" customWidth="1"/>
    <col min="15586" max="15793" width="3.5" style="82"/>
    <col min="15794" max="15811" width="5.83203125" style="82" customWidth="1"/>
    <col min="15812" max="15812" width="7.33203125" style="82" customWidth="1"/>
    <col min="15813" max="15822" width="5.83203125" style="82" customWidth="1"/>
    <col min="15823" max="15823" width="9.5" style="82" customWidth="1"/>
    <col min="15824" max="15841" width="5.83203125" style="82" customWidth="1"/>
    <col min="15842" max="16049" width="3.5" style="82"/>
    <col min="16050" max="16067" width="5.83203125" style="82" customWidth="1"/>
    <col min="16068" max="16068" width="7.33203125" style="82" customWidth="1"/>
    <col min="16069" max="16078" width="5.83203125" style="82" customWidth="1"/>
    <col min="16079" max="16079" width="9.5" style="82" customWidth="1"/>
    <col min="16080" max="16097" width="5.83203125" style="82" customWidth="1"/>
    <col min="16098" max="16384" width="3.5" style="82"/>
  </cols>
  <sheetData>
    <row r="1" spans="1:69" s="81" customFormat="1" ht="30" customHeight="1">
      <c r="A1" s="361" t="s">
        <v>282</v>
      </c>
      <c r="B1" s="361"/>
      <c r="C1" s="361"/>
      <c r="D1" s="361"/>
      <c r="E1" s="361"/>
      <c r="F1" s="361"/>
      <c r="G1" s="361"/>
      <c r="H1" s="361"/>
      <c r="I1" s="361"/>
      <c r="J1" s="361"/>
      <c r="K1" s="361"/>
      <c r="L1" s="361"/>
      <c r="M1" s="361"/>
      <c r="N1" s="361"/>
      <c r="O1" s="361"/>
      <c r="Y1" s="571" t="s">
        <v>283</v>
      </c>
      <c r="Z1" s="572"/>
      <c r="AA1" s="572"/>
      <c r="AB1" s="573" t="s">
        <v>331</v>
      </c>
      <c r="AC1" s="573"/>
      <c r="AD1" s="573"/>
      <c r="AE1" s="573"/>
      <c r="AF1" s="573"/>
      <c r="AG1" s="573"/>
      <c r="AH1" s="573"/>
      <c r="AI1" s="574"/>
      <c r="AJ1" s="572" t="s">
        <v>285</v>
      </c>
      <c r="AK1" s="572"/>
      <c r="AL1" s="572"/>
      <c r="AM1" s="573" t="s">
        <v>332</v>
      </c>
      <c r="AN1" s="573"/>
      <c r="AO1" s="573"/>
      <c r="AP1" s="573"/>
      <c r="AQ1" s="573"/>
      <c r="AR1" s="575"/>
    </row>
    <row r="2" spans="1:69" s="83" customFormat="1" ht="30" customHeight="1" thickBot="1">
      <c r="A2" s="361"/>
      <c r="B2" s="361"/>
      <c r="C2" s="361"/>
      <c r="D2" s="361"/>
      <c r="E2" s="361"/>
      <c r="F2" s="361"/>
      <c r="G2" s="361"/>
      <c r="H2" s="361"/>
      <c r="I2" s="361"/>
      <c r="J2" s="361"/>
      <c r="K2" s="361"/>
      <c r="L2" s="361"/>
      <c r="M2" s="361"/>
      <c r="N2" s="361"/>
      <c r="O2" s="361"/>
      <c r="Y2" s="576" t="s">
        <v>287</v>
      </c>
      <c r="Z2" s="577"/>
      <c r="AA2" s="577"/>
      <c r="AB2" s="578" t="s">
        <v>333</v>
      </c>
      <c r="AC2" s="578"/>
      <c r="AD2" s="578"/>
      <c r="AE2" s="578"/>
      <c r="AF2" s="578"/>
      <c r="AG2" s="578"/>
      <c r="AH2" s="578"/>
      <c r="AI2" s="579"/>
      <c r="AJ2" s="580" t="s">
        <v>288</v>
      </c>
      <c r="AK2" s="581"/>
      <c r="AL2" s="582"/>
      <c r="AM2" s="583" t="s">
        <v>334</v>
      </c>
      <c r="AN2" s="583"/>
      <c r="AO2" s="583"/>
      <c r="AP2" s="583"/>
      <c r="AQ2" s="583"/>
      <c r="AR2" s="584"/>
    </row>
    <row r="3" spans="1:69" s="83" customFormat="1" ht="30" customHeight="1" thickBot="1">
      <c r="A3" s="159"/>
      <c r="B3" s="159"/>
      <c r="C3" s="159"/>
      <c r="D3" s="159"/>
      <c r="E3" s="159"/>
      <c r="F3" s="159"/>
      <c r="G3" s="159"/>
      <c r="H3" s="159"/>
      <c r="I3" s="159"/>
      <c r="J3" s="159"/>
      <c r="K3" s="159"/>
      <c r="L3" s="159"/>
      <c r="M3" s="159"/>
      <c r="N3" s="159"/>
      <c r="O3" s="159"/>
      <c r="Y3" s="525" t="s">
        <v>289</v>
      </c>
      <c r="Z3" s="526"/>
      <c r="AA3" s="526"/>
      <c r="AB3" s="526"/>
      <c r="AC3" s="526"/>
      <c r="AD3" s="527"/>
      <c r="AE3" s="528">
        <v>44554</v>
      </c>
      <c r="AF3" s="529"/>
      <c r="AG3" s="529"/>
      <c r="AH3" s="529"/>
      <c r="AI3" s="530"/>
      <c r="AJ3" s="531" t="s">
        <v>290</v>
      </c>
      <c r="AK3" s="532"/>
      <c r="AL3" s="533"/>
      <c r="AM3" s="534" t="s">
        <v>335</v>
      </c>
      <c r="AN3" s="535"/>
      <c r="AO3" s="535"/>
      <c r="AP3" s="535"/>
      <c r="AQ3" s="535"/>
      <c r="AR3" s="536"/>
    </row>
    <row r="4" spans="1:69" s="83" customFormat="1" ht="30.75" customHeight="1" thickBot="1">
      <c r="A4" s="537" t="s">
        <v>291</v>
      </c>
      <c r="B4" s="537"/>
      <c r="C4" s="537"/>
      <c r="D4" s="537"/>
      <c r="E4" s="537"/>
      <c r="S4" s="84"/>
      <c r="T4" s="84"/>
      <c r="U4" s="84"/>
      <c r="V4" s="84"/>
      <c r="W4" s="84"/>
      <c r="X4" s="84"/>
      <c r="Y4" s="84"/>
      <c r="Z4" s="84"/>
      <c r="AA4" s="84"/>
      <c r="AB4" s="84"/>
      <c r="AC4" s="84"/>
      <c r="AD4" s="84"/>
      <c r="AE4" s="84"/>
      <c r="AF4" s="84"/>
      <c r="AG4" s="84"/>
      <c r="AH4" s="84"/>
      <c r="AI4" s="84"/>
      <c r="AJ4" s="84"/>
      <c r="AK4" s="82"/>
    </row>
    <row r="5" spans="1:69" s="83" customFormat="1" ht="24" customHeight="1">
      <c r="A5" s="538" t="s">
        <v>292</v>
      </c>
      <c r="B5" s="539"/>
      <c r="C5" s="539"/>
      <c r="D5" s="539"/>
      <c r="E5" s="539"/>
      <c r="F5" s="539"/>
      <c r="G5" s="539"/>
      <c r="H5" s="539"/>
      <c r="I5" s="539"/>
      <c r="J5" s="539"/>
      <c r="K5" s="539"/>
      <c r="L5" s="539"/>
      <c r="M5" s="539"/>
      <c r="N5" s="539"/>
      <c r="O5" s="539"/>
      <c r="P5" s="539"/>
      <c r="Q5" s="539"/>
      <c r="R5" s="539"/>
      <c r="S5" s="539"/>
      <c r="T5" s="539"/>
      <c r="U5" s="539"/>
      <c r="V5" s="539"/>
      <c r="W5" s="539"/>
      <c r="X5" s="539"/>
      <c r="Y5" s="539"/>
      <c r="Z5" s="540"/>
      <c r="AA5" s="541" t="s">
        <v>293</v>
      </c>
      <c r="AB5" s="542"/>
      <c r="AC5" s="542"/>
      <c r="AD5" s="542"/>
      <c r="AE5" s="542"/>
      <c r="AF5" s="542"/>
      <c r="AG5" s="542"/>
      <c r="AH5" s="543"/>
      <c r="AI5" s="544" t="s">
        <v>294</v>
      </c>
      <c r="AJ5" s="545"/>
      <c r="AK5" s="545"/>
      <c r="AL5" s="545"/>
      <c r="AM5" s="545"/>
      <c r="AN5" s="545"/>
      <c r="AO5" s="545"/>
      <c r="AP5" s="546"/>
      <c r="AQ5" s="547" t="s">
        <v>295</v>
      </c>
      <c r="AR5" s="548"/>
      <c r="AV5" s="634" t="s">
        <v>336</v>
      </c>
      <c r="AW5" s="634"/>
      <c r="AX5" s="634"/>
      <c r="AY5" s="634"/>
      <c r="AZ5" s="634"/>
      <c r="BA5" s="634"/>
      <c r="BB5" s="634"/>
      <c r="BC5" s="634"/>
      <c r="BD5" s="634"/>
    </row>
    <row r="6" spans="1:69" ht="15.6" customHeight="1">
      <c r="A6" s="374" t="s">
        <v>296</v>
      </c>
      <c r="B6" s="414" t="s">
        <v>297</v>
      </c>
      <c r="C6" s="415"/>
      <c r="D6" s="415"/>
      <c r="E6" s="415"/>
      <c r="F6" s="415"/>
      <c r="G6" s="416"/>
      <c r="H6" s="414" t="s">
        <v>298</v>
      </c>
      <c r="I6" s="415"/>
      <c r="J6" s="415"/>
      <c r="K6" s="415"/>
      <c r="L6" s="415"/>
      <c r="M6" s="415"/>
      <c r="N6" s="415"/>
      <c r="O6" s="415"/>
      <c r="P6" s="416"/>
      <c r="Q6" s="414" t="s">
        <v>299</v>
      </c>
      <c r="R6" s="415"/>
      <c r="S6" s="415"/>
      <c r="T6" s="415"/>
      <c r="U6" s="415"/>
      <c r="V6" s="415"/>
      <c r="W6" s="415"/>
      <c r="X6" s="415"/>
      <c r="Y6" s="416"/>
      <c r="Z6" s="514" t="s">
        <v>300</v>
      </c>
      <c r="AA6" s="517" t="s">
        <v>301</v>
      </c>
      <c r="AB6" s="518"/>
      <c r="AC6" s="518"/>
      <c r="AD6" s="518"/>
      <c r="AE6" s="518"/>
      <c r="AF6" s="518"/>
      <c r="AG6" s="518"/>
      <c r="AH6" s="519"/>
      <c r="AI6" s="520" t="s">
        <v>302</v>
      </c>
      <c r="AJ6" s="521"/>
      <c r="AK6" s="521"/>
      <c r="AL6" s="521"/>
      <c r="AM6" s="521"/>
      <c r="AN6" s="521"/>
      <c r="AO6" s="521"/>
      <c r="AP6" s="522"/>
      <c r="AQ6" s="549"/>
      <c r="AR6" s="550"/>
      <c r="AV6" s="635"/>
      <c r="AW6" s="635"/>
      <c r="AX6" s="635"/>
      <c r="AY6" s="635"/>
      <c r="AZ6" s="635"/>
      <c r="BA6" s="635"/>
      <c r="BB6" s="635"/>
      <c r="BC6" s="635"/>
      <c r="BD6" s="635"/>
      <c r="BE6" s="101"/>
      <c r="BF6" s="101"/>
      <c r="BG6" s="101"/>
      <c r="BH6" s="101"/>
      <c r="BI6" s="101"/>
      <c r="BJ6" s="101"/>
      <c r="BK6" s="101"/>
      <c r="BL6" s="101"/>
      <c r="BM6" s="101"/>
      <c r="BN6" s="101"/>
      <c r="BO6" s="101"/>
      <c r="BP6" s="101"/>
      <c r="BQ6" s="101"/>
    </row>
    <row r="7" spans="1:69" ht="15.6" customHeight="1">
      <c r="A7" s="375"/>
      <c r="B7" s="430" t="s">
        <v>303</v>
      </c>
      <c r="C7" s="431"/>
      <c r="D7" s="431"/>
      <c r="E7" s="431"/>
      <c r="F7" s="431"/>
      <c r="G7" s="523"/>
      <c r="H7" s="430" t="s">
        <v>304</v>
      </c>
      <c r="I7" s="431"/>
      <c r="J7" s="431"/>
      <c r="K7" s="431"/>
      <c r="L7" s="431"/>
      <c r="M7" s="431"/>
      <c r="N7" s="431"/>
      <c r="O7" s="431"/>
      <c r="P7" s="523"/>
      <c r="Q7" s="553" t="s">
        <v>305</v>
      </c>
      <c r="R7" s="554"/>
      <c r="S7" s="554"/>
      <c r="T7" s="554"/>
      <c r="U7" s="554"/>
      <c r="V7" s="554"/>
      <c r="W7" s="554"/>
      <c r="X7" s="554"/>
      <c r="Y7" s="555"/>
      <c r="Z7" s="515"/>
      <c r="AA7" s="559" t="s">
        <v>306</v>
      </c>
      <c r="AB7" s="560"/>
      <c r="AC7" s="560"/>
      <c r="AD7" s="560"/>
      <c r="AE7" s="560"/>
      <c r="AF7" s="560"/>
      <c r="AG7" s="560"/>
      <c r="AH7" s="561"/>
      <c r="AI7" s="565" t="s">
        <v>307</v>
      </c>
      <c r="AJ7" s="566"/>
      <c r="AK7" s="566"/>
      <c r="AL7" s="566"/>
      <c r="AM7" s="566"/>
      <c r="AN7" s="566"/>
      <c r="AO7" s="566"/>
      <c r="AP7" s="567"/>
      <c r="AQ7" s="549"/>
      <c r="AR7" s="550"/>
      <c r="AV7" s="102"/>
      <c r="BQ7" s="103"/>
    </row>
    <row r="8" spans="1:69" ht="14.25" customHeight="1">
      <c r="A8" s="376"/>
      <c r="B8" s="433"/>
      <c r="C8" s="434"/>
      <c r="D8" s="434"/>
      <c r="E8" s="434"/>
      <c r="F8" s="434"/>
      <c r="G8" s="524"/>
      <c r="H8" s="433"/>
      <c r="I8" s="434"/>
      <c r="J8" s="434"/>
      <c r="K8" s="434"/>
      <c r="L8" s="434"/>
      <c r="M8" s="434"/>
      <c r="N8" s="434"/>
      <c r="O8" s="434"/>
      <c r="P8" s="524"/>
      <c r="Q8" s="556"/>
      <c r="R8" s="557"/>
      <c r="S8" s="557"/>
      <c r="T8" s="557"/>
      <c r="U8" s="557"/>
      <c r="V8" s="557"/>
      <c r="W8" s="557"/>
      <c r="X8" s="557"/>
      <c r="Y8" s="558"/>
      <c r="Z8" s="516"/>
      <c r="AA8" s="562"/>
      <c r="AB8" s="563"/>
      <c r="AC8" s="563"/>
      <c r="AD8" s="563"/>
      <c r="AE8" s="563"/>
      <c r="AF8" s="563"/>
      <c r="AG8" s="563"/>
      <c r="AH8" s="564"/>
      <c r="AI8" s="568"/>
      <c r="AJ8" s="569"/>
      <c r="AK8" s="569"/>
      <c r="AL8" s="569"/>
      <c r="AM8" s="569"/>
      <c r="AN8" s="569"/>
      <c r="AO8" s="569"/>
      <c r="AP8" s="570"/>
      <c r="AQ8" s="551"/>
      <c r="AR8" s="552"/>
      <c r="AV8" s="104"/>
      <c r="AW8" s="161" t="s">
        <v>337</v>
      </c>
      <c r="BG8" s="616" t="s">
        <v>338</v>
      </c>
      <c r="BH8" s="617"/>
      <c r="BI8" s="617"/>
      <c r="BJ8" s="617"/>
      <c r="BK8" s="617"/>
      <c r="BL8" s="618"/>
      <c r="BP8" s="83"/>
      <c r="BQ8" s="105"/>
    </row>
    <row r="9" spans="1:69" ht="20.100000000000001" customHeight="1">
      <c r="A9" s="374">
        <v>1</v>
      </c>
      <c r="B9" s="479" t="s">
        <v>308</v>
      </c>
      <c r="C9" s="480"/>
      <c r="D9" s="480"/>
      <c r="E9" s="480"/>
      <c r="F9" s="480"/>
      <c r="G9" s="481"/>
      <c r="H9" s="482" t="s">
        <v>339</v>
      </c>
      <c r="I9" s="483"/>
      <c r="J9" s="483"/>
      <c r="K9" s="483"/>
      <c r="L9" s="483"/>
      <c r="M9" s="483"/>
      <c r="N9" s="483"/>
      <c r="O9" s="483"/>
      <c r="P9" s="484"/>
      <c r="Q9" s="85" t="s">
        <v>309</v>
      </c>
      <c r="R9" s="512" t="s">
        <v>340</v>
      </c>
      <c r="S9" s="512"/>
      <c r="T9" s="512"/>
      <c r="U9" s="512"/>
      <c r="V9" s="512"/>
      <c r="W9" s="512"/>
      <c r="X9" s="512"/>
      <c r="Y9" s="513"/>
      <c r="Z9" s="493">
        <v>1</v>
      </c>
      <c r="AA9" s="455" t="s">
        <v>341</v>
      </c>
      <c r="AB9" s="456"/>
      <c r="AC9" s="456"/>
      <c r="AD9" s="456"/>
      <c r="AE9" s="456"/>
      <c r="AF9" s="456"/>
      <c r="AG9" s="456"/>
      <c r="AH9" s="457"/>
      <c r="AI9" s="455" t="s">
        <v>342</v>
      </c>
      <c r="AJ9" s="456"/>
      <c r="AK9" s="456"/>
      <c r="AL9" s="456"/>
      <c r="AM9" s="456"/>
      <c r="AN9" s="456"/>
      <c r="AO9" s="456"/>
      <c r="AP9" s="648"/>
      <c r="AQ9" s="500" t="s">
        <v>310</v>
      </c>
      <c r="AR9" s="501"/>
      <c r="AV9" s="106"/>
      <c r="AW9" s="107" t="s">
        <v>343</v>
      </c>
      <c r="AX9" s="625" t="s">
        <v>344</v>
      </c>
      <c r="AY9" s="626"/>
      <c r="AZ9" s="626"/>
      <c r="BA9" s="626"/>
      <c r="BB9" s="626"/>
      <c r="BC9" s="626"/>
      <c r="BD9" s="626"/>
      <c r="BE9" s="626"/>
      <c r="BF9" s="627"/>
      <c r="BG9" s="616" t="s">
        <v>345</v>
      </c>
      <c r="BH9" s="617"/>
      <c r="BI9" s="616" t="s">
        <v>346</v>
      </c>
      <c r="BJ9" s="618"/>
      <c r="BK9" s="628" t="s">
        <v>347</v>
      </c>
      <c r="BL9" s="629"/>
      <c r="BM9" s="88"/>
      <c r="BN9" s="88"/>
      <c r="BO9" s="88"/>
      <c r="BQ9" s="103"/>
    </row>
    <row r="10" spans="1:69" ht="20.100000000000001" customHeight="1">
      <c r="A10" s="375"/>
      <c r="B10" s="464" t="s">
        <v>348</v>
      </c>
      <c r="C10" s="366"/>
      <c r="D10" s="366"/>
      <c r="E10" s="366"/>
      <c r="F10" s="366"/>
      <c r="G10" s="367"/>
      <c r="H10" s="485"/>
      <c r="I10" s="486"/>
      <c r="J10" s="486"/>
      <c r="K10" s="486"/>
      <c r="L10" s="486"/>
      <c r="M10" s="486"/>
      <c r="N10" s="486"/>
      <c r="O10" s="486"/>
      <c r="P10" s="487"/>
      <c r="Q10" s="86" t="s">
        <v>311</v>
      </c>
      <c r="R10" s="497" t="s">
        <v>349</v>
      </c>
      <c r="S10" s="497"/>
      <c r="T10" s="497"/>
      <c r="U10" s="497"/>
      <c r="V10" s="497"/>
      <c r="W10" s="497"/>
      <c r="X10" s="497"/>
      <c r="Y10" s="498"/>
      <c r="Z10" s="494"/>
      <c r="AA10" s="458"/>
      <c r="AB10" s="393"/>
      <c r="AC10" s="393"/>
      <c r="AD10" s="393"/>
      <c r="AE10" s="393"/>
      <c r="AF10" s="393"/>
      <c r="AG10" s="393"/>
      <c r="AH10" s="459"/>
      <c r="AI10" s="458"/>
      <c r="AJ10" s="393"/>
      <c r="AK10" s="393"/>
      <c r="AL10" s="393"/>
      <c r="AM10" s="393"/>
      <c r="AN10" s="393"/>
      <c r="AO10" s="393"/>
      <c r="AP10" s="649"/>
      <c r="AQ10" s="468">
        <v>3</v>
      </c>
      <c r="AR10" s="469"/>
      <c r="AV10" s="106"/>
      <c r="AW10" s="108">
        <v>5</v>
      </c>
      <c r="AX10" s="630" t="s">
        <v>350</v>
      </c>
      <c r="AY10" s="631"/>
      <c r="AZ10" s="631"/>
      <c r="BA10" s="631"/>
      <c r="BB10" s="631"/>
      <c r="BC10" s="631"/>
      <c r="BD10" s="631"/>
      <c r="BE10" s="631"/>
      <c r="BF10" s="632"/>
      <c r="BG10" s="623" t="s">
        <v>351</v>
      </c>
      <c r="BH10" s="633"/>
      <c r="BI10" s="623" t="s">
        <v>352</v>
      </c>
      <c r="BJ10" s="624"/>
      <c r="BK10" s="623" t="s">
        <v>352</v>
      </c>
      <c r="BL10" s="624"/>
      <c r="BM10" s="109" t="s">
        <v>353</v>
      </c>
      <c r="BO10" s="88"/>
      <c r="BQ10" s="103"/>
    </row>
    <row r="11" spans="1:69" ht="20.100000000000001" customHeight="1">
      <c r="A11" s="375"/>
      <c r="B11" s="464"/>
      <c r="C11" s="366"/>
      <c r="D11" s="366"/>
      <c r="E11" s="366"/>
      <c r="F11" s="366"/>
      <c r="G11" s="367"/>
      <c r="H11" s="485"/>
      <c r="I11" s="486"/>
      <c r="J11" s="486"/>
      <c r="K11" s="486"/>
      <c r="L11" s="486"/>
      <c r="M11" s="486"/>
      <c r="N11" s="486"/>
      <c r="O11" s="486"/>
      <c r="P11" s="487"/>
      <c r="Q11" s="86" t="s">
        <v>312</v>
      </c>
      <c r="R11" s="497" t="s">
        <v>354</v>
      </c>
      <c r="S11" s="497"/>
      <c r="T11" s="497"/>
      <c r="U11" s="497"/>
      <c r="V11" s="497"/>
      <c r="W11" s="497"/>
      <c r="X11" s="497"/>
      <c r="Y11" s="498"/>
      <c r="Z11" s="494"/>
      <c r="AA11" s="458"/>
      <c r="AB11" s="393"/>
      <c r="AC11" s="393"/>
      <c r="AD11" s="393"/>
      <c r="AE11" s="393"/>
      <c r="AF11" s="393"/>
      <c r="AG11" s="393"/>
      <c r="AH11" s="459"/>
      <c r="AI11" s="458"/>
      <c r="AJ11" s="393"/>
      <c r="AK11" s="393"/>
      <c r="AL11" s="393"/>
      <c r="AM11" s="393"/>
      <c r="AN11" s="393"/>
      <c r="AO11" s="393"/>
      <c r="AP11" s="649"/>
      <c r="AQ11" s="470"/>
      <c r="AR11" s="471"/>
      <c r="AV11" s="106"/>
      <c r="AW11" s="110">
        <v>4</v>
      </c>
      <c r="AX11" s="236" t="s">
        <v>355</v>
      </c>
      <c r="AY11" s="250"/>
      <c r="AZ11" s="250"/>
      <c r="BA11" s="250"/>
      <c r="BB11" s="250"/>
      <c r="BC11" s="250"/>
      <c r="BD11" s="250"/>
      <c r="BE11" s="250"/>
      <c r="BF11" s="612"/>
      <c r="BG11" s="589" t="s">
        <v>352</v>
      </c>
      <c r="BH11" s="590"/>
      <c r="BI11" s="589" t="s">
        <v>356</v>
      </c>
      <c r="BJ11" s="590"/>
      <c r="BK11" s="589" t="s">
        <v>356</v>
      </c>
      <c r="BL11" s="590"/>
      <c r="BM11" s="111" t="s">
        <v>357</v>
      </c>
      <c r="BO11" s="88"/>
      <c r="BQ11" s="103"/>
    </row>
    <row r="12" spans="1:69" ht="20.100000000000001" customHeight="1">
      <c r="A12" s="375"/>
      <c r="B12" s="465"/>
      <c r="C12" s="466"/>
      <c r="D12" s="466"/>
      <c r="E12" s="466"/>
      <c r="F12" s="466"/>
      <c r="G12" s="467"/>
      <c r="H12" s="485"/>
      <c r="I12" s="486"/>
      <c r="J12" s="486"/>
      <c r="K12" s="486"/>
      <c r="L12" s="486"/>
      <c r="M12" s="486"/>
      <c r="N12" s="486"/>
      <c r="O12" s="486"/>
      <c r="P12" s="487"/>
      <c r="Q12" s="86" t="s">
        <v>313</v>
      </c>
      <c r="R12" s="497" t="s">
        <v>358</v>
      </c>
      <c r="S12" s="497"/>
      <c r="T12" s="497"/>
      <c r="U12" s="497"/>
      <c r="V12" s="497"/>
      <c r="W12" s="497"/>
      <c r="X12" s="497"/>
      <c r="Y12" s="498"/>
      <c r="Z12" s="494"/>
      <c r="AA12" s="458"/>
      <c r="AB12" s="393"/>
      <c r="AC12" s="393"/>
      <c r="AD12" s="393"/>
      <c r="AE12" s="393"/>
      <c r="AF12" s="393"/>
      <c r="AG12" s="393"/>
      <c r="AH12" s="459"/>
      <c r="AI12" s="458"/>
      <c r="AJ12" s="393"/>
      <c r="AK12" s="393"/>
      <c r="AL12" s="393"/>
      <c r="AM12" s="393"/>
      <c r="AN12" s="393"/>
      <c r="AO12" s="393"/>
      <c r="AP12" s="649"/>
      <c r="AQ12" s="502"/>
      <c r="AR12" s="503"/>
      <c r="AV12" s="106"/>
      <c r="AW12" s="110">
        <v>3</v>
      </c>
      <c r="AX12" s="236" t="s">
        <v>359</v>
      </c>
      <c r="AY12" s="250"/>
      <c r="AZ12" s="250"/>
      <c r="BA12" s="250"/>
      <c r="BB12" s="250"/>
      <c r="BC12" s="250"/>
      <c r="BD12" s="250"/>
      <c r="BE12" s="250"/>
      <c r="BF12" s="612"/>
      <c r="BG12" s="613" t="s">
        <v>360</v>
      </c>
      <c r="BH12" s="614"/>
      <c r="BI12" s="613" t="s">
        <v>361</v>
      </c>
      <c r="BJ12" s="614"/>
      <c r="BK12" s="613" t="s">
        <v>361</v>
      </c>
      <c r="BL12" s="614"/>
      <c r="BM12" s="88"/>
      <c r="BN12" s="88"/>
      <c r="BO12" s="88"/>
      <c r="BQ12" s="103"/>
    </row>
    <row r="13" spans="1:69" ht="20.100000000000001" customHeight="1">
      <c r="A13" s="375"/>
      <c r="B13" s="472" t="s">
        <v>314</v>
      </c>
      <c r="C13" s="473"/>
      <c r="D13" s="473"/>
      <c r="E13" s="473"/>
      <c r="F13" s="473"/>
      <c r="G13" s="474"/>
      <c r="H13" s="485"/>
      <c r="I13" s="486"/>
      <c r="J13" s="486"/>
      <c r="K13" s="486"/>
      <c r="L13" s="486"/>
      <c r="M13" s="486"/>
      <c r="N13" s="486"/>
      <c r="O13" s="486"/>
      <c r="P13" s="487"/>
      <c r="Q13" s="86" t="s">
        <v>315</v>
      </c>
      <c r="R13" s="497" t="s">
        <v>362</v>
      </c>
      <c r="S13" s="497"/>
      <c r="T13" s="497"/>
      <c r="U13" s="497"/>
      <c r="V13" s="497"/>
      <c r="W13" s="497"/>
      <c r="X13" s="497"/>
      <c r="Y13" s="498"/>
      <c r="Z13" s="494"/>
      <c r="AA13" s="458"/>
      <c r="AB13" s="393"/>
      <c r="AC13" s="393"/>
      <c r="AD13" s="393"/>
      <c r="AE13" s="393"/>
      <c r="AF13" s="393"/>
      <c r="AG13" s="393"/>
      <c r="AH13" s="459"/>
      <c r="AI13" s="458"/>
      <c r="AJ13" s="393"/>
      <c r="AK13" s="393"/>
      <c r="AL13" s="393"/>
      <c r="AM13" s="393"/>
      <c r="AN13" s="393"/>
      <c r="AO13" s="393"/>
      <c r="AP13" s="649"/>
      <c r="AQ13" s="475" t="s">
        <v>1</v>
      </c>
      <c r="AR13" s="476"/>
      <c r="AV13" s="106"/>
      <c r="AW13" s="110">
        <v>2</v>
      </c>
      <c r="AX13" s="236" t="s">
        <v>363</v>
      </c>
      <c r="AY13" s="250"/>
      <c r="AZ13" s="250"/>
      <c r="BA13" s="250"/>
      <c r="BB13" s="250"/>
      <c r="BC13" s="250"/>
      <c r="BD13" s="250"/>
      <c r="BE13" s="250"/>
      <c r="BF13" s="612"/>
      <c r="BG13" s="589" t="s">
        <v>356</v>
      </c>
      <c r="BH13" s="590"/>
      <c r="BI13" s="589" t="s">
        <v>364</v>
      </c>
      <c r="BJ13" s="590"/>
      <c r="BK13" s="589" t="s">
        <v>364</v>
      </c>
      <c r="BL13" s="590"/>
      <c r="BM13" s="88"/>
      <c r="BN13" s="88"/>
      <c r="BO13" s="88"/>
      <c r="BQ13" s="103"/>
    </row>
    <row r="14" spans="1:69" ht="20.100000000000001" customHeight="1">
      <c r="A14" s="375"/>
      <c r="B14" s="464" t="s">
        <v>365</v>
      </c>
      <c r="C14" s="366"/>
      <c r="D14" s="366"/>
      <c r="E14" s="366"/>
      <c r="F14" s="366"/>
      <c r="G14" s="367"/>
      <c r="H14" s="485"/>
      <c r="I14" s="486"/>
      <c r="J14" s="486"/>
      <c r="K14" s="486"/>
      <c r="L14" s="486"/>
      <c r="M14" s="486"/>
      <c r="N14" s="486"/>
      <c r="O14" s="486"/>
      <c r="P14" s="487"/>
      <c r="Q14" s="86" t="s">
        <v>316</v>
      </c>
      <c r="R14" s="497" t="s">
        <v>366</v>
      </c>
      <c r="S14" s="497"/>
      <c r="T14" s="497"/>
      <c r="U14" s="497"/>
      <c r="V14" s="497"/>
      <c r="W14" s="497"/>
      <c r="X14" s="497"/>
      <c r="Y14" s="498"/>
      <c r="Z14" s="494"/>
      <c r="AA14" s="458"/>
      <c r="AB14" s="393"/>
      <c r="AC14" s="393"/>
      <c r="AD14" s="393"/>
      <c r="AE14" s="393"/>
      <c r="AF14" s="393"/>
      <c r="AG14" s="393"/>
      <c r="AH14" s="459"/>
      <c r="AI14" s="458"/>
      <c r="AJ14" s="393"/>
      <c r="AK14" s="393"/>
      <c r="AL14" s="393"/>
      <c r="AM14" s="393"/>
      <c r="AN14" s="393"/>
      <c r="AO14" s="393"/>
      <c r="AP14" s="650"/>
      <c r="AQ14" s="442">
        <f>Z9*AQ10</f>
        <v>3</v>
      </c>
      <c r="AR14" s="443"/>
      <c r="AV14" s="106"/>
      <c r="AW14" s="110">
        <v>1</v>
      </c>
      <c r="AX14" s="236" t="s">
        <v>367</v>
      </c>
      <c r="AY14" s="250"/>
      <c r="AZ14" s="250"/>
      <c r="BA14" s="250"/>
      <c r="BB14" s="250"/>
      <c r="BC14" s="250"/>
      <c r="BD14" s="250"/>
      <c r="BE14" s="250"/>
      <c r="BF14" s="612"/>
      <c r="BG14" s="589" t="s">
        <v>368</v>
      </c>
      <c r="BH14" s="590"/>
      <c r="BI14" s="589" t="s">
        <v>369</v>
      </c>
      <c r="BJ14" s="590"/>
      <c r="BK14" s="589" t="s">
        <v>370</v>
      </c>
      <c r="BL14" s="590"/>
      <c r="BM14" s="88"/>
      <c r="BN14" s="88"/>
      <c r="BO14" s="88"/>
      <c r="BQ14" s="103"/>
    </row>
    <row r="15" spans="1:69" ht="20.100000000000001" customHeight="1">
      <c r="A15" s="375"/>
      <c r="B15" s="464"/>
      <c r="C15" s="366"/>
      <c r="D15" s="366"/>
      <c r="E15" s="366"/>
      <c r="F15" s="366"/>
      <c r="G15" s="367"/>
      <c r="H15" s="485"/>
      <c r="I15" s="486"/>
      <c r="J15" s="486"/>
      <c r="K15" s="486"/>
      <c r="L15" s="486"/>
      <c r="M15" s="486"/>
      <c r="N15" s="486"/>
      <c r="O15" s="486"/>
      <c r="P15" s="487"/>
      <c r="R15" s="366"/>
      <c r="S15" s="366"/>
      <c r="T15" s="366"/>
      <c r="U15" s="366"/>
      <c r="V15" s="366"/>
      <c r="W15" s="366"/>
      <c r="X15" s="366"/>
      <c r="Y15" s="367"/>
      <c r="Z15" s="494"/>
      <c r="AA15" s="458"/>
      <c r="AB15" s="393"/>
      <c r="AC15" s="393"/>
      <c r="AD15" s="393"/>
      <c r="AE15" s="393"/>
      <c r="AF15" s="393"/>
      <c r="AG15" s="393"/>
      <c r="AH15" s="459"/>
      <c r="AI15" s="458"/>
      <c r="AJ15" s="393"/>
      <c r="AK15" s="393"/>
      <c r="AL15" s="393"/>
      <c r="AM15" s="393"/>
      <c r="AN15" s="393"/>
      <c r="AO15" s="393"/>
      <c r="AP15" s="650"/>
      <c r="AQ15" s="444"/>
      <c r="AR15" s="445"/>
      <c r="AV15" s="106"/>
      <c r="AW15" s="112">
        <v>0</v>
      </c>
      <c r="AX15" s="609" t="s">
        <v>371</v>
      </c>
      <c r="AY15" s="610"/>
      <c r="AZ15" s="610"/>
      <c r="BA15" s="610"/>
      <c r="BB15" s="610"/>
      <c r="BC15" s="610"/>
      <c r="BD15" s="610"/>
      <c r="BE15" s="610"/>
      <c r="BF15" s="611"/>
      <c r="BG15" s="591" t="s">
        <v>372</v>
      </c>
      <c r="BH15" s="592"/>
      <c r="BI15" s="591" t="s">
        <v>373</v>
      </c>
      <c r="BJ15" s="592"/>
      <c r="BK15" s="591" t="s">
        <v>374</v>
      </c>
      <c r="BL15" s="592"/>
      <c r="BM15" s="88"/>
      <c r="BN15" s="88"/>
      <c r="BO15" s="88"/>
      <c r="BQ15" s="103"/>
    </row>
    <row r="16" spans="1:69" ht="20.100000000000001" customHeight="1">
      <c r="A16" s="376"/>
      <c r="B16" s="499"/>
      <c r="C16" s="477"/>
      <c r="D16" s="477"/>
      <c r="E16" s="477"/>
      <c r="F16" s="477"/>
      <c r="G16" s="478"/>
      <c r="H16" s="504"/>
      <c r="I16" s="505"/>
      <c r="J16" s="505"/>
      <c r="K16" s="505"/>
      <c r="L16" s="505"/>
      <c r="M16" s="505"/>
      <c r="N16" s="505"/>
      <c r="O16" s="505"/>
      <c r="P16" s="506"/>
      <c r="Q16" s="86"/>
      <c r="R16" s="477"/>
      <c r="S16" s="477"/>
      <c r="T16" s="477"/>
      <c r="U16" s="477"/>
      <c r="V16" s="477"/>
      <c r="W16" s="477"/>
      <c r="X16" s="477"/>
      <c r="Y16" s="478"/>
      <c r="Z16" s="507"/>
      <c r="AA16" s="510"/>
      <c r="AB16" s="396"/>
      <c r="AC16" s="396"/>
      <c r="AD16" s="396"/>
      <c r="AE16" s="396"/>
      <c r="AF16" s="396"/>
      <c r="AG16" s="396"/>
      <c r="AH16" s="511"/>
      <c r="AI16" s="510"/>
      <c r="AJ16" s="396"/>
      <c r="AK16" s="396"/>
      <c r="AL16" s="396"/>
      <c r="AM16" s="396"/>
      <c r="AN16" s="396"/>
      <c r="AO16" s="396"/>
      <c r="AP16" s="651"/>
      <c r="AQ16" s="508"/>
      <c r="AR16" s="509"/>
      <c r="AV16" s="104"/>
      <c r="BQ16" s="103"/>
    </row>
    <row r="17" spans="1:70" ht="20.100000000000001" customHeight="1">
      <c r="A17" s="374">
        <v>2</v>
      </c>
      <c r="B17" s="479" t="s">
        <v>308</v>
      </c>
      <c r="C17" s="480"/>
      <c r="D17" s="480"/>
      <c r="E17" s="480"/>
      <c r="F17" s="480"/>
      <c r="G17" s="481"/>
      <c r="H17" s="482"/>
      <c r="I17" s="483"/>
      <c r="J17" s="483"/>
      <c r="K17" s="483"/>
      <c r="L17" s="483"/>
      <c r="M17" s="483"/>
      <c r="N17" s="483"/>
      <c r="O17" s="483"/>
      <c r="P17" s="484"/>
      <c r="Q17" s="85" t="s">
        <v>309</v>
      </c>
      <c r="R17" s="491"/>
      <c r="S17" s="491"/>
      <c r="T17" s="491"/>
      <c r="U17" s="491"/>
      <c r="V17" s="491"/>
      <c r="W17" s="491"/>
      <c r="X17" s="491"/>
      <c r="Y17" s="492"/>
      <c r="Z17" s="493">
        <v>1</v>
      </c>
      <c r="AA17" s="455"/>
      <c r="AB17" s="456"/>
      <c r="AC17" s="456"/>
      <c r="AD17" s="456"/>
      <c r="AE17" s="456"/>
      <c r="AF17" s="456"/>
      <c r="AG17" s="456"/>
      <c r="AH17" s="457"/>
      <c r="AI17" s="455"/>
      <c r="AJ17" s="456"/>
      <c r="AK17" s="456"/>
      <c r="AL17" s="456"/>
      <c r="AM17" s="456"/>
      <c r="AN17" s="456"/>
      <c r="AO17" s="456"/>
      <c r="AP17" s="648"/>
      <c r="AQ17" s="462" t="s">
        <v>310</v>
      </c>
      <c r="AR17" s="463"/>
      <c r="AV17" s="104"/>
      <c r="AW17" s="113" t="s">
        <v>375</v>
      </c>
      <c r="BO17" s="87"/>
      <c r="BP17" s="87"/>
      <c r="BQ17" s="103"/>
    </row>
    <row r="18" spans="1:70" ht="19.5" customHeight="1">
      <c r="A18" s="375"/>
      <c r="B18" s="464"/>
      <c r="C18" s="366"/>
      <c r="D18" s="366"/>
      <c r="E18" s="366"/>
      <c r="F18" s="366"/>
      <c r="G18" s="367"/>
      <c r="H18" s="485"/>
      <c r="I18" s="486"/>
      <c r="J18" s="486"/>
      <c r="K18" s="486"/>
      <c r="L18" s="486"/>
      <c r="M18" s="486"/>
      <c r="N18" s="486"/>
      <c r="O18" s="486"/>
      <c r="P18" s="487"/>
      <c r="Q18" s="86" t="s">
        <v>311</v>
      </c>
      <c r="R18" s="366"/>
      <c r="S18" s="366"/>
      <c r="T18" s="366"/>
      <c r="U18" s="366"/>
      <c r="V18" s="366"/>
      <c r="W18" s="366"/>
      <c r="X18" s="366"/>
      <c r="Y18" s="367"/>
      <c r="Z18" s="494"/>
      <c r="AA18" s="458"/>
      <c r="AB18" s="393"/>
      <c r="AC18" s="393"/>
      <c r="AD18" s="393"/>
      <c r="AE18" s="393"/>
      <c r="AF18" s="393"/>
      <c r="AG18" s="393"/>
      <c r="AH18" s="459"/>
      <c r="AI18" s="458"/>
      <c r="AJ18" s="393"/>
      <c r="AK18" s="393"/>
      <c r="AL18" s="393"/>
      <c r="AM18" s="393"/>
      <c r="AN18" s="393"/>
      <c r="AO18" s="393"/>
      <c r="AP18" s="649"/>
      <c r="AQ18" s="468"/>
      <c r="AR18" s="469"/>
      <c r="AV18" s="104"/>
      <c r="AW18" s="615" t="s">
        <v>20</v>
      </c>
      <c r="AX18" s="615"/>
      <c r="AY18" s="615"/>
      <c r="AZ18" s="616" t="s">
        <v>376</v>
      </c>
      <c r="BA18" s="617"/>
      <c r="BB18" s="617"/>
      <c r="BC18" s="617"/>
      <c r="BD18" s="617"/>
      <c r="BE18" s="617"/>
      <c r="BF18" s="617"/>
      <c r="BG18" s="617"/>
      <c r="BH18" s="618"/>
      <c r="BI18" s="617" t="s">
        <v>375</v>
      </c>
      <c r="BJ18" s="617"/>
      <c r="BK18" s="617"/>
      <c r="BL18" s="617"/>
      <c r="BM18" s="617"/>
      <c r="BN18" s="617"/>
      <c r="BO18" s="617"/>
      <c r="BP18" s="618"/>
      <c r="BQ18" s="103"/>
    </row>
    <row r="19" spans="1:70" ht="19.5" customHeight="1">
      <c r="A19" s="375"/>
      <c r="B19" s="464"/>
      <c r="C19" s="366"/>
      <c r="D19" s="366"/>
      <c r="E19" s="366"/>
      <c r="F19" s="366"/>
      <c r="G19" s="367"/>
      <c r="H19" s="485"/>
      <c r="I19" s="486"/>
      <c r="J19" s="486"/>
      <c r="K19" s="486"/>
      <c r="L19" s="486"/>
      <c r="M19" s="486"/>
      <c r="N19" s="486"/>
      <c r="O19" s="486"/>
      <c r="P19" s="487"/>
      <c r="Q19" s="86" t="s">
        <v>312</v>
      </c>
      <c r="R19" s="160"/>
      <c r="S19" s="160"/>
      <c r="T19" s="160"/>
      <c r="U19" s="160"/>
      <c r="V19" s="160"/>
      <c r="W19" s="160"/>
      <c r="X19" s="160"/>
      <c r="Y19" s="162"/>
      <c r="Z19" s="494"/>
      <c r="AA19" s="458"/>
      <c r="AB19" s="393"/>
      <c r="AC19" s="393"/>
      <c r="AD19" s="393"/>
      <c r="AE19" s="393"/>
      <c r="AF19" s="393"/>
      <c r="AG19" s="393"/>
      <c r="AH19" s="459"/>
      <c r="AI19" s="458"/>
      <c r="AJ19" s="393"/>
      <c r="AK19" s="393"/>
      <c r="AL19" s="393"/>
      <c r="AM19" s="393"/>
      <c r="AN19" s="393"/>
      <c r="AO19" s="393"/>
      <c r="AP19" s="649"/>
      <c r="AQ19" s="470"/>
      <c r="AR19" s="471"/>
      <c r="AV19" s="106"/>
      <c r="AW19" s="619" t="s">
        <v>377</v>
      </c>
      <c r="AX19" s="620"/>
      <c r="AY19" s="620"/>
      <c r="AZ19" s="621" t="s">
        <v>378</v>
      </c>
      <c r="BA19" s="585"/>
      <c r="BB19" s="585"/>
      <c r="BC19" s="585"/>
      <c r="BD19" s="585"/>
      <c r="BE19" s="585"/>
      <c r="BF19" s="585"/>
      <c r="BG19" s="585"/>
      <c r="BH19" s="586"/>
      <c r="BI19" s="585" t="s">
        <v>379</v>
      </c>
      <c r="BJ19" s="585"/>
      <c r="BK19" s="585"/>
      <c r="BL19" s="585"/>
      <c r="BM19" s="585"/>
      <c r="BN19" s="585"/>
      <c r="BO19" s="585"/>
      <c r="BP19" s="586"/>
      <c r="BQ19" s="103"/>
    </row>
    <row r="20" spans="1:70" ht="20.100000000000001" customHeight="1">
      <c r="A20" s="375"/>
      <c r="B20" s="465"/>
      <c r="C20" s="466"/>
      <c r="D20" s="466"/>
      <c r="E20" s="466"/>
      <c r="F20" s="466"/>
      <c r="G20" s="467"/>
      <c r="H20" s="485"/>
      <c r="I20" s="486"/>
      <c r="J20" s="486"/>
      <c r="K20" s="486"/>
      <c r="L20" s="486"/>
      <c r="M20" s="486"/>
      <c r="N20" s="486"/>
      <c r="O20" s="486"/>
      <c r="P20" s="487"/>
      <c r="Q20" s="86" t="s">
        <v>313</v>
      </c>
      <c r="R20" s="366"/>
      <c r="S20" s="366"/>
      <c r="T20" s="366"/>
      <c r="U20" s="366"/>
      <c r="V20" s="366"/>
      <c r="W20" s="366"/>
      <c r="X20" s="366"/>
      <c r="Y20" s="367"/>
      <c r="Z20" s="494"/>
      <c r="AA20" s="458"/>
      <c r="AB20" s="393"/>
      <c r="AC20" s="393"/>
      <c r="AD20" s="393"/>
      <c r="AE20" s="393"/>
      <c r="AF20" s="393"/>
      <c r="AG20" s="393"/>
      <c r="AH20" s="459"/>
      <c r="AI20" s="458"/>
      <c r="AJ20" s="393"/>
      <c r="AK20" s="393"/>
      <c r="AL20" s="393"/>
      <c r="AM20" s="393"/>
      <c r="AN20" s="393"/>
      <c r="AO20" s="393"/>
      <c r="AP20" s="649"/>
      <c r="AQ20" s="470"/>
      <c r="AR20" s="471"/>
      <c r="AV20" s="104"/>
      <c r="AW20" s="594"/>
      <c r="AX20" s="594"/>
      <c r="AY20" s="594"/>
      <c r="AZ20" s="622"/>
      <c r="BA20" s="587"/>
      <c r="BB20" s="587"/>
      <c r="BC20" s="587"/>
      <c r="BD20" s="587"/>
      <c r="BE20" s="587"/>
      <c r="BF20" s="587"/>
      <c r="BG20" s="587"/>
      <c r="BH20" s="588"/>
      <c r="BI20" s="587"/>
      <c r="BJ20" s="587"/>
      <c r="BK20" s="587"/>
      <c r="BL20" s="587"/>
      <c r="BM20" s="587"/>
      <c r="BN20" s="587"/>
      <c r="BO20" s="587"/>
      <c r="BP20" s="588"/>
      <c r="BQ20" s="103"/>
    </row>
    <row r="21" spans="1:70" ht="20.100000000000001" customHeight="1">
      <c r="A21" s="375"/>
      <c r="B21" s="472" t="s">
        <v>314</v>
      </c>
      <c r="C21" s="473"/>
      <c r="D21" s="473"/>
      <c r="E21" s="473"/>
      <c r="F21" s="473"/>
      <c r="G21" s="474"/>
      <c r="H21" s="485"/>
      <c r="I21" s="486"/>
      <c r="J21" s="486"/>
      <c r="K21" s="486"/>
      <c r="L21" s="486"/>
      <c r="M21" s="486"/>
      <c r="N21" s="486"/>
      <c r="O21" s="486"/>
      <c r="P21" s="487"/>
      <c r="Q21" s="86" t="s">
        <v>315</v>
      </c>
      <c r="R21" s="366"/>
      <c r="S21" s="366"/>
      <c r="T21" s="366"/>
      <c r="U21" s="366"/>
      <c r="V21" s="366"/>
      <c r="W21" s="366"/>
      <c r="X21" s="366"/>
      <c r="Y21" s="367"/>
      <c r="Z21" s="494"/>
      <c r="AA21" s="458"/>
      <c r="AB21" s="393"/>
      <c r="AC21" s="393"/>
      <c r="AD21" s="393"/>
      <c r="AE21" s="393"/>
      <c r="AF21" s="393"/>
      <c r="AG21" s="393"/>
      <c r="AH21" s="459"/>
      <c r="AI21" s="458"/>
      <c r="AJ21" s="393"/>
      <c r="AK21" s="393"/>
      <c r="AL21" s="393"/>
      <c r="AM21" s="393"/>
      <c r="AN21" s="393"/>
      <c r="AO21" s="393"/>
      <c r="AP21" s="649"/>
      <c r="AQ21" s="475" t="s">
        <v>1</v>
      </c>
      <c r="AR21" s="476"/>
      <c r="AV21" s="104"/>
      <c r="AW21" s="593" t="s">
        <v>380</v>
      </c>
      <c r="AX21" s="594"/>
      <c r="AY21" s="594"/>
      <c r="AZ21" s="596" t="s">
        <v>381</v>
      </c>
      <c r="BA21" s="597"/>
      <c r="BB21" s="597"/>
      <c r="BC21" s="597"/>
      <c r="BD21" s="597"/>
      <c r="BE21" s="597"/>
      <c r="BF21" s="597"/>
      <c r="BG21" s="597"/>
      <c r="BH21" s="598"/>
      <c r="BI21" s="602" t="s">
        <v>382</v>
      </c>
      <c r="BJ21" s="602"/>
      <c r="BK21" s="602"/>
      <c r="BL21" s="602"/>
      <c r="BM21" s="602"/>
      <c r="BN21" s="602"/>
      <c r="BO21" s="602"/>
      <c r="BP21" s="603"/>
      <c r="BQ21" s="103"/>
    </row>
    <row r="22" spans="1:70" ht="20.100000000000001" customHeight="1">
      <c r="A22" s="375"/>
      <c r="B22" s="464"/>
      <c r="C22" s="366"/>
      <c r="D22" s="366"/>
      <c r="E22" s="366"/>
      <c r="F22" s="366"/>
      <c r="G22" s="367"/>
      <c r="H22" s="485"/>
      <c r="I22" s="486"/>
      <c r="J22" s="486"/>
      <c r="K22" s="486"/>
      <c r="L22" s="486"/>
      <c r="M22" s="486"/>
      <c r="N22" s="486"/>
      <c r="O22" s="486"/>
      <c r="P22" s="487"/>
      <c r="Q22" s="86" t="s">
        <v>316</v>
      </c>
      <c r="R22" s="497"/>
      <c r="S22" s="497"/>
      <c r="T22" s="497"/>
      <c r="U22" s="497"/>
      <c r="V22" s="497"/>
      <c r="W22" s="497"/>
      <c r="X22" s="497"/>
      <c r="Y22" s="498"/>
      <c r="Z22" s="494"/>
      <c r="AA22" s="458"/>
      <c r="AB22" s="393"/>
      <c r="AC22" s="393"/>
      <c r="AD22" s="393"/>
      <c r="AE22" s="393"/>
      <c r="AF22" s="393"/>
      <c r="AG22" s="393"/>
      <c r="AH22" s="459"/>
      <c r="AI22" s="458"/>
      <c r="AJ22" s="393"/>
      <c r="AK22" s="393"/>
      <c r="AL22" s="393"/>
      <c r="AM22" s="393"/>
      <c r="AN22" s="393"/>
      <c r="AO22" s="393"/>
      <c r="AP22" s="649"/>
      <c r="AQ22" s="442">
        <f>Z17*AQ18</f>
        <v>0</v>
      </c>
      <c r="AR22" s="443"/>
      <c r="AV22" s="104"/>
      <c r="AW22" s="594"/>
      <c r="AX22" s="594"/>
      <c r="AY22" s="594"/>
      <c r="AZ22" s="606"/>
      <c r="BA22" s="607"/>
      <c r="BB22" s="607"/>
      <c r="BC22" s="607"/>
      <c r="BD22" s="607"/>
      <c r="BE22" s="607"/>
      <c r="BF22" s="607"/>
      <c r="BG22" s="607"/>
      <c r="BH22" s="608"/>
      <c r="BI22" s="587"/>
      <c r="BJ22" s="587"/>
      <c r="BK22" s="587"/>
      <c r="BL22" s="587"/>
      <c r="BM22" s="587"/>
      <c r="BN22" s="587"/>
      <c r="BO22" s="587"/>
      <c r="BP22" s="588"/>
      <c r="BQ22" s="103"/>
    </row>
    <row r="23" spans="1:70" ht="20.100000000000001" customHeight="1">
      <c r="A23" s="375"/>
      <c r="B23" s="464"/>
      <c r="C23" s="366"/>
      <c r="D23" s="366"/>
      <c r="E23" s="366"/>
      <c r="F23" s="366"/>
      <c r="G23" s="367"/>
      <c r="H23" s="485"/>
      <c r="I23" s="486"/>
      <c r="J23" s="486"/>
      <c r="K23" s="486"/>
      <c r="L23" s="486"/>
      <c r="M23" s="486"/>
      <c r="N23" s="486"/>
      <c r="O23" s="486"/>
      <c r="P23" s="487"/>
      <c r="R23" s="366"/>
      <c r="S23" s="366"/>
      <c r="T23" s="366"/>
      <c r="U23" s="366"/>
      <c r="V23" s="366"/>
      <c r="W23" s="366"/>
      <c r="X23" s="366"/>
      <c r="Y23" s="367"/>
      <c r="Z23" s="494"/>
      <c r="AA23" s="458"/>
      <c r="AB23" s="393"/>
      <c r="AC23" s="393"/>
      <c r="AD23" s="393"/>
      <c r="AE23" s="393"/>
      <c r="AF23" s="393"/>
      <c r="AG23" s="393"/>
      <c r="AH23" s="459"/>
      <c r="AI23" s="458"/>
      <c r="AJ23" s="393"/>
      <c r="AK23" s="393"/>
      <c r="AL23" s="393"/>
      <c r="AM23" s="393"/>
      <c r="AN23" s="393"/>
      <c r="AO23" s="393"/>
      <c r="AP23" s="649"/>
      <c r="AQ23" s="444"/>
      <c r="AR23" s="445"/>
      <c r="AV23" s="104"/>
      <c r="AW23" s="593" t="s">
        <v>195</v>
      </c>
      <c r="AX23" s="594"/>
      <c r="AY23" s="594"/>
      <c r="AZ23" s="596" t="s">
        <v>383</v>
      </c>
      <c r="BA23" s="597"/>
      <c r="BB23" s="597"/>
      <c r="BC23" s="597"/>
      <c r="BD23" s="597"/>
      <c r="BE23" s="597"/>
      <c r="BF23" s="597"/>
      <c r="BG23" s="597"/>
      <c r="BH23" s="598"/>
      <c r="BI23" s="602" t="s">
        <v>384</v>
      </c>
      <c r="BJ23" s="602"/>
      <c r="BK23" s="602"/>
      <c r="BL23" s="602"/>
      <c r="BM23" s="602"/>
      <c r="BN23" s="602"/>
      <c r="BO23" s="602"/>
      <c r="BP23" s="603"/>
      <c r="BQ23" s="103"/>
    </row>
    <row r="24" spans="1:70" ht="20.100000000000001" customHeight="1">
      <c r="A24" s="376"/>
      <c r="B24" s="499"/>
      <c r="C24" s="477"/>
      <c r="D24" s="477"/>
      <c r="E24" s="477"/>
      <c r="F24" s="477"/>
      <c r="G24" s="478"/>
      <c r="H24" s="504"/>
      <c r="I24" s="505"/>
      <c r="J24" s="505"/>
      <c r="K24" s="505"/>
      <c r="L24" s="505"/>
      <c r="M24" s="505"/>
      <c r="N24" s="505"/>
      <c r="O24" s="505"/>
      <c r="P24" s="506"/>
      <c r="Q24" s="86"/>
      <c r="R24" s="477"/>
      <c r="S24" s="477"/>
      <c r="T24" s="477"/>
      <c r="U24" s="477"/>
      <c r="V24" s="477"/>
      <c r="W24" s="477"/>
      <c r="X24" s="477"/>
      <c r="Y24" s="478"/>
      <c r="Z24" s="507"/>
      <c r="AA24" s="510"/>
      <c r="AB24" s="396"/>
      <c r="AC24" s="396"/>
      <c r="AD24" s="396"/>
      <c r="AE24" s="396"/>
      <c r="AF24" s="396"/>
      <c r="AG24" s="396"/>
      <c r="AH24" s="511"/>
      <c r="AI24" s="510"/>
      <c r="AJ24" s="396"/>
      <c r="AK24" s="396"/>
      <c r="AL24" s="396"/>
      <c r="AM24" s="396"/>
      <c r="AN24" s="396"/>
      <c r="AO24" s="396"/>
      <c r="AP24" s="652"/>
      <c r="AQ24" s="508"/>
      <c r="AR24" s="509"/>
      <c r="AV24" s="106"/>
      <c r="AW24" s="595"/>
      <c r="AX24" s="595"/>
      <c r="AY24" s="595"/>
      <c r="AZ24" s="599"/>
      <c r="BA24" s="600"/>
      <c r="BB24" s="600"/>
      <c r="BC24" s="600"/>
      <c r="BD24" s="600"/>
      <c r="BE24" s="600"/>
      <c r="BF24" s="600"/>
      <c r="BG24" s="600"/>
      <c r="BH24" s="601"/>
      <c r="BI24" s="604"/>
      <c r="BJ24" s="604"/>
      <c r="BK24" s="604"/>
      <c r="BL24" s="604"/>
      <c r="BM24" s="604"/>
      <c r="BN24" s="604"/>
      <c r="BO24" s="604"/>
      <c r="BP24" s="605"/>
      <c r="BQ24" s="103"/>
    </row>
    <row r="25" spans="1:70" ht="20.100000000000001" customHeight="1">
      <c r="A25" s="374">
        <v>3</v>
      </c>
      <c r="B25" s="479" t="s">
        <v>308</v>
      </c>
      <c r="C25" s="480"/>
      <c r="D25" s="480"/>
      <c r="E25" s="480"/>
      <c r="F25" s="480"/>
      <c r="G25" s="481"/>
      <c r="H25" s="482"/>
      <c r="I25" s="483"/>
      <c r="J25" s="483"/>
      <c r="K25" s="483"/>
      <c r="L25" s="483"/>
      <c r="M25" s="483"/>
      <c r="N25" s="483"/>
      <c r="O25" s="483"/>
      <c r="P25" s="484"/>
      <c r="Q25" s="85" t="s">
        <v>309</v>
      </c>
      <c r="R25" s="491"/>
      <c r="S25" s="491"/>
      <c r="T25" s="491"/>
      <c r="U25" s="491"/>
      <c r="V25" s="491"/>
      <c r="W25" s="491"/>
      <c r="X25" s="491"/>
      <c r="Y25" s="492"/>
      <c r="Z25" s="493">
        <v>1</v>
      </c>
      <c r="AA25" s="455"/>
      <c r="AB25" s="456"/>
      <c r="AC25" s="456"/>
      <c r="AD25" s="456"/>
      <c r="AE25" s="456"/>
      <c r="AF25" s="456"/>
      <c r="AG25" s="456"/>
      <c r="AH25" s="457"/>
      <c r="AI25" s="455"/>
      <c r="AJ25" s="456"/>
      <c r="AK25" s="456"/>
      <c r="AL25" s="456"/>
      <c r="AM25" s="456"/>
      <c r="AN25" s="456"/>
      <c r="AO25" s="456"/>
      <c r="AP25" s="648"/>
      <c r="AQ25" s="462" t="s">
        <v>310</v>
      </c>
      <c r="AR25" s="463"/>
      <c r="AV25" s="106"/>
      <c r="AW25" s="114" t="s">
        <v>385</v>
      </c>
      <c r="BQ25" s="103"/>
    </row>
    <row r="26" spans="1:70" ht="20.100000000000001" customHeight="1">
      <c r="A26" s="375"/>
      <c r="B26" s="464"/>
      <c r="C26" s="366"/>
      <c r="D26" s="366"/>
      <c r="E26" s="366"/>
      <c r="F26" s="366"/>
      <c r="G26" s="367"/>
      <c r="H26" s="485"/>
      <c r="I26" s="486"/>
      <c r="J26" s="486"/>
      <c r="K26" s="486"/>
      <c r="L26" s="486"/>
      <c r="M26" s="486"/>
      <c r="N26" s="486"/>
      <c r="O26" s="486"/>
      <c r="P26" s="487"/>
      <c r="Q26" s="86" t="s">
        <v>311</v>
      </c>
      <c r="R26" s="366"/>
      <c r="S26" s="366"/>
      <c r="T26" s="366"/>
      <c r="U26" s="366"/>
      <c r="V26" s="366"/>
      <c r="W26" s="366"/>
      <c r="X26" s="366"/>
      <c r="Y26" s="367"/>
      <c r="Z26" s="494"/>
      <c r="AA26" s="458"/>
      <c r="AB26" s="393"/>
      <c r="AC26" s="393"/>
      <c r="AD26" s="393"/>
      <c r="AE26" s="393"/>
      <c r="AF26" s="393"/>
      <c r="AG26" s="393"/>
      <c r="AH26" s="459"/>
      <c r="AI26" s="458"/>
      <c r="AJ26" s="393"/>
      <c r="AK26" s="393"/>
      <c r="AL26" s="393"/>
      <c r="AM26" s="393"/>
      <c r="AN26" s="393"/>
      <c r="AO26" s="393"/>
      <c r="AP26" s="649"/>
      <c r="AQ26" s="468"/>
      <c r="AR26" s="469"/>
      <c r="AV26" s="115"/>
      <c r="AW26" s="101"/>
      <c r="AX26" s="101"/>
      <c r="AY26" s="101"/>
      <c r="AZ26" s="101"/>
      <c r="BA26" s="101"/>
      <c r="BB26" s="101"/>
      <c r="BC26" s="101"/>
      <c r="BD26" s="101"/>
      <c r="BE26" s="101"/>
      <c r="BF26" s="101"/>
      <c r="BG26" s="101"/>
      <c r="BH26" s="101"/>
      <c r="BI26" s="101"/>
      <c r="BJ26" s="101"/>
      <c r="BK26" s="101"/>
      <c r="BL26" s="101"/>
      <c r="BM26" s="101"/>
      <c r="BN26" s="101"/>
      <c r="BO26" s="101"/>
      <c r="BP26" s="101"/>
      <c r="BQ26" s="116"/>
    </row>
    <row r="27" spans="1:70" ht="20.100000000000001" customHeight="1">
      <c r="A27" s="375"/>
      <c r="B27" s="464"/>
      <c r="C27" s="366"/>
      <c r="D27" s="366"/>
      <c r="E27" s="366"/>
      <c r="F27" s="366"/>
      <c r="G27" s="367"/>
      <c r="H27" s="485"/>
      <c r="I27" s="486"/>
      <c r="J27" s="486"/>
      <c r="K27" s="486"/>
      <c r="L27" s="486"/>
      <c r="M27" s="486"/>
      <c r="N27" s="486"/>
      <c r="O27" s="486"/>
      <c r="P27" s="487"/>
      <c r="Q27" s="86" t="s">
        <v>312</v>
      </c>
      <c r="R27" s="160"/>
      <c r="S27" s="160"/>
      <c r="T27" s="160"/>
      <c r="U27" s="160"/>
      <c r="V27" s="160"/>
      <c r="W27" s="160"/>
      <c r="X27" s="160"/>
      <c r="Y27" s="162"/>
      <c r="Z27" s="494"/>
      <c r="AA27" s="458"/>
      <c r="AB27" s="393"/>
      <c r="AC27" s="393"/>
      <c r="AD27" s="393"/>
      <c r="AE27" s="393"/>
      <c r="AF27" s="393"/>
      <c r="AG27" s="393"/>
      <c r="AH27" s="459"/>
      <c r="AI27" s="458"/>
      <c r="AJ27" s="393"/>
      <c r="AK27" s="393"/>
      <c r="AL27" s="393"/>
      <c r="AM27" s="393"/>
      <c r="AN27" s="393"/>
      <c r="AO27" s="393"/>
      <c r="AP27" s="649"/>
      <c r="AQ27" s="470"/>
      <c r="AR27" s="471"/>
      <c r="AW27" s="117"/>
    </row>
    <row r="28" spans="1:70" ht="20.100000000000001" customHeight="1">
      <c r="A28" s="375"/>
      <c r="B28" s="465"/>
      <c r="C28" s="466"/>
      <c r="D28" s="466"/>
      <c r="E28" s="466"/>
      <c r="F28" s="466"/>
      <c r="G28" s="467"/>
      <c r="H28" s="485"/>
      <c r="I28" s="486"/>
      <c r="J28" s="486"/>
      <c r="K28" s="486"/>
      <c r="L28" s="486"/>
      <c r="M28" s="486"/>
      <c r="N28" s="486"/>
      <c r="O28" s="486"/>
      <c r="P28" s="487"/>
      <c r="Q28" s="86" t="s">
        <v>313</v>
      </c>
      <c r="R28" s="366"/>
      <c r="S28" s="366"/>
      <c r="T28" s="366"/>
      <c r="U28" s="366"/>
      <c r="V28" s="366"/>
      <c r="W28" s="366"/>
      <c r="X28" s="366"/>
      <c r="Y28" s="367"/>
      <c r="Z28" s="494"/>
      <c r="AA28" s="458"/>
      <c r="AB28" s="393"/>
      <c r="AC28" s="393"/>
      <c r="AD28" s="393"/>
      <c r="AE28" s="393"/>
      <c r="AF28" s="393"/>
      <c r="AG28" s="393"/>
      <c r="AH28" s="459"/>
      <c r="AI28" s="458"/>
      <c r="AJ28" s="393"/>
      <c r="AK28" s="393"/>
      <c r="AL28" s="393"/>
      <c r="AM28" s="393"/>
      <c r="AN28" s="393"/>
      <c r="AO28" s="393"/>
      <c r="AP28" s="649"/>
      <c r="AQ28" s="470"/>
      <c r="AR28" s="471"/>
      <c r="AV28" s="88"/>
      <c r="AW28" s="88"/>
      <c r="AX28" s="88"/>
      <c r="AY28" s="88"/>
      <c r="AZ28" s="88"/>
      <c r="BA28" s="88"/>
      <c r="BB28" s="88"/>
      <c r="BC28" s="88"/>
      <c r="BD28" s="88"/>
      <c r="BE28" s="88"/>
      <c r="BF28" s="88"/>
      <c r="BG28" s="88"/>
      <c r="BH28" s="88"/>
      <c r="BI28" s="88"/>
      <c r="BJ28" s="88"/>
      <c r="BK28" s="88"/>
      <c r="BL28" s="88"/>
      <c r="BM28" s="88"/>
      <c r="BN28" s="88"/>
      <c r="BO28" s="88"/>
      <c r="BP28" s="88"/>
      <c r="BQ28" s="88"/>
    </row>
    <row r="29" spans="1:70" ht="20.100000000000001" customHeight="1">
      <c r="A29" s="375"/>
      <c r="B29" s="472" t="s">
        <v>314</v>
      </c>
      <c r="C29" s="473"/>
      <c r="D29" s="473"/>
      <c r="E29" s="473"/>
      <c r="F29" s="473"/>
      <c r="G29" s="474"/>
      <c r="H29" s="485"/>
      <c r="I29" s="486"/>
      <c r="J29" s="486"/>
      <c r="K29" s="486"/>
      <c r="L29" s="486"/>
      <c r="M29" s="486"/>
      <c r="N29" s="486"/>
      <c r="O29" s="486"/>
      <c r="P29" s="487"/>
      <c r="Q29" s="86" t="s">
        <v>315</v>
      </c>
      <c r="R29" s="366"/>
      <c r="S29" s="366"/>
      <c r="T29" s="366"/>
      <c r="U29" s="366"/>
      <c r="V29" s="366"/>
      <c r="W29" s="366"/>
      <c r="X29" s="366"/>
      <c r="Y29" s="367"/>
      <c r="Z29" s="494"/>
      <c r="AA29" s="458"/>
      <c r="AB29" s="393"/>
      <c r="AC29" s="393"/>
      <c r="AD29" s="393"/>
      <c r="AE29" s="393"/>
      <c r="AF29" s="393"/>
      <c r="AG29" s="393"/>
      <c r="AH29" s="459"/>
      <c r="AI29" s="458"/>
      <c r="AJ29" s="393"/>
      <c r="AK29" s="393"/>
      <c r="AL29" s="393"/>
      <c r="AM29" s="393"/>
      <c r="AN29" s="393"/>
      <c r="AO29" s="393"/>
      <c r="AP29" s="649"/>
      <c r="AQ29" s="475" t="s">
        <v>1</v>
      </c>
      <c r="AR29" s="476"/>
      <c r="AV29" s="88"/>
      <c r="AW29" s="88"/>
      <c r="AX29" s="88"/>
      <c r="AY29" s="88"/>
      <c r="AZ29" s="88"/>
      <c r="BA29" s="88"/>
      <c r="BB29" s="88"/>
      <c r="BC29" s="88"/>
      <c r="BD29" s="88"/>
      <c r="BE29" s="88"/>
      <c r="BF29" s="88"/>
      <c r="BG29" s="88"/>
      <c r="BH29" s="88"/>
      <c r="BI29" s="88"/>
      <c r="BJ29" s="88"/>
      <c r="BK29" s="88"/>
      <c r="BL29" s="88"/>
      <c r="BM29" s="88"/>
      <c r="BN29" s="88"/>
      <c r="BO29" s="88"/>
      <c r="BP29" s="88"/>
      <c r="BQ29" s="88"/>
    </row>
    <row r="30" spans="1:70" ht="20.100000000000001" customHeight="1">
      <c r="A30" s="375"/>
      <c r="B30" s="464"/>
      <c r="C30" s="366"/>
      <c r="D30" s="366"/>
      <c r="E30" s="366"/>
      <c r="F30" s="366"/>
      <c r="G30" s="367"/>
      <c r="H30" s="485"/>
      <c r="I30" s="486"/>
      <c r="J30" s="486"/>
      <c r="K30" s="486"/>
      <c r="L30" s="486"/>
      <c r="M30" s="486"/>
      <c r="N30" s="486"/>
      <c r="O30" s="486"/>
      <c r="P30" s="487"/>
      <c r="Q30" s="86" t="s">
        <v>316</v>
      </c>
      <c r="R30" s="497"/>
      <c r="S30" s="497"/>
      <c r="T30" s="497"/>
      <c r="U30" s="497"/>
      <c r="V30" s="497"/>
      <c r="W30" s="497"/>
      <c r="X30" s="497"/>
      <c r="Y30" s="498"/>
      <c r="Z30" s="494"/>
      <c r="AA30" s="458"/>
      <c r="AB30" s="393"/>
      <c r="AC30" s="393"/>
      <c r="AD30" s="393"/>
      <c r="AE30" s="393"/>
      <c r="AF30" s="393"/>
      <c r="AG30" s="393"/>
      <c r="AH30" s="459"/>
      <c r="AI30" s="458"/>
      <c r="AJ30" s="393"/>
      <c r="AK30" s="393"/>
      <c r="AL30" s="393"/>
      <c r="AM30" s="393"/>
      <c r="AN30" s="393"/>
      <c r="AO30" s="393"/>
      <c r="AP30" s="649"/>
      <c r="AQ30" s="442">
        <f>Z25*AQ26</f>
        <v>0</v>
      </c>
      <c r="AR30" s="443"/>
      <c r="AV30" s="88"/>
      <c r="AW30" s="88"/>
      <c r="AX30" s="88"/>
      <c r="AY30" s="88"/>
      <c r="AZ30" s="88"/>
      <c r="BA30" s="88"/>
      <c r="BB30" s="88"/>
      <c r="BC30" s="88"/>
      <c r="BD30" s="88"/>
      <c r="BE30" s="88"/>
      <c r="BF30" s="88"/>
      <c r="BG30" s="88"/>
      <c r="BH30" s="88"/>
      <c r="BI30" s="88"/>
      <c r="BJ30" s="88"/>
      <c r="BK30" s="88"/>
      <c r="BL30" s="88"/>
      <c r="BM30" s="88"/>
      <c r="BN30" s="88"/>
      <c r="BO30" s="88"/>
      <c r="BP30" s="88"/>
      <c r="BQ30" s="88"/>
    </row>
    <row r="31" spans="1:70" ht="20.100000000000001" customHeight="1">
      <c r="A31" s="375"/>
      <c r="B31" s="464"/>
      <c r="C31" s="366"/>
      <c r="D31" s="366"/>
      <c r="E31" s="366"/>
      <c r="F31" s="366"/>
      <c r="G31" s="367"/>
      <c r="H31" s="485"/>
      <c r="I31" s="486"/>
      <c r="J31" s="486"/>
      <c r="K31" s="486"/>
      <c r="L31" s="486"/>
      <c r="M31" s="486"/>
      <c r="N31" s="486"/>
      <c r="O31" s="486"/>
      <c r="P31" s="487"/>
      <c r="Q31" s="163"/>
      <c r="R31" s="366"/>
      <c r="S31" s="366"/>
      <c r="T31" s="366"/>
      <c r="U31" s="366"/>
      <c r="V31" s="366"/>
      <c r="W31" s="366"/>
      <c r="X31" s="366"/>
      <c r="Y31" s="367"/>
      <c r="Z31" s="494"/>
      <c r="AA31" s="458"/>
      <c r="AB31" s="393"/>
      <c r="AC31" s="393"/>
      <c r="AD31" s="393"/>
      <c r="AE31" s="393"/>
      <c r="AF31" s="393"/>
      <c r="AG31" s="393"/>
      <c r="AH31" s="459"/>
      <c r="AI31" s="458"/>
      <c r="AJ31" s="393"/>
      <c r="AK31" s="393"/>
      <c r="AL31" s="393"/>
      <c r="AM31" s="393"/>
      <c r="AN31" s="393"/>
      <c r="AO31" s="393"/>
      <c r="AP31" s="649"/>
      <c r="AQ31" s="444"/>
      <c r="AR31" s="445"/>
      <c r="AV31" s="88"/>
      <c r="AW31" s="88"/>
      <c r="AX31" s="88"/>
      <c r="AY31" s="88"/>
      <c r="AZ31" s="88"/>
      <c r="BA31" s="88"/>
      <c r="BB31" s="88"/>
      <c r="BC31" s="88"/>
      <c r="BD31" s="88"/>
      <c r="BE31" s="88"/>
      <c r="BF31" s="88"/>
      <c r="BG31" s="88"/>
      <c r="BH31" s="88"/>
      <c r="BI31" s="88"/>
      <c r="BJ31" s="88"/>
      <c r="BK31" s="88"/>
      <c r="BL31" s="88"/>
      <c r="BM31" s="88"/>
      <c r="BN31" s="88"/>
      <c r="BO31" s="88"/>
      <c r="BP31" s="88"/>
      <c r="BQ31" s="88"/>
    </row>
    <row r="32" spans="1:70" ht="20.100000000000001" customHeight="1" thickBot="1">
      <c r="A32" s="398"/>
      <c r="B32" s="496"/>
      <c r="C32" s="448"/>
      <c r="D32" s="448"/>
      <c r="E32" s="448"/>
      <c r="F32" s="448"/>
      <c r="G32" s="449"/>
      <c r="H32" s="488"/>
      <c r="I32" s="489"/>
      <c r="J32" s="489"/>
      <c r="K32" s="489"/>
      <c r="L32" s="489"/>
      <c r="M32" s="489"/>
      <c r="N32" s="489"/>
      <c r="O32" s="489"/>
      <c r="P32" s="490"/>
      <c r="Q32" s="96"/>
      <c r="R32" s="448"/>
      <c r="S32" s="448"/>
      <c r="T32" s="448"/>
      <c r="U32" s="448"/>
      <c r="V32" s="448"/>
      <c r="W32" s="448"/>
      <c r="X32" s="448"/>
      <c r="Y32" s="449"/>
      <c r="Z32" s="495"/>
      <c r="AA32" s="460"/>
      <c r="AB32" s="403"/>
      <c r="AC32" s="403"/>
      <c r="AD32" s="403"/>
      <c r="AE32" s="403"/>
      <c r="AF32" s="403"/>
      <c r="AG32" s="403"/>
      <c r="AH32" s="461"/>
      <c r="AI32" s="460"/>
      <c r="AJ32" s="403"/>
      <c r="AK32" s="403"/>
      <c r="AL32" s="403"/>
      <c r="AM32" s="403"/>
      <c r="AN32" s="403"/>
      <c r="AO32" s="403"/>
      <c r="AP32" s="653"/>
      <c r="AQ32" s="446"/>
      <c r="AR32" s="447"/>
      <c r="AV32" s="88"/>
      <c r="AW32" s="88"/>
      <c r="AX32" s="88"/>
      <c r="AY32" s="88"/>
      <c r="AZ32" s="88"/>
      <c r="BA32" s="88"/>
      <c r="BB32" s="88"/>
      <c r="BC32" s="88"/>
      <c r="BD32" s="88"/>
      <c r="BE32" s="88"/>
      <c r="BF32" s="88"/>
      <c r="BG32" s="88"/>
      <c r="BH32" s="88"/>
      <c r="BI32" s="88"/>
      <c r="BJ32" s="88"/>
      <c r="BK32" s="88"/>
      <c r="BL32" s="88"/>
      <c r="BM32" s="88"/>
      <c r="BN32" s="88"/>
      <c r="BO32" s="88"/>
      <c r="BP32" s="88"/>
      <c r="BQ32" s="88"/>
      <c r="BR32" s="88"/>
    </row>
    <row r="33" spans="1:70" ht="20.100000000000001" customHeight="1">
      <c r="Z33" s="97">
        <f>SUM(Z9:Z32)</f>
        <v>3</v>
      </c>
      <c r="AA33" s="164"/>
      <c r="AB33" s="164"/>
      <c r="AC33" s="164"/>
      <c r="AD33" s="164"/>
      <c r="AE33" s="164"/>
      <c r="AF33" s="164"/>
      <c r="AG33" s="164"/>
      <c r="AH33" s="164"/>
      <c r="AQ33" s="450">
        <f>AQ14+AQ22+AQ30</f>
        <v>3</v>
      </c>
      <c r="AR33" s="450"/>
      <c r="AV33" s="88"/>
      <c r="AW33" s="88"/>
      <c r="AX33" s="88"/>
      <c r="AY33" s="88"/>
      <c r="AZ33" s="88"/>
      <c r="BA33" s="88"/>
      <c r="BB33" s="88"/>
      <c r="BC33" s="88"/>
      <c r="BD33" s="88"/>
      <c r="BE33" s="88"/>
      <c r="BF33" s="88"/>
      <c r="BG33" s="88"/>
      <c r="BH33" s="88"/>
      <c r="BI33" s="88"/>
      <c r="BJ33" s="88"/>
      <c r="BK33" s="88"/>
      <c r="BL33" s="88"/>
      <c r="BM33" s="88"/>
      <c r="BN33" s="88"/>
      <c r="BO33" s="88"/>
      <c r="BP33" s="88"/>
      <c r="BQ33" s="88"/>
      <c r="BR33" s="88"/>
    </row>
    <row r="34" spans="1:70" ht="42.75" customHeight="1" thickBot="1">
      <c r="AV34" s="88"/>
      <c r="AW34" s="88"/>
      <c r="AX34" s="88"/>
      <c r="AY34" s="88"/>
      <c r="AZ34" s="88"/>
      <c r="BA34" s="88"/>
      <c r="BB34" s="88"/>
      <c r="BC34" s="88"/>
      <c r="BD34" s="88"/>
      <c r="BE34" s="88"/>
      <c r="BF34" s="88"/>
      <c r="BG34" s="88"/>
      <c r="BH34" s="88"/>
      <c r="BI34" s="88"/>
      <c r="BJ34" s="88"/>
      <c r="BK34" s="88"/>
      <c r="BL34" s="88"/>
      <c r="BM34" s="88"/>
      <c r="BN34" s="88"/>
      <c r="BO34" s="88"/>
      <c r="BP34" s="88"/>
      <c r="BQ34" s="88"/>
      <c r="BR34" s="88"/>
    </row>
    <row r="35" spans="1:70" s="88" customFormat="1" ht="27.75" customHeight="1" thickBot="1">
      <c r="A35" s="451" t="s">
        <v>317</v>
      </c>
      <c r="B35" s="451"/>
      <c r="C35" s="451"/>
      <c r="D35" s="451"/>
      <c r="E35" s="451"/>
      <c r="F35" s="451" t="s">
        <v>318</v>
      </c>
      <c r="G35" s="451"/>
      <c r="H35" s="451"/>
      <c r="I35" s="451"/>
      <c r="J35" s="451"/>
      <c r="K35" s="451"/>
      <c r="L35" s="452" t="s">
        <v>386</v>
      </c>
      <c r="M35" s="453"/>
      <c r="N35" s="453"/>
      <c r="O35" s="453"/>
      <c r="P35" s="453"/>
      <c r="Q35" s="453"/>
      <c r="R35" s="453"/>
      <c r="S35" s="453"/>
      <c r="T35" s="453"/>
      <c r="U35" s="453"/>
      <c r="V35" s="453"/>
      <c r="W35" s="453"/>
      <c r="X35" s="453"/>
      <c r="Y35" s="453"/>
      <c r="Z35" s="453"/>
      <c r="AA35" s="453"/>
      <c r="AB35" s="453"/>
      <c r="AC35" s="453"/>
      <c r="AD35" s="453"/>
      <c r="AE35" s="453"/>
      <c r="AF35" s="453"/>
      <c r="AG35" s="454"/>
      <c r="BR35" s="83"/>
    </row>
    <row r="36" spans="1:70" s="88" customFormat="1" ht="15" customHeight="1" thickBot="1">
      <c r="A36" s="165"/>
      <c r="B36" s="165"/>
      <c r="C36" s="165"/>
      <c r="D36" s="165"/>
      <c r="E36" s="165"/>
      <c r="F36" s="165"/>
      <c r="G36" s="165"/>
      <c r="H36" s="165"/>
      <c r="I36" s="165"/>
      <c r="J36" s="165"/>
      <c r="K36" s="165"/>
      <c r="L36" s="166"/>
      <c r="M36" s="166"/>
      <c r="N36" s="166"/>
      <c r="O36" s="166"/>
      <c r="P36" s="166"/>
      <c r="Q36" s="166"/>
      <c r="R36" s="166"/>
      <c r="S36" s="166"/>
      <c r="T36" s="166"/>
      <c r="U36" s="166"/>
      <c r="V36" s="166"/>
      <c r="W36" s="166"/>
      <c r="X36" s="166"/>
      <c r="Y36" s="166"/>
      <c r="Z36" s="166"/>
      <c r="AA36" s="166"/>
      <c r="AB36" s="166"/>
      <c r="AC36" s="166"/>
      <c r="AD36" s="166"/>
      <c r="AE36" s="166"/>
      <c r="AF36" s="166"/>
      <c r="AG36" s="166"/>
      <c r="BR36" s="82"/>
    </row>
    <row r="37" spans="1:70" s="83" customFormat="1" ht="24" customHeight="1">
      <c r="A37" s="405" t="s">
        <v>292</v>
      </c>
      <c r="B37" s="406"/>
      <c r="C37" s="406"/>
      <c r="D37" s="406"/>
      <c r="E37" s="406"/>
      <c r="F37" s="406"/>
      <c r="G37" s="406"/>
      <c r="H37" s="406"/>
      <c r="I37" s="406"/>
      <c r="J37" s="406"/>
      <c r="K37" s="406"/>
      <c r="L37" s="406"/>
      <c r="M37" s="406"/>
      <c r="N37" s="406"/>
      <c r="O37" s="406"/>
      <c r="P37" s="406"/>
      <c r="Q37" s="406"/>
      <c r="R37" s="406"/>
      <c r="S37" s="406"/>
      <c r="T37" s="406"/>
      <c r="U37" s="406"/>
      <c r="V37" s="406"/>
      <c r="W37" s="406"/>
      <c r="X37" s="407"/>
      <c r="Y37" s="408" t="s">
        <v>319</v>
      </c>
      <c r="Z37" s="409"/>
      <c r="AA37" s="409"/>
      <c r="AB37" s="409"/>
      <c r="AC37" s="409"/>
      <c r="AD37" s="409"/>
      <c r="AE37" s="409"/>
      <c r="AF37" s="409"/>
      <c r="AG37" s="410"/>
      <c r="AH37" s="411" t="s">
        <v>320</v>
      </c>
      <c r="AI37" s="412"/>
      <c r="AJ37" s="412"/>
      <c r="AK37" s="412"/>
      <c r="AL37" s="412"/>
      <c r="AM37" s="412"/>
      <c r="AN37" s="412"/>
      <c r="AO37" s="412"/>
      <c r="AP37" s="412"/>
      <c r="AQ37" s="412"/>
      <c r="AR37" s="413"/>
      <c r="AV37" s="118" t="s">
        <v>387</v>
      </c>
      <c r="AW37" s="88"/>
      <c r="AX37" s="88"/>
      <c r="AY37" s="88"/>
      <c r="AZ37" s="88"/>
      <c r="BA37" s="88"/>
      <c r="BB37" s="88"/>
      <c r="BC37" s="88"/>
      <c r="BD37" s="118"/>
      <c r="BR37" s="82"/>
    </row>
    <row r="38" spans="1:70" ht="15.6" customHeight="1">
      <c r="A38" s="374" t="s">
        <v>296</v>
      </c>
      <c r="B38" s="414" t="s">
        <v>321</v>
      </c>
      <c r="C38" s="415"/>
      <c r="D38" s="415"/>
      <c r="E38" s="415"/>
      <c r="F38" s="415"/>
      <c r="G38" s="415"/>
      <c r="H38" s="415"/>
      <c r="I38" s="415"/>
      <c r="J38" s="415"/>
      <c r="K38" s="416"/>
      <c r="L38" s="414" t="s">
        <v>298</v>
      </c>
      <c r="M38" s="415"/>
      <c r="N38" s="415"/>
      <c r="O38" s="415"/>
      <c r="P38" s="415"/>
      <c r="Q38" s="415"/>
      <c r="R38" s="415"/>
      <c r="S38" s="415"/>
      <c r="T38" s="415"/>
      <c r="U38" s="415"/>
      <c r="V38" s="415"/>
      <c r="W38" s="415"/>
      <c r="X38" s="423"/>
      <c r="Y38" s="424" t="s">
        <v>301</v>
      </c>
      <c r="Z38" s="425"/>
      <c r="AA38" s="425"/>
      <c r="AB38" s="425"/>
      <c r="AC38" s="425"/>
      <c r="AD38" s="425"/>
      <c r="AE38" s="425"/>
      <c r="AF38" s="425"/>
      <c r="AG38" s="426"/>
      <c r="AH38" s="427" t="s">
        <v>322</v>
      </c>
      <c r="AI38" s="428"/>
      <c r="AJ38" s="428"/>
      <c r="AK38" s="428"/>
      <c r="AL38" s="428"/>
      <c r="AM38" s="428"/>
      <c r="AN38" s="428"/>
      <c r="AO38" s="428"/>
      <c r="AP38" s="428"/>
      <c r="AQ38" s="428"/>
      <c r="AR38" s="429"/>
      <c r="AV38" s="119"/>
      <c r="AW38" s="120"/>
      <c r="AX38" s="120"/>
      <c r="AY38" s="120"/>
      <c r="AZ38" s="120"/>
      <c r="BA38" s="120"/>
      <c r="BB38" s="120"/>
      <c r="BC38" s="120"/>
      <c r="BD38" s="120"/>
      <c r="BE38" s="121"/>
      <c r="BF38" s="121"/>
      <c r="BG38" s="121"/>
      <c r="BH38" s="121"/>
      <c r="BI38" s="121"/>
      <c r="BJ38" s="121"/>
      <c r="BK38" s="121"/>
      <c r="BL38" s="121"/>
      <c r="BM38" s="121"/>
      <c r="BN38" s="121"/>
      <c r="BO38" s="121"/>
      <c r="BP38" s="121"/>
      <c r="BQ38" s="122"/>
    </row>
    <row r="39" spans="1:70" ht="15.6" customHeight="1">
      <c r="A39" s="375"/>
      <c r="B39" s="417"/>
      <c r="C39" s="418"/>
      <c r="D39" s="418"/>
      <c r="E39" s="418"/>
      <c r="F39" s="418"/>
      <c r="G39" s="418"/>
      <c r="H39" s="418"/>
      <c r="I39" s="418"/>
      <c r="J39" s="418"/>
      <c r="K39" s="419"/>
      <c r="L39" s="430" t="s">
        <v>323</v>
      </c>
      <c r="M39" s="431"/>
      <c r="N39" s="431"/>
      <c r="O39" s="431"/>
      <c r="P39" s="431"/>
      <c r="Q39" s="431"/>
      <c r="R39" s="431"/>
      <c r="S39" s="431"/>
      <c r="T39" s="431"/>
      <c r="U39" s="431"/>
      <c r="V39" s="431"/>
      <c r="W39" s="431"/>
      <c r="X39" s="432"/>
      <c r="Y39" s="436" t="s">
        <v>324</v>
      </c>
      <c r="Z39" s="437"/>
      <c r="AA39" s="437"/>
      <c r="AB39" s="437"/>
      <c r="AC39" s="437"/>
      <c r="AD39" s="437"/>
      <c r="AE39" s="437"/>
      <c r="AF39" s="437"/>
      <c r="AG39" s="438"/>
      <c r="AH39" s="368" t="s">
        <v>325</v>
      </c>
      <c r="AI39" s="369"/>
      <c r="AJ39" s="369"/>
      <c r="AK39" s="369"/>
      <c r="AL39" s="369"/>
      <c r="AM39" s="369"/>
      <c r="AN39" s="369"/>
      <c r="AO39" s="369"/>
      <c r="AP39" s="369"/>
      <c r="AQ39" s="369"/>
      <c r="AR39" s="370"/>
      <c r="AV39" s="104"/>
      <c r="AW39" s="123" t="s">
        <v>388</v>
      </c>
      <c r="AX39" s="124"/>
      <c r="AY39" s="124"/>
      <c r="AZ39" s="124"/>
      <c r="BA39" s="124"/>
      <c r="BB39" s="124"/>
      <c r="BC39" s="124"/>
      <c r="BD39" s="124"/>
      <c r="BE39" s="124"/>
      <c r="BF39" s="124"/>
      <c r="BG39" s="124"/>
      <c r="BH39" s="124"/>
      <c r="BI39" s="124"/>
      <c r="BJ39" s="124"/>
      <c r="BK39" s="124"/>
      <c r="BL39" s="124"/>
      <c r="BM39" s="124"/>
      <c r="BN39" s="124"/>
      <c r="BO39" s="124"/>
      <c r="BP39" s="124"/>
      <c r="BQ39" s="105"/>
    </row>
    <row r="40" spans="1:70">
      <c r="A40" s="376"/>
      <c r="B40" s="420"/>
      <c r="C40" s="421"/>
      <c r="D40" s="421"/>
      <c r="E40" s="421"/>
      <c r="F40" s="421"/>
      <c r="G40" s="421"/>
      <c r="H40" s="421"/>
      <c r="I40" s="421"/>
      <c r="J40" s="421"/>
      <c r="K40" s="422"/>
      <c r="L40" s="433"/>
      <c r="M40" s="434"/>
      <c r="N40" s="434"/>
      <c r="O40" s="434"/>
      <c r="P40" s="434"/>
      <c r="Q40" s="434"/>
      <c r="R40" s="434"/>
      <c r="S40" s="434"/>
      <c r="T40" s="434"/>
      <c r="U40" s="434"/>
      <c r="V40" s="434"/>
      <c r="W40" s="434"/>
      <c r="X40" s="435"/>
      <c r="Y40" s="439"/>
      <c r="Z40" s="440"/>
      <c r="AA40" s="440"/>
      <c r="AB40" s="440"/>
      <c r="AC40" s="440"/>
      <c r="AD40" s="440"/>
      <c r="AE40" s="440"/>
      <c r="AF40" s="440"/>
      <c r="AG40" s="441"/>
      <c r="AH40" s="371"/>
      <c r="AI40" s="372"/>
      <c r="AJ40" s="372"/>
      <c r="AK40" s="372"/>
      <c r="AL40" s="372"/>
      <c r="AM40" s="372"/>
      <c r="AN40" s="372"/>
      <c r="AO40" s="372"/>
      <c r="AP40" s="372"/>
      <c r="AQ40" s="372"/>
      <c r="AR40" s="373"/>
      <c r="AV40" s="125"/>
      <c r="AY40" s="124"/>
      <c r="AZ40" s="124"/>
      <c r="BA40" s="124"/>
      <c r="BB40" s="124"/>
      <c r="BC40" s="124"/>
      <c r="BD40" s="124"/>
      <c r="BE40" s="124"/>
      <c r="BF40" s="124"/>
      <c r="BG40" s="124"/>
      <c r="BH40" s="124"/>
      <c r="BI40" s="124"/>
      <c r="BJ40" s="124"/>
      <c r="BK40" s="124"/>
      <c r="BL40" s="124"/>
      <c r="BM40" s="124"/>
      <c r="BN40" s="124"/>
      <c r="BO40" s="124"/>
      <c r="BP40" s="124"/>
      <c r="BQ40" s="103"/>
    </row>
    <row r="41" spans="1:70" ht="20.100000000000001" customHeight="1">
      <c r="A41" s="374">
        <v>1</v>
      </c>
      <c r="B41" s="377" t="s">
        <v>326</v>
      </c>
      <c r="C41" s="378"/>
      <c r="D41" s="378"/>
      <c r="E41" s="378"/>
      <c r="F41" s="378"/>
      <c r="G41" s="378"/>
      <c r="H41" s="378"/>
      <c r="I41" s="378"/>
      <c r="J41" s="378"/>
      <c r="K41" s="379"/>
      <c r="L41" s="380"/>
      <c r="M41" s="381"/>
      <c r="N41" s="381"/>
      <c r="O41" s="381"/>
      <c r="P41" s="381"/>
      <c r="Q41" s="381"/>
      <c r="R41" s="381"/>
      <c r="S41" s="381"/>
      <c r="T41" s="381"/>
      <c r="U41" s="381"/>
      <c r="V41" s="381"/>
      <c r="W41" s="381"/>
      <c r="X41" s="382"/>
      <c r="Y41" s="155"/>
      <c r="Z41" s="155"/>
      <c r="AA41" s="155"/>
      <c r="AB41" s="155"/>
      <c r="AC41" s="155"/>
      <c r="AD41" s="155"/>
      <c r="AE41" s="155"/>
      <c r="AF41" s="155"/>
      <c r="AG41" s="155"/>
      <c r="AH41" s="167"/>
      <c r="AI41" s="168"/>
      <c r="AJ41" s="168"/>
      <c r="AK41" s="168"/>
      <c r="AL41" s="168"/>
      <c r="AM41" s="168"/>
      <c r="AN41" s="168"/>
      <c r="AO41" s="168"/>
      <c r="AP41" s="168"/>
      <c r="AQ41" s="168"/>
      <c r="AR41" s="169"/>
      <c r="AV41" s="125"/>
      <c r="AX41" s="126" t="s">
        <v>389</v>
      </c>
      <c r="AY41" s="124"/>
      <c r="AZ41" s="124"/>
      <c r="BA41" s="124"/>
      <c r="BB41" s="124"/>
      <c r="BC41" s="124"/>
      <c r="BD41" s="124"/>
      <c r="BE41" s="124"/>
      <c r="BF41" s="124"/>
      <c r="BG41" s="124"/>
      <c r="BH41" s="124"/>
      <c r="BI41" s="124"/>
      <c r="BJ41" s="124"/>
      <c r="BK41" s="124"/>
      <c r="BL41" s="124"/>
      <c r="BM41" s="124"/>
      <c r="BN41" s="124"/>
      <c r="BO41" s="124"/>
      <c r="BP41" s="124"/>
      <c r="BQ41" s="103"/>
    </row>
    <row r="42" spans="1:70" ht="20.100000000000001" customHeight="1">
      <c r="A42" s="375"/>
      <c r="B42" s="389"/>
      <c r="C42" s="390"/>
      <c r="D42" s="390"/>
      <c r="E42" s="390"/>
      <c r="F42" s="390"/>
      <c r="G42" s="390"/>
      <c r="H42" s="390"/>
      <c r="I42" s="390"/>
      <c r="J42" s="390"/>
      <c r="K42" s="391"/>
      <c r="L42" s="383"/>
      <c r="M42" s="384"/>
      <c r="N42" s="384"/>
      <c r="O42" s="384"/>
      <c r="P42" s="384"/>
      <c r="Q42" s="384"/>
      <c r="R42" s="384"/>
      <c r="S42" s="384"/>
      <c r="T42" s="384"/>
      <c r="U42" s="384"/>
      <c r="V42" s="384"/>
      <c r="W42" s="384"/>
      <c r="X42" s="385"/>
      <c r="Y42" s="156"/>
      <c r="Z42" s="156"/>
      <c r="AA42" s="156"/>
      <c r="AB42" s="156"/>
      <c r="AC42" s="156"/>
      <c r="AD42" s="156"/>
      <c r="AE42" s="156"/>
      <c r="AF42" s="156"/>
      <c r="AG42" s="156"/>
      <c r="AH42" s="170"/>
      <c r="AI42" s="81"/>
      <c r="AJ42" s="81"/>
      <c r="AK42" s="81"/>
      <c r="AL42" s="81"/>
      <c r="AM42" s="81"/>
      <c r="AN42" s="81"/>
      <c r="AO42" s="81"/>
      <c r="AP42" s="81"/>
      <c r="AQ42" s="81"/>
      <c r="AR42" s="171"/>
      <c r="AV42" s="125"/>
      <c r="AX42" s="126" t="s">
        <v>390</v>
      </c>
      <c r="AY42" s="124"/>
      <c r="AZ42" s="124"/>
      <c r="BA42" s="124"/>
      <c r="BB42" s="124"/>
      <c r="BC42" s="124"/>
      <c r="BD42" s="124"/>
      <c r="BE42" s="124"/>
      <c r="BF42" s="124"/>
      <c r="BG42" s="124"/>
      <c r="BH42" s="124"/>
      <c r="BI42" s="124"/>
      <c r="BJ42" s="124"/>
      <c r="BK42" s="124"/>
      <c r="BL42" s="124"/>
      <c r="BM42" s="124"/>
      <c r="BN42" s="124"/>
      <c r="BO42" s="124"/>
      <c r="BP42" s="124"/>
      <c r="BQ42" s="105"/>
    </row>
    <row r="43" spans="1:70" ht="20.100000000000001" customHeight="1">
      <c r="A43" s="375"/>
      <c r="B43" s="392"/>
      <c r="C43" s="393"/>
      <c r="D43" s="393"/>
      <c r="E43" s="393"/>
      <c r="F43" s="393"/>
      <c r="G43" s="393"/>
      <c r="H43" s="393"/>
      <c r="I43" s="393"/>
      <c r="J43" s="393"/>
      <c r="K43" s="394"/>
      <c r="L43" s="383"/>
      <c r="M43" s="384"/>
      <c r="N43" s="384"/>
      <c r="O43" s="384"/>
      <c r="P43" s="384"/>
      <c r="Q43" s="384"/>
      <c r="R43" s="384"/>
      <c r="S43" s="384"/>
      <c r="T43" s="384"/>
      <c r="U43" s="384"/>
      <c r="V43" s="384"/>
      <c r="W43" s="384"/>
      <c r="X43" s="385"/>
      <c r="Y43" s="156"/>
      <c r="Z43" s="156"/>
      <c r="AA43" s="156"/>
      <c r="AB43" s="156"/>
      <c r="AC43" s="156"/>
      <c r="AD43" s="156"/>
      <c r="AE43" s="156"/>
      <c r="AF43" s="156"/>
      <c r="AG43" s="156"/>
      <c r="AH43" s="170"/>
      <c r="AI43" s="81"/>
      <c r="AJ43" s="81"/>
      <c r="AK43" s="81"/>
      <c r="AL43" s="81"/>
      <c r="AM43" s="81"/>
      <c r="AN43" s="81"/>
      <c r="AO43" s="81"/>
      <c r="AP43" s="81"/>
      <c r="AQ43" s="81"/>
      <c r="AR43" s="171"/>
      <c r="AV43" s="125"/>
      <c r="AW43" s="124"/>
      <c r="AX43" s="124"/>
      <c r="AY43" s="124"/>
      <c r="AZ43" s="124"/>
      <c r="BA43" s="124"/>
      <c r="BB43" s="124"/>
      <c r="BC43" s="124"/>
      <c r="BD43" s="124"/>
      <c r="BE43" s="124"/>
      <c r="BF43" s="124"/>
      <c r="BG43" s="124"/>
      <c r="BH43" s="124"/>
      <c r="BI43" s="124"/>
      <c r="BJ43" s="124"/>
      <c r="BK43" s="124"/>
      <c r="BL43" s="124"/>
      <c r="BM43" s="124"/>
      <c r="BN43" s="124"/>
      <c r="BO43" s="124"/>
      <c r="BP43" s="124"/>
      <c r="BQ43" s="103"/>
    </row>
    <row r="44" spans="1:70" ht="20.100000000000001" customHeight="1">
      <c r="A44" s="375"/>
      <c r="B44" s="392"/>
      <c r="C44" s="393"/>
      <c r="D44" s="393"/>
      <c r="E44" s="393"/>
      <c r="F44" s="393"/>
      <c r="G44" s="393"/>
      <c r="H44" s="393"/>
      <c r="I44" s="393"/>
      <c r="J44" s="393"/>
      <c r="K44" s="394"/>
      <c r="L44" s="383"/>
      <c r="M44" s="384"/>
      <c r="N44" s="384"/>
      <c r="O44" s="384"/>
      <c r="P44" s="384"/>
      <c r="Q44" s="384"/>
      <c r="R44" s="384"/>
      <c r="S44" s="384"/>
      <c r="T44" s="384"/>
      <c r="U44" s="384"/>
      <c r="V44" s="384"/>
      <c r="W44" s="384"/>
      <c r="X44" s="385"/>
      <c r="Y44" s="156"/>
      <c r="Z44" s="156"/>
      <c r="AA44" s="156"/>
      <c r="AB44" s="156"/>
      <c r="AC44" s="156"/>
      <c r="AD44" s="156"/>
      <c r="AE44" s="156"/>
      <c r="AF44" s="156"/>
      <c r="AG44" s="156"/>
      <c r="AH44" s="170"/>
      <c r="AI44" s="81"/>
      <c r="AJ44" s="81"/>
      <c r="AK44" s="81"/>
      <c r="AL44" s="81"/>
      <c r="AM44" s="81"/>
      <c r="AN44" s="81"/>
      <c r="AO44" s="81"/>
      <c r="AP44" s="81"/>
      <c r="AQ44" s="81"/>
      <c r="AR44" s="171"/>
      <c r="AV44" s="127"/>
      <c r="AW44" s="128" t="s">
        <v>391</v>
      </c>
      <c r="AX44" s="124"/>
      <c r="AY44" s="124"/>
      <c r="AZ44" s="124"/>
      <c r="BA44" s="124"/>
      <c r="BB44" s="124"/>
      <c r="BC44" s="124"/>
      <c r="BD44" s="124"/>
      <c r="BE44" s="124"/>
      <c r="BF44" s="124"/>
      <c r="BG44" s="124"/>
      <c r="BH44" s="124"/>
      <c r="BI44" s="124"/>
      <c r="BJ44" s="124"/>
      <c r="BK44" s="124"/>
      <c r="BL44" s="124"/>
      <c r="BM44" s="124"/>
      <c r="BN44" s="124"/>
      <c r="BO44" s="124"/>
      <c r="BP44" s="124"/>
      <c r="BQ44" s="103"/>
    </row>
    <row r="45" spans="1:70" ht="20.100000000000001" customHeight="1">
      <c r="A45" s="375"/>
      <c r="B45" s="392"/>
      <c r="C45" s="393"/>
      <c r="D45" s="393"/>
      <c r="E45" s="393"/>
      <c r="F45" s="393"/>
      <c r="G45" s="393"/>
      <c r="H45" s="393"/>
      <c r="I45" s="393"/>
      <c r="J45" s="393"/>
      <c r="K45" s="394"/>
      <c r="L45" s="383"/>
      <c r="M45" s="384"/>
      <c r="N45" s="384"/>
      <c r="O45" s="384"/>
      <c r="P45" s="384"/>
      <c r="Q45" s="384"/>
      <c r="R45" s="384"/>
      <c r="S45" s="384"/>
      <c r="T45" s="384"/>
      <c r="U45" s="384"/>
      <c r="V45" s="384"/>
      <c r="W45" s="384"/>
      <c r="X45" s="385"/>
      <c r="Y45" s="156"/>
      <c r="Z45" s="156"/>
      <c r="AA45" s="156"/>
      <c r="AB45" s="156"/>
      <c r="AC45" s="156"/>
      <c r="AD45" s="156"/>
      <c r="AE45" s="156"/>
      <c r="AF45" s="156"/>
      <c r="AG45" s="156"/>
      <c r="AH45" s="170"/>
      <c r="AI45" s="81"/>
      <c r="AJ45" s="81"/>
      <c r="AK45" s="81"/>
      <c r="AL45" s="81"/>
      <c r="AM45" s="81"/>
      <c r="AN45" s="81"/>
      <c r="AO45" s="81"/>
      <c r="AP45" s="81"/>
      <c r="AQ45" s="81"/>
      <c r="AR45" s="171"/>
      <c r="AV45" s="125"/>
      <c r="AX45" s="126" t="s">
        <v>392</v>
      </c>
      <c r="AY45" s="124"/>
      <c r="AZ45" s="124"/>
      <c r="BA45" s="124"/>
      <c r="BB45" s="124"/>
      <c r="BC45" s="124"/>
      <c r="BD45" s="124"/>
      <c r="BE45" s="124"/>
      <c r="BF45" s="124"/>
      <c r="BG45" s="124"/>
      <c r="BH45" s="124"/>
      <c r="BI45" s="124"/>
      <c r="BJ45" s="124"/>
      <c r="BK45" s="124"/>
      <c r="BL45" s="124"/>
      <c r="BM45" s="124"/>
      <c r="BN45" s="124"/>
      <c r="BO45" s="124"/>
      <c r="BP45" s="124"/>
      <c r="BQ45" s="103"/>
    </row>
    <row r="46" spans="1:70" ht="20.100000000000001" customHeight="1">
      <c r="A46" s="375"/>
      <c r="B46" s="392"/>
      <c r="C46" s="393"/>
      <c r="D46" s="393"/>
      <c r="E46" s="393"/>
      <c r="F46" s="393"/>
      <c r="G46" s="393"/>
      <c r="H46" s="393"/>
      <c r="I46" s="393"/>
      <c r="J46" s="393"/>
      <c r="K46" s="394"/>
      <c r="L46" s="383"/>
      <c r="M46" s="384"/>
      <c r="N46" s="384"/>
      <c r="O46" s="384"/>
      <c r="P46" s="384"/>
      <c r="Q46" s="384"/>
      <c r="R46" s="384"/>
      <c r="S46" s="384"/>
      <c r="T46" s="384"/>
      <c r="U46" s="384"/>
      <c r="V46" s="384"/>
      <c r="W46" s="384"/>
      <c r="X46" s="385"/>
      <c r="Y46" s="156"/>
      <c r="Z46" s="156"/>
      <c r="AA46" s="156"/>
      <c r="AB46" s="156"/>
      <c r="AC46" s="156"/>
      <c r="AD46" s="156"/>
      <c r="AE46" s="156"/>
      <c r="AF46" s="156"/>
      <c r="AG46" s="156"/>
      <c r="AH46" s="170"/>
      <c r="AI46" s="81"/>
      <c r="AJ46" s="81"/>
      <c r="AK46" s="81"/>
      <c r="AL46" s="81"/>
      <c r="AM46" s="81"/>
      <c r="AN46" s="81"/>
      <c r="AO46" s="81"/>
      <c r="AP46" s="81"/>
      <c r="AQ46" s="81"/>
      <c r="AR46" s="171"/>
      <c r="AV46" s="125"/>
      <c r="AX46" s="126" t="s">
        <v>393</v>
      </c>
      <c r="AY46" s="124"/>
      <c r="AZ46" s="124"/>
      <c r="BA46" s="124"/>
      <c r="BB46" s="124"/>
      <c r="BC46" s="124"/>
      <c r="BD46" s="124"/>
      <c r="BE46" s="124"/>
      <c r="BF46" s="124"/>
      <c r="BG46" s="124"/>
      <c r="BH46" s="124"/>
      <c r="BI46" s="124"/>
      <c r="BJ46" s="124"/>
      <c r="BK46" s="124"/>
      <c r="BL46" s="124"/>
      <c r="BM46" s="124"/>
      <c r="BN46" s="124"/>
      <c r="BO46" s="124"/>
      <c r="BP46" s="124"/>
      <c r="BQ46" s="103"/>
    </row>
    <row r="47" spans="1:70" ht="20.100000000000001" customHeight="1">
      <c r="A47" s="376"/>
      <c r="B47" s="395"/>
      <c r="C47" s="396"/>
      <c r="D47" s="396"/>
      <c r="E47" s="396"/>
      <c r="F47" s="396"/>
      <c r="G47" s="396"/>
      <c r="H47" s="396"/>
      <c r="I47" s="396"/>
      <c r="J47" s="396"/>
      <c r="K47" s="397"/>
      <c r="L47" s="386"/>
      <c r="M47" s="387"/>
      <c r="N47" s="387"/>
      <c r="O47" s="387"/>
      <c r="P47" s="387"/>
      <c r="Q47" s="387"/>
      <c r="R47" s="387"/>
      <c r="S47" s="387"/>
      <c r="T47" s="387"/>
      <c r="U47" s="387"/>
      <c r="V47" s="387"/>
      <c r="W47" s="387"/>
      <c r="X47" s="388"/>
      <c r="Y47" s="157"/>
      <c r="Z47" s="157"/>
      <c r="AA47" s="157"/>
      <c r="AB47" s="157"/>
      <c r="AC47" s="157"/>
      <c r="AD47" s="157"/>
      <c r="AE47" s="157"/>
      <c r="AF47" s="157"/>
      <c r="AG47" s="157"/>
      <c r="AH47" s="172"/>
      <c r="AI47" s="173"/>
      <c r="AJ47" s="173"/>
      <c r="AK47" s="173"/>
      <c r="AL47" s="173"/>
      <c r="AM47" s="173"/>
      <c r="AN47" s="173"/>
      <c r="AO47" s="173"/>
      <c r="AP47" s="173"/>
      <c r="AQ47" s="173"/>
      <c r="AR47" s="174"/>
      <c r="AV47" s="125"/>
      <c r="AW47" s="124"/>
      <c r="AX47" s="124"/>
      <c r="AY47" s="124"/>
      <c r="AZ47" s="124"/>
      <c r="BA47" s="124"/>
      <c r="BB47" s="124"/>
      <c r="BC47" s="124"/>
      <c r="BD47" s="124"/>
      <c r="BE47" s="124"/>
      <c r="BF47" s="124"/>
      <c r="BG47" s="124"/>
      <c r="BH47" s="124"/>
      <c r="BI47" s="124"/>
      <c r="BJ47" s="124"/>
      <c r="BK47" s="124"/>
      <c r="BL47" s="124"/>
      <c r="BM47" s="124"/>
      <c r="BN47" s="124"/>
      <c r="BO47" s="124"/>
      <c r="BP47" s="124"/>
      <c r="BQ47" s="103"/>
    </row>
    <row r="48" spans="1:70" ht="20.100000000000001" customHeight="1">
      <c r="A48" s="374">
        <v>2</v>
      </c>
      <c r="B48" s="377" t="s">
        <v>327</v>
      </c>
      <c r="C48" s="378"/>
      <c r="D48" s="378"/>
      <c r="E48" s="378"/>
      <c r="F48" s="378"/>
      <c r="G48" s="378"/>
      <c r="H48" s="378"/>
      <c r="I48" s="378"/>
      <c r="J48" s="378"/>
      <c r="K48" s="379"/>
      <c r="L48" s="380"/>
      <c r="M48" s="381"/>
      <c r="N48" s="381"/>
      <c r="O48" s="381"/>
      <c r="P48" s="381"/>
      <c r="Q48" s="381"/>
      <c r="R48" s="381"/>
      <c r="S48" s="381"/>
      <c r="T48" s="381"/>
      <c r="U48" s="381"/>
      <c r="V48" s="381"/>
      <c r="W48" s="381"/>
      <c r="X48" s="382"/>
      <c r="Y48" s="155"/>
      <c r="Z48" s="155"/>
      <c r="AA48" s="155"/>
      <c r="AB48" s="155"/>
      <c r="AC48" s="155"/>
      <c r="AD48" s="155"/>
      <c r="AE48" s="155"/>
      <c r="AF48" s="155"/>
      <c r="AG48" s="155"/>
      <c r="AH48" s="167"/>
      <c r="AI48" s="168"/>
      <c r="AJ48" s="168"/>
      <c r="AK48" s="168"/>
      <c r="AL48" s="168"/>
      <c r="AM48" s="168"/>
      <c r="AN48" s="168"/>
      <c r="AO48" s="168"/>
      <c r="AP48" s="168"/>
      <c r="AQ48" s="168"/>
      <c r="AR48" s="169"/>
      <c r="AV48" s="125"/>
      <c r="AW48" s="129" t="s">
        <v>394</v>
      </c>
      <c r="AX48" s="130"/>
      <c r="AY48" s="130"/>
      <c r="AZ48" s="130"/>
      <c r="BA48" s="130"/>
      <c r="BB48" s="130"/>
      <c r="BC48" s="130"/>
      <c r="BD48" s="130"/>
      <c r="BE48" s="130"/>
      <c r="BF48" s="131"/>
      <c r="BG48" s="131"/>
      <c r="BH48" s="131"/>
      <c r="BI48" s="131"/>
      <c r="BJ48" s="124"/>
      <c r="BK48" s="124"/>
      <c r="BL48" s="124"/>
      <c r="BM48" s="124"/>
      <c r="BN48" s="124"/>
      <c r="BO48" s="124"/>
      <c r="BP48" s="124"/>
      <c r="BQ48" s="103"/>
    </row>
    <row r="49" spans="1:69" ht="20.100000000000001" customHeight="1">
      <c r="A49" s="375"/>
      <c r="B49" s="389"/>
      <c r="C49" s="390"/>
      <c r="D49" s="390"/>
      <c r="E49" s="390"/>
      <c r="F49" s="390"/>
      <c r="G49" s="390"/>
      <c r="H49" s="390"/>
      <c r="I49" s="390"/>
      <c r="J49" s="390"/>
      <c r="K49" s="391"/>
      <c r="L49" s="383"/>
      <c r="M49" s="384"/>
      <c r="N49" s="384"/>
      <c r="O49" s="384"/>
      <c r="P49" s="384"/>
      <c r="Q49" s="384"/>
      <c r="R49" s="384"/>
      <c r="S49" s="384"/>
      <c r="T49" s="384"/>
      <c r="U49" s="384"/>
      <c r="V49" s="384"/>
      <c r="W49" s="384"/>
      <c r="X49" s="385"/>
      <c r="Y49" s="156"/>
      <c r="Z49" s="156"/>
      <c r="AA49" s="156"/>
      <c r="AB49" s="156"/>
      <c r="AC49" s="156"/>
      <c r="AD49" s="156"/>
      <c r="AE49" s="156"/>
      <c r="AF49" s="156"/>
      <c r="AG49" s="156"/>
      <c r="AH49" s="170"/>
      <c r="AI49" s="81"/>
      <c r="AJ49" s="81"/>
      <c r="AK49" s="81"/>
      <c r="AL49" s="81"/>
      <c r="AM49" s="81"/>
      <c r="AN49" s="81"/>
      <c r="AO49" s="81"/>
      <c r="AP49" s="81"/>
      <c r="AQ49" s="81"/>
      <c r="AR49" s="171"/>
      <c r="AV49" s="132"/>
      <c r="AW49" s="133"/>
      <c r="AX49" s="123" t="s">
        <v>395</v>
      </c>
      <c r="AY49" s="133"/>
      <c r="AZ49" s="134"/>
      <c r="BA49" s="134"/>
      <c r="BB49" s="134"/>
      <c r="BC49" s="134"/>
      <c r="BD49" s="134"/>
      <c r="BE49" s="134"/>
      <c r="BF49" s="134"/>
      <c r="BG49" s="134"/>
      <c r="BH49" s="134"/>
      <c r="BI49" s="134"/>
      <c r="BJ49" s="131"/>
      <c r="BK49" s="131"/>
      <c r="BL49" s="88"/>
      <c r="BM49" s="88"/>
      <c r="BN49" s="88"/>
      <c r="BO49" s="88"/>
      <c r="BQ49" s="103"/>
    </row>
    <row r="50" spans="1:69" ht="20.100000000000001" customHeight="1">
      <c r="A50" s="375"/>
      <c r="B50" s="392"/>
      <c r="C50" s="393"/>
      <c r="D50" s="393"/>
      <c r="E50" s="393"/>
      <c r="F50" s="393"/>
      <c r="G50" s="393"/>
      <c r="H50" s="393"/>
      <c r="I50" s="393"/>
      <c r="J50" s="393"/>
      <c r="K50" s="394"/>
      <c r="L50" s="383"/>
      <c r="M50" s="384"/>
      <c r="N50" s="384"/>
      <c r="O50" s="384"/>
      <c r="P50" s="384"/>
      <c r="Q50" s="384"/>
      <c r="R50" s="384"/>
      <c r="S50" s="384"/>
      <c r="T50" s="384"/>
      <c r="U50" s="384"/>
      <c r="V50" s="384"/>
      <c r="W50" s="384"/>
      <c r="X50" s="385"/>
      <c r="Y50" s="156"/>
      <c r="Z50" s="156"/>
      <c r="AA50" s="156"/>
      <c r="AB50" s="156"/>
      <c r="AC50" s="156"/>
      <c r="AD50" s="156"/>
      <c r="AE50" s="156"/>
      <c r="AF50" s="156"/>
      <c r="AG50" s="156"/>
      <c r="AH50" s="170"/>
      <c r="AI50" s="81"/>
      <c r="AJ50" s="81"/>
      <c r="AK50" s="81"/>
      <c r="AL50" s="81"/>
      <c r="AM50" s="81"/>
      <c r="AN50" s="81"/>
      <c r="AO50" s="81"/>
      <c r="AP50" s="81"/>
      <c r="AQ50" s="81"/>
      <c r="AR50" s="171"/>
      <c r="AV50" s="104"/>
      <c r="AW50" s="83"/>
      <c r="AX50" s="83"/>
      <c r="AY50" s="117" t="s">
        <v>396</v>
      </c>
      <c r="AZ50" s="134"/>
      <c r="BA50" s="134"/>
      <c r="BB50" s="134"/>
      <c r="BC50" s="134"/>
      <c r="BD50" s="134"/>
      <c r="BE50" s="134"/>
      <c r="BF50" s="134"/>
      <c r="BG50" s="134"/>
      <c r="BH50" s="134"/>
      <c r="BI50" s="134"/>
      <c r="BJ50" s="134"/>
      <c r="BK50" s="134"/>
      <c r="BL50" s="134"/>
      <c r="BM50" s="134"/>
      <c r="BN50" s="134"/>
      <c r="BO50" s="134"/>
      <c r="BP50" s="134"/>
      <c r="BQ50" s="103"/>
    </row>
    <row r="51" spans="1:69" ht="20.100000000000001" customHeight="1">
      <c r="A51" s="375"/>
      <c r="B51" s="392"/>
      <c r="C51" s="393"/>
      <c r="D51" s="393"/>
      <c r="E51" s="393"/>
      <c r="F51" s="393"/>
      <c r="G51" s="393"/>
      <c r="H51" s="393"/>
      <c r="I51" s="393"/>
      <c r="J51" s="393"/>
      <c r="K51" s="394"/>
      <c r="L51" s="383"/>
      <c r="M51" s="384"/>
      <c r="N51" s="384"/>
      <c r="O51" s="384"/>
      <c r="P51" s="384"/>
      <c r="Q51" s="384"/>
      <c r="R51" s="384"/>
      <c r="S51" s="384"/>
      <c r="T51" s="384"/>
      <c r="U51" s="384"/>
      <c r="V51" s="384"/>
      <c r="W51" s="384"/>
      <c r="X51" s="385"/>
      <c r="Y51" s="156"/>
      <c r="Z51" s="156"/>
      <c r="AA51" s="156"/>
      <c r="AB51" s="156"/>
      <c r="AC51" s="156"/>
      <c r="AD51" s="156"/>
      <c r="AE51" s="156"/>
      <c r="AF51" s="156"/>
      <c r="AG51" s="156"/>
      <c r="AH51" s="170"/>
      <c r="AI51" s="81"/>
      <c r="AJ51" s="81"/>
      <c r="AK51" s="81"/>
      <c r="AL51" s="81"/>
      <c r="AM51" s="81"/>
      <c r="AN51" s="81"/>
      <c r="AO51" s="81"/>
      <c r="AP51" s="81"/>
      <c r="AQ51" s="81"/>
      <c r="AR51" s="171"/>
      <c r="AV51" s="135"/>
      <c r="AX51" s="123" t="s">
        <v>397</v>
      </c>
      <c r="AY51" s="117"/>
      <c r="AZ51" s="134"/>
      <c r="BA51" s="134"/>
      <c r="BB51" s="134"/>
      <c r="BC51" s="134"/>
      <c r="BD51" s="134"/>
      <c r="BE51" s="134"/>
      <c r="BF51" s="134"/>
      <c r="BG51" s="134"/>
      <c r="BH51" s="134"/>
      <c r="BI51" s="134"/>
      <c r="BJ51" s="134"/>
      <c r="BK51" s="134"/>
      <c r="BL51" s="134"/>
      <c r="BM51" s="134"/>
      <c r="BN51" s="134"/>
      <c r="BO51" s="134"/>
      <c r="BP51" s="134"/>
      <c r="BQ51" s="103"/>
    </row>
    <row r="52" spans="1:69" ht="20.100000000000001" customHeight="1">
      <c r="A52" s="375"/>
      <c r="B52" s="392"/>
      <c r="C52" s="393"/>
      <c r="D52" s="393"/>
      <c r="E52" s="393"/>
      <c r="F52" s="393"/>
      <c r="G52" s="393"/>
      <c r="H52" s="393"/>
      <c r="I52" s="393"/>
      <c r="J52" s="393"/>
      <c r="K52" s="394"/>
      <c r="L52" s="383"/>
      <c r="M52" s="384"/>
      <c r="N52" s="384"/>
      <c r="O52" s="384"/>
      <c r="P52" s="384"/>
      <c r="Q52" s="384"/>
      <c r="R52" s="384"/>
      <c r="S52" s="384"/>
      <c r="T52" s="384"/>
      <c r="U52" s="384"/>
      <c r="V52" s="384"/>
      <c r="W52" s="384"/>
      <c r="X52" s="385"/>
      <c r="Y52" s="156"/>
      <c r="Z52" s="156"/>
      <c r="AA52" s="156"/>
      <c r="AB52" s="156"/>
      <c r="AC52" s="156"/>
      <c r="AD52" s="156"/>
      <c r="AE52" s="156"/>
      <c r="AF52" s="156"/>
      <c r="AG52" s="156"/>
      <c r="AH52" s="170"/>
      <c r="AI52" s="81"/>
      <c r="AJ52" s="81"/>
      <c r="AK52" s="81"/>
      <c r="AL52" s="81"/>
      <c r="AM52" s="81"/>
      <c r="AN52" s="81"/>
      <c r="AO52" s="81"/>
      <c r="AP52" s="81"/>
      <c r="AQ52" s="81"/>
      <c r="AR52" s="171"/>
      <c r="AV52" s="104"/>
      <c r="AY52" s="83" t="s">
        <v>398</v>
      </c>
      <c r="BJ52" s="134"/>
      <c r="BK52" s="134"/>
      <c r="BL52" s="134"/>
      <c r="BM52" s="134"/>
      <c r="BN52" s="134"/>
      <c r="BO52" s="134"/>
      <c r="BP52" s="134"/>
      <c r="BQ52" s="103"/>
    </row>
    <row r="53" spans="1:69" ht="20.100000000000001" customHeight="1">
      <c r="A53" s="375"/>
      <c r="B53" s="392"/>
      <c r="C53" s="393"/>
      <c r="D53" s="393"/>
      <c r="E53" s="393"/>
      <c r="F53" s="393"/>
      <c r="G53" s="393"/>
      <c r="H53" s="393"/>
      <c r="I53" s="393"/>
      <c r="J53" s="393"/>
      <c r="K53" s="394"/>
      <c r="L53" s="383"/>
      <c r="M53" s="384"/>
      <c r="N53" s="384"/>
      <c r="O53" s="384"/>
      <c r="P53" s="384"/>
      <c r="Q53" s="384"/>
      <c r="R53" s="384"/>
      <c r="S53" s="384"/>
      <c r="T53" s="384"/>
      <c r="U53" s="384"/>
      <c r="V53" s="384"/>
      <c r="W53" s="384"/>
      <c r="X53" s="385"/>
      <c r="Y53" s="156"/>
      <c r="Z53" s="156"/>
      <c r="AA53" s="156"/>
      <c r="AB53" s="156"/>
      <c r="AC53" s="156"/>
      <c r="AD53" s="156"/>
      <c r="AE53" s="156"/>
      <c r="AF53" s="156"/>
      <c r="AG53" s="156"/>
      <c r="AH53" s="170"/>
      <c r="AI53" s="81"/>
      <c r="AJ53" s="81"/>
      <c r="AK53" s="81"/>
      <c r="AL53" s="81"/>
      <c r="AM53" s="81"/>
      <c r="AN53" s="81"/>
      <c r="AO53" s="81"/>
      <c r="AP53" s="81"/>
      <c r="AQ53" s="81"/>
      <c r="AR53" s="171"/>
      <c r="AV53" s="115"/>
      <c r="AW53" s="101"/>
      <c r="AX53" s="101"/>
      <c r="AY53" s="101"/>
      <c r="AZ53" s="136"/>
      <c r="BA53" s="136"/>
      <c r="BB53" s="136"/>
      <c r="BC53" s="136"/>
      <c r="BD53" s="136"/>
      <c r="BE53" s="136"/>
      <c r="BF53" s="136"/>
      <c r="BG53" s="136"/>
      <c r="BH53" s="136"/>
      <c r="BI53" s="136"/>
      <c r="BJ53" s="136"/>
      <c r="BK53" s="136"/>
      <c r="BL53" s="136"/>
      <c r="BM53" s="136"/>
      <c r="BN53" s="136"/>
      <c r="BO53" s="136"/>
      <c r="BP53" s="136"/>
      <c r="BQ53" s="116"/>
    </row>
    <row r="54" spans="1:69" ht="20.100000000000001" customHeight="1" thickBot="1">
      <c r="A54" s="398"/>
      <c r="B54" s="402"/>
      <c r="C54" s="403"/>
      <c r="D54" s="403"/>
      <c r="E54" s="403"/>
      <c r="F54" s="403"/>
      <c r="G54" s="403"/>
      <c r="H54" s="403"/>
      <c r="I54" s="403"/>
      <c r="J54" s="403"/>
      <c r="K54" s="404"/>
      <c r="L54" s="399"/>
      <c r="M54" s="400"/>
      <c r="N54" s="400"/>
      <c r="O54" s="400"/>
      <c r="P54" s="400"/>
      <c r="Q54" s="400"/>
      <c r="R54" s="400"/>
      <c r="S54" s="400"/>
      <c r="T54" s="400"/>
      <c r="U54" s="400"/>
      <c r="V54" s="400"/>
      <c r="W54" s="400"/>
      <c r="X54" s="401"/>
      <c r="Y54" s="158"/>
      <c r="Z54" s="158"/>
      <c r="AA54" s="158"/>
      <c r="AB54" s="158"/>
      <c r="AC54" s="158"/>
      <c r="AD54" s="158"/>
      <c r="AE54" s="158"/>
      <c r="AF54" s="158"/>
      <c r="AG54" s="158"/>
      <c r="AH54" s="175"/>
      <c r="AI54" s="176"/>
      <c r="AJ54" s="176"/>
      <c r="AK54" s="176"/>
      <c r="AL54" s="176"/>
      <c r="AM54" s="176"/>
      <c r="AN54" s="176"/>
      <c r="AO54" s="176"/>
      <c r="AP54" s="176"/>
      <c r="AQ54" s="176"/>
      <c r="AR54" s="177"/>
    </row>
    <row r="55" spans="1:69" ht="20.100000000000001" customHeight="1"/>
  </sheetData>
  <mergeCells count="15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Q7:Y8"/>
    <mergeCell ref="BG9:BH9"/>
    <mergeCell ref="BI9:BJ9"/>
    <mergeCell ref="BK9:BL9"/>
    <mergeCell ref="R10:Y10"/>
    <mergeCell ref="AQ10:AR12"/>
    <mergeCell ref="AX10:BF10"/>
    <mergeCell ref="BG10:BH10"/>
    <mergeCell ref="AV5:BD6"/>
    <mergeCell ref="A6:A8"/>
    <mergeCell ref="B6:G6"/>
    <mergeCell ref="H6:P6"/>
    <mergeCell ref="Q6:Y6"/>
    <mergeCell ref="Z6:Z8"/>
    <mergeCell ref="AA6:AH6"/>
    <mergeCell ref="AI6:AP6"/>
    <mergeCell ref="B7:G8"/>
    <mergeCell ref="H7:P8"/>
    <mergeCell ref="AA7:AH8"/>
    <mergeCell ref="AI7:AP8"/>
    <mergeCell ref="BK12:BL12"/>
    <mergeCell ref="B13:G13"/>
    <mergeCell ref="R13:Y13"/>
    <mergeCell ref="AQ13:AR13"/>
    <mergeCell ref="AX13:BF13"/>
    <mergeCell ref="BG13:BH13"/>
    <mergeCell ref="B10:G12"/>
    <mergeCell ref="BG8:BL8"/>
    <mergeCell ref="A9:A16"/>
    <mergeCell ref="B9:G9"/>
    <mergeCell ref="H9:P16"/>
    <mergeCell ref="R9:Y9"/>
    <mergeCell ref="Z9:Z16"/>
    <mergeCell ref="AA9:AH16"/>
    <mergeCell ref="AI9:AP16"/>
    <mergeCell ref="BI10:BJ10"/>
    <mergeCell ref="BK10:BL10"/>
    <mergeCell ref="R11:Y11"/>
    <mergeCell ref="AX11:BF11"/>
    <mergeCell ref="BG11:BH11"/>
    <mergeCell ref="BI11:BJ11"/>
    <mergeCell ref="BK11:BL11"/>
    <mergeCell ref="AQ9:AR9"/>
    <mergeCell ref="AX9:BF9"/>
    <mergeCell ref="BK13:BL13"/>
    <mergeCell ref="R20:Y20"/>
    <mergeCell ref="B21:G21"/>
    <mergeCell ref="R21:Y21"/>
    <mergeCell ref="AX15:BF15"/>
    <mergeCell ref="BG15:BH15"/>
    <mergeCell ref="BI15:BJ15"/>
    <mergeCell ref="R12:Y12"/>
    <mergeCell ref="AX12:BF12"/>
    <mergeCell ref="BG12:BH12"/>
    <mergeCell ref="BI12:BJ12"/>
    <mergeCell ref="BI13:BJ13"/>
    <mergeCell ref="B14:G16"/>
    <mergeCell ref="R14:Y14"/>
    <mergeCell ref="AQ14:AR16"/>
    <mergeCell ref="AX14:BF14"/>
    <mergeCell ref="BG14:BH14"/>
    <mergeCell ref="BI14:BJ14"/>
    <mergeCell ref="R18:Y18"/>
    <mergeCell ref="AQ18:AR20"/>
    <mergeCell ref="AW18:AY18"/>
    <mergeCell ref="AZ18:BH18"/>
    <mergeCell ref="BI18:BP18"/>
    <mergeCell ref="AW19:AY20"/>
    <mergeCell ref="AZ19:BH20"/>
    <mergeCell ref="BK14:BL14"/>
    <mergeCell ref="R15:Y15"/>
    <mergeCell ref="BK15:BL15"/>
    <mergeCell ref="B22:G24"/>
    <mergeCell ref="R22:Y22"/>
    <mergeCell ref="AQ22:AR24"/>
    <mergeCell ref="R23:Y23"/>
    <mergeCell ref="AW23:AY24"/>
    <mergeCell ref="AZ23:BH24"/>
    <mergeCell ref="BI23:BP24"/>
    <mergeCell ref="R24:Y24"/>
    <mergeCell ref="AQ21:AR21"/>
    <mergeCell ref="AW21:AY22"/>
    <mergeCell ref="R16:Y16"/>
    <mergeCell ref="AA17:AH24"/>
    <mergeCell ref="AI17:AP24"/>
    <mergeCell ref="AQ17:AR17"/>
    <mergeCell ref="AZ21:BH22"/>
    <mergeCell ref="BI21:BP22"/>
    <mergeCell ref="B17:G17"/>
    <mergeCell ref="H17:P24"/>
    <mergeCell ref="R17:Y17"/>
    <mergeCell ref="Z17:Z24"/>
    <mergeCell ref="B18:G20"/>
    <mergeCell ref="BI19:BP20"/>
    <mergeCell ref="A35:E35"/>
    <mergeCell ref="F35:K35"/>
    <mergeCell ref="L35:AG35"/>
    <mergeCell ref="AA25:AH32"/>
    <mergeCell ref="AI25:AP32"/>
    <mergeCell ref="AQ25:AR25"/>
    <mergeCell ref="B26:G28"/>
    <mergeCell ref="R26:Y26"/>
    <mergeCell ref="AQ26:AR28"/>
    <mergeCell ref="R28:Y28"/>
    <mergeCell ref="B29:G29"/>
    <mergeCell ref="R29:Y29"/>
    <mergeCell ref="AQ29:AR29"/>
    <mergeCell ref="A25:A32"/>
    <mergeCell ref="B25:G25"/>
    <mergeCell ref="H25:P32"/>
    <mergeCell ref="R25:Y25"/>
    <mergeCell ref="A17:A24"/>
    <mergeCell ref="Z25:Z32"/>
    <mergeCell ref="B30:G32"/>
    <mergeCell ref="R30:Y30"/>
    <mergeCell ref="AQ30:AR32"/>
    <mergeCell ref="R31:Y31"/>
    <mergeCell ref="R32:Y32"/>
    <mergeCell ref="Y37:AG37"/>
    <mergeCell ref="AH37:AR37"/>
    <mergeCell ref="A38:A40"/>
    <mergeCell ref="B38:K40"/>
    <mergeCell ref="L38:X38"/>
    <mergeCell ref="Y38:AG38"/>
    <mergeCell ref="AH38:AR38"/>
    <mergeCell ref="L39:X40"/>
    <mergeCell ref="Y39:AG40"/>
    <mergeCell ref="AH39:AR40"/>
    <mergeCell ref="AQ33:AR33"/>
    <mergeCell ref="A41:A47"/>
    <mergeCell ref="B41:K41"/>
    <mergeCell ref="L41:X47"/>
    <mergeCell ref="B42:K47"/>
    <mergeCell ref="A48:A54"/>
    <mergeCell ref="B48:K48"/>
    <mergeCell ref="L48:X54"/>
    <mergeCell ref="B49:K54"/>
    <mergeCell ref="A37:X37"/>
  </mergeCells>
  <phoneticPr fontId="26"/>
  <dataValidations count="2">
    <dataValidation type="list" allowBlank="1" showInputMessage="1" showErrorMessage="1" sqref="WJP983044 GQ1:GX1 QM1:QT1 AAI1:AAP1 AKE1:AKL1 AUA1:AUH1 BDW1:BED1 BNS1:BNZ1 BXO1:BXV1 CHK1:CHR1 CRG1:CRN1 DBC1:DBJ1 DKY1:DLF1 DUU1:DVB1 EEQ1:EEX1 EOM1:EOT1 EYI1:EYP1 FIE1:FIL1 FSA1:FSH1 GBW1:GCD1 GLS1:GLZ1 GVO1:GVV1 HFK1:HFR1 HPG1:HPN1 HZC1:HZJ1 IIY1:IJF1 ISU1:ITB1 JCQ1:JCX1 JMM1:JMT1 JWI1:JWP1 KGE1:KGL1 KQA1:KQH1 KZW1:LAD1 LJS1:LJZ1 LTO1:LTV1 MDK1:MDR1 MNG1:MNN1 MXC1:MXJ1 NGY1:NHF1 NQU1:NRB1 OAQ1:OAX1 OKM1:OKT1 OUI1:OUP1 PEE1:PEL1 POA1:POH1 PXW1:PYD1 QHS1:QHZ1 QRO1:QRV1 RBK1:RBR1 RLG1:RLN1 RVC1:RVJ1 SEY1:SFF1 SOU1:SPB1 SYQ1:SYX1 TIM1:TIT1 TSI1:TSP1 UCE1:UCL1 UMA1:UMH1 UVW1:UWD1 VFS1:VFZ1 VPO1:VPV1 VZK1:VZR1 WJG1:WJN1 WTC1:WTJ1 GQ65540:GX65540 QM65540:QT65540 AAI65540:AAP65540 AKE65540:AKL65540 AUA65540:AUH65540 BDW65540:BED65540 BNS65540:BNZ65540 BXO65540:BXV65540 CHK65540:CHR65540 CRG65540:CRN65540 DBC65540:DBJ65540 DKY65540:DLF65540 DUU65540:DVB65540 EEQ65540:EEX65540 EOM65540:EOT65540 EYI65540:EYP65540 FIE65540:FIL65540 FSA65540:FSH65540 GBW65540:GCD65540 GLS65540:GLZ65540 GVO65540:GVV65540 HFK65540:HFR65540 HPG65540:HPN65540 HZC65540:HZJ65540 IIY65540:IJF65540 ISU65540:ITB65540 JCQ65540:JCX65540 JMM65540:JMT65540 JWI65540:JWP65540 KGE65540:KGL65540 KQA65540:KQH65540 KZW65540:LAD65540 LJS65540:LJZ65540 LTO65540:LTV65540 MDK65540:MDR65540 MNG65540:MNN65540 MXC65540:MXJ65540 NGY65540:NHF65540 NQU65540:NRB65540 OAQ65540:OAX65540 OKM65540:OKT65540 OUI65540:OUP65540 PEE65540:PEL65540 POA65540:POH65540 PXW65540:PYD65540 QHS65540:QHZ65540 QRO65540:QRV65540 RBK65540:RBR65540 RLG65540:RLN65540 RVC65540:RVJ65540 SEY65540:SFF65540 SOU65540:SPB65540 SYQ65540:SYX65540 TIM65540:TIT65540 TSI65540:TSP65540 UCE65540:UCL65540 UMA65540:UMH65540 UVW65540:UWD65540 VFS65540:VFZ65540 VPO65540:VPV65540 VZK65540:VZR65540 WJG65540:WJN65540 WTC65540:WTJ65540 GQ131076:GX131076 QM131076:QT131076 AAI131076:AAP131076 AKE131076:AKL131076 AUA131076:AUH131076 BDW131076:BED131076 BNS131076:BNZ131076 BXO131076:BXV131076 CHK131076:CHR131076 CRG131076:CRN131076 DBC131076:DBJ131076 DKY131076:DLF131076 DUU131076:DVB131076 EEQ131076:EEX131076 EOM131076:EOT131076 EYI131076:EYP131076 FIE131076:FIL131076 FSA131076:FSH131076 GBW131076:GCD131076 GLS131076:GLZ131076 GVO131076:GVV131076 HFK131076:HFR131076 HPG131076:HPN131076 HZC131076:HZJ131076 IIY131076:IJF131076 ISU131076:ITB131076 JCQ131076:JCX131076 JMM131076:JMT131076 JWI131076:JWP131076 KGE131076:KGL131076 KQA131076:KQH131076 KZW131076:LAD131076 LJS131076:LJZ131076 LTO131076:LTV131076 MDK131076:MDR131076 MNG131076:MNN131076 MXC131076:MXJ131076 NGY131076:NHF131076 NQU131076:NRB131076 OAQ131076:OAX131076 OKM131076:OKT131076 OUI131076:OUP131076 PEE131076:PEL131076 POA131076:POH131076 PXW131076:PYD131076 QHS131076:QHZ131076 QRO131076:QRV131076 RBK131076:RBR131076 RLG131076:RLN131076 RVC131076:RVJ131076 SEY131076:SFF131076 SOU131076:SPB131076 SYQ131076:SYX131076 TIM131076:TIT131076 TSI131076:TSP131076 UCE131076:UCL131076 UMA131076:UMH131076 UVW131076:UWD131076 VFS131076:VFZ131076 VPO131076:VPV131076 VZK131076:VZR131076 WJG131076:WJN131076 WTC131076:WTJ131076 GQ196612:GX196612 QM196612:QT196612 AAI196612:AAP196612 AKE196612:AKL196612 AUA196612:AUH196612 BDW196612:BED196612 BNS196612:BNZ196612 BXO196612:BXV196612 CHK196612:CHR196612 CRG196612:CRN196612 DBC196612:DBJ196612 DKY196612:DLF196612 DUU196612:DVB196612 EEQ196612:EEX196612 EOM196612:EOT196612 EYI196612:EYP196612 FIE196612:FIL196612 FSA196612:FSH196612 GBW196612:GCD196612 GLS196612:GLZ196612 GVO196612:GVV196612 HFK196612:HFR196612 HPG196612:HPN196612 HZC196612:HZJ196612 IIY196612:IJF196612 ISU196612:ITB196612 JCQ196612:JCX196612 JMM196612:JMT196612 JWI196612:JWP196612 KGE196612:KGL196612 KQA196612:KQH196612 KZW196612:LAD196612 LJS196612:LJZ196612 LTO196612:LTV196612 MDK196612:MDR196612 MNG196612:MNN196612 MXC196612:MXJ196612 NGY196612:NHF196612 NQU196612:NRB196612 OAQ196612:OAX196612 OKM196612:OKT196612 OUI196612:OUP196612 PEE196612:PEL196612 POA196612:POH196612 PXW196612:PYD196612 QHS196612:QHZ196612 QRO196612:QRV196612 RBK196612:RBR196612 RLG196612:RLN196612 RVC196612:RVJ196612 SEY196612:SFF196612 SOU196612:SPB196612 SYQ196612:SYX196612 TIM196612:TIT196612 TSI196612:TSP196612 UCE196612:UCL196612 UMA196612:UMH196612 UVW196612:UWD196612 VFS196612:VFZ196612 VPO196612:VPV196612 VZK196612:VZR196612 WJG196612:WJN196612 WTC196612:WTJ196612 GQ262148:GX262148 QM262148:QT262148 AAI262148:AAP262148 AKE262148:AKL262148 AUA262148:AUH262148 BDW262148:BED262148 BNS262148:BNZ262148 BXO262148:BXV262148 CHK262148:CHR262148 CRG262148:CRN262148 DBC262148:DBJ262148 DKY262148:DLF262148 DUU262148:DVB262148 EEQ262148:EEX262148 EOM262148:EOT262148 EYI262148:EYP262148 FIE262148:FIL262148 FSA262148:FSH262148 GBW262148:GCD262148 GLS262148:GLZ262148 GVO262148:GVV262148 HFK262148:HFR262148 HPG262148:HPN262148 HZC262148:HZJ262148 IIY262148:IJF262148 ISU262148:ITB262148 JCQ262148:JCX262148 JMM262148:JMT262148 JWI262148:JWP262148 KGE262148:KGL262148 KQA262148:KQH262148 KZW262148:LAD262148 LJS262148:LJZ262148 LTO262148:LTV262148 MDK262148:MDR262148 MNG262148:MNN262148 MXC262148:MXJ262148 NGY262148:NHF262148 NQU262148:NRB262148 OAQ262148:OAX262148 OKM262148:OKT262148 OUI262148:OUP262148 PEE262148:PEL262148 POA262148:POH262148 PXW262148:PYD262148 QHS262148:QHZ262148 QRO262148:QRV262148 RBK262148:RBR262148 RLG262148:RLN262148 RVC262148:RVJ262148 SEY262148:SFF262148 SOU262148:SPB262148 SYQ262148:SYX262148 TIM262148:TIT262148 TSI262148:TSP262148 UCE262148:UCL262148 UMA262148:UMH262148 UVW262148:UWD262148 VFS262148:VFZ262148 VPO262148:VPV262148 VZK262148:VZR262148 WJG262148:WJN262148 WTC262148:WTJ262148 GQ327684:GX327684 QM327684:QT327684 AAI327684:AAP327684 AKE327684:AKL327684 AUA327684:AUH327684 BDW327684:BED327684 BNS327684:BNZ327684 BXO327684:BXV327684 CHK327684:CHR327684 CRG327684:CRN327684 DBC327684:DBJ327684 DKY327684:DLF327684 DUU327684:DVB327684 EEQ327684:EEX327684 EOM327684:EOT327684 EYI327684:EYP327684 FIE327684:FIL327684 FSA327684:FSH327684 GBW327684:GCD327684 GLS327684:GLZ327684 GVO327684:GVV327684 HFK327684:HFR327684 HPG327684:HPN327684 HZC327684:HZJ327684 IIY327684:IJF327684 ISU327684:ITB327684 JCQ327684:JCX327684 JMM327684:JMT327684 JWI327684:JWP327684 KGE327684:KGL327684 KQA327684:KQH327684 KZW327684:LAD327684 LJS327684:LJZ327684 LTO327684:LTV327684 MDK327684:MDR327684 MNG327684:MNN327684 MXC327684:MXJ327684 NGY327684:NHF327684 NQU327684:NRB327684 OAQ327684:OAX327684 OKM327684:OKT327684 OUI327684:OUP327684 PEE327684:PEL327684 POA327684:POH327684 PXW327684:PYD327684 QHS327684:QHZ327684 QRO327684:QRV327684 RBK327684:RBR327684 RLG327684:RLN327684 RVC327684:RVJ327684 SEY327684:SFF327684 SOU327684:SPB327684 SYQ327684:SYX327684 TIM327684:TIT327684 TSI327684:TSP327684 UCE327684:UCL327684 UMA327684:UMH327684 UVW327684:UWD327684 VFS327684:VFZ327684 VPO327684:VPV327684 VZK327684:VZR327684 WJG327684:WJN327684 WTC327684:WTJ327684 GQ393220:GX393220 QM393220:QT393220 AAI393220:AAP393220 AKE393220:AKL393220 AUA393220:AUH393220 BDW393220:BED393220 BNS393220:BNZ393220 BXO393220:BXV393220 CHK393220:CHR393220 CRG393220:CRN393220 DBC393220:DBJ393220 DKY393220:DLF393220 DUU393220:DVB393220 EEQ393220:EEX393220 EOM393220:EOT393220 EYI393220:EYP393220 FIE393220:FIL393220 FSA393220:FSH393220 GBW393220:GCD393220 GLS393220:GLZ393220 GVO393220:GVV393220 HFK393220:HFR393220 HPG393220:HPN393220 HZC393220:HZJ393220 IIY393220:IJF393220 ISU393220:ITB393220 JCQ393220:JCX393220 JMM393220:JMT393220 JWI393220:JWP393220 KGE393220:KGL393220 KQA393220:KQH393220 KZW393220:LAD393220 LJS393220:LJZ393220 LTO393220:LTV393220 MDK393220:MDR393220 MNG393220:MNN393220 MXC393220:MXJ393220 NGY393220:NHF393220 NQU393220:NRB393220 OAQ393220:OAX393220 OKM393220:OKT393220 OUI393220:OUP393220 PEE393220:PEL393220 POA393220:POH393220 PXW393220:PYD393220 QHS393220:QHZ393220 QRO393220:QRV393220 RBK393220:RBR393220 RLG393220:RLN393220 RVC393220:RVJ393220 SEY393220:SFF393220 SOU393220:SPB393220 SYQ393220:SYX393220 TIM393220:TIT393220 TSI393220:TSP393220 UCE393220:UCL393220 UMA393220:UMH393220 UVW393220:UWD393220 VFS393220:VFZ393220 VPO393220:VPV393220 VZK393220:VZR393220 WJG393220:WJN393220 WTC393220:WTJ393220 GQ458756:GX458756 QM458756:QT458756 AAI458756:AAP458756 AKE458756:AKL458756 AUA458756:AUH458756 BDW458756:BED458756 BNS458756:BNZ458756 BXO458756:BXV458756 CHK458756:CHR458756 CRG458756:CRN458756 DBC458756:DBJ458756 DKY458756:DLF458756 DUU458756:DVB458756 EEQ458756:EEX458756 EOM458756:EOT458756 EYI458756:EYP458756 FIE458756:FIL458756 FSA458756:FSH458756 GBW458756:GCD458756 GLS458756:GLZ458756 GVO458756:GVV458756 HFK458756:HFR458756 HPG458756:HPN458756 HZC458756:HZJ458756 IIY458756:IJF458756 ISU458756:ITB458756 JCQ458756:JCX458756 JMM458756:JMT458756 JWI458756:JWP458756 KGE458756:KGL458756 KQA458756:KQH458756 KZW458756:LAD458756 LJS458756:LJZ458756 LTO458756:LTV458756 MDK458756:MDR458756 MNG458756:MNN458756 MXC458756:MXJ458756 NGY458756:NHF458756 NQU458756:NRB458756 OAQ458756:OAX458756 OKM458756:OKT458756 OUI458756:OUP458756 PEE458756:PEL458756 POA458756:POH458756 PXW458756:PYD458756 QHS458756:QHZ458756 QRO458756:QRV458756 RBK458756:RBR458756 RLG458756:RLN458756 RVC458756:RVJ458756 SEY458756:SFF458756 SOU458756:SPB458756 SYQ458756:SYX458756 TIM458756:TIT458756 TSI458756:TSP458756 UCE458756:UCL458756 UMA458756:UMH458756 UVW458756:UWD458756 VFS458756:VFZ458756 VPO458756:VPV458756 VZK458756:VZR458756 WJG458756:WJN458756 WTC458756:WTJ458756 GQ524292:GX524292 QM524292:QT524292 AAI524292:AAP524292 AKE524292:AKL524292 AUA524292:AUH524292 BDW524292:BED524292 BNS524292:BNZ524292 BXO524292:BXV524292 CHK524292:CHR524292 CRG524292:CRN524292 DBC524292:DBJ524292 DKY524292:DLF524292 DUU524292:DVB524292 EEQ524292:EEX524292 EOM524292:EOT524292 EYI524292:EYP524292 FIE524292:FIL524292 FSA524292:FSH524292 GBW524292:GCD524292 GLS524292:GLZ524292 GVO524292:GVV524292 HFK524292:HFR524292 HPG524292:HPN524292 HZC524292:HZJ524292 IIY524292:IJF524292 ISU524292:ITB524292 JCQ524292:JCX524292 JMM524292:JMT524292 JWI524292:JWP524292 KGE524292:KGL524292 KQA524292:KQH524292 KZW524292:LAD524292 LJS524292:LJZ524292 LTO524292:LTV524292 MDK524292:MDR524292 MNG524292:MNN524292 MXC524292:MXJ524292 NGY524292:NHF524292 NQU524292:NRB524292 OAQ524292:OAX524292 OKM524292:OKT524292 OUI524292:OUP524292 PEE524292:PEL524292 POA524292:POH524292 PXW524292:PYD524292 QHS524292:QHZ524292 QRO524292:QRV524292 RBK524292:RBR524292 RLG524292:RLN524292 RVC524292:RVJ524292 SEY524292:SFF524292 SOU524292:SPB524292 SYQ524292:SYX524292 TIM524292:TIT524292 TSI524292:TSP524292 UCE524292:UCL524292 UMA524292:UMH524292 UVW524292:UWD524292 VFS524292:VFZ524292 VPO524292:VPV524292 VZK524292:VZR524292 WJG524292:WJN524292 WTC524292:WTJ524292 GQ589828:GX589828 QM589828:QT589828 AAI589828:AAP589828 AKE589828:AKL589828 AUA589828:AUH589828 BDW589828:BED589828 BNS589828:BNZ589828 BXO589828:BXV589828 CHK589828:CHR589828 CRG589828:CRN589828 DBC589828:DBJ589828 DKY589828:DLF589828 DUU589828:DVB589828 EEQ589828:EEX589828 EOM589828:EOT589828 EYI589828:EYP589828 FIE589828:FIL589828 FSA589828:FSH589828 GBW589828:GCD589828 GLS589828:GLZ589828 GVO589828:GVV589828 HFK589828:HFR589828 HPG589828:HPN589828 HZC589828:HZJ589828 IIY589828:IJF589828 ISU589828:ITB589828 JCQ589828:JCX589828 JMM589828:JMT589828 JWI589828:JWP589828 KGE589828:KGL589828 KQA589828:KQH589828 KZW589828:LAD589828 LJS589828:LJZ589828 LTO589828:LTV589828 MDK589828:MDR589828 MNG589828:MNN589828 MXC589828:MXJ589828 NGY589828:NHF589828 NQU589828:NRB589828 OAQ589828:OAX589828 OKM589828:OKT589828 OUI589828:OUP589828 PEE589828:PEL589828 POA589828:POH589828 PXW589828:PYD589828 QHS589828:QHZ589828 QRO589828:QRV589828 RBK589828:RBR589828 RLG589828:RLN589828 RVC589828:RVJ589828 SEY589828:SFF589828 SOU589828:SPB589828 SYQ589828:SYX589828 TIM589828:TIT589828 TSI589828:TSP589828 UCE589828:UCL589828 UMA589828:UMH589828 UVW589828:UWD589828 VFS589828:VFZ589828 VPO589828:VPV589828 VZK589828:VZR589828 WJG589828:WJN589828 WTC589828:WTJ589828 GQ655364:GX655364 QM655364:QT655364 AAI655364:AAP655364 AKE655364:AKL655364 AUA655364:AUH655364 BDW655364:BED655364 BNS655364:BNZ655364 BXO655364:BXV655364 CHK655364:CHR655364 CRG655364:CRN655364 DBC655364:DBJ655364 DKY655364:DLF655364 DUU655364:DVB655364 EEQ655364:EEX655364 EOM655364:EOT655364 EYI655364:EYP655364 FIE655364:FIL655364 FSA655364:FSH655364 GBW655364:GCD655364 GLS655364:GLZ655364 GVO655364:GVV655364 HFK655364:HFR655364 HPG655364:HPN655364 HZC655364:HZJ655364 IIY655364:IJF655364 ISU655364:ITB655364 JCQ655364:JCX655364 JMM655364:JMT655364 JWI655364:JWP655364 KGE655364:KGL655364 KQA655364:KQH655364 KZW655364:LAD655364 LJS655364:LJZ655364 LTO655364:LTV655364 MDK655364:MDR655364 MNG655364:MNN655364 MXC655364:MXJ655364 NGY655364:NHF655364 NQU655364:NRB655364 OAQ655364:OAX655364 OKM655364:OKT655364 OUI655364:OUP655364 PEE655364:PEL655364 POA655364:POH655364 PXW655364:PYD655364 QHS655364:QHZ655364 QRO655364:QRV655364 RBK655364:RBR655364 RLG655364:RLN655364 RVC655364:RVJ655364 SEY655364:SFF655364 SOU655364:SPB655364 SYQ655364:SYX655364 TIM655364:TIT655364 TSI655364:TSP655364 UCE655364:UCL655364 UMA655364:UMH655364 UVW655364:UWD655364 VFS655364:VFZ655364 VPO655364:VPV655364 VZK655364:VZR655364 WJG655364:WJN655364 WTC655364:WTJ655364 GQ720900:GX720900 QM720900:QT720900 AAI720900:AAP720900 AKE720900:AKL720900 AUA720900:AUH720900 BDW720900:BED720900 BNS720900:BNZ720900 BXO720900:BXV720900 CHK720900:CHR720900 CRG720900:CRN720900 DBC720900:DBJ720900 DKY720900:DLF720900 DUU720900:DVB720900 EEQ720900:EEX720900 EOM720900:EOT720900 EYI720900:EYP720900 FIE720900:FIL720900 FSA720900:FSH720900 GBW720900:GCD720900 GLS720900:GLZ720900 GVO720900:GVV720900 HFK720900:HFR720900 HPG720900:HPN720900 HZC720900:HZJ720900 IIY720900:IJF720900 ISU720900:ITB720900 JCQ720900:JCX720900 JMM720900:JMT720900 JWI720900:JWP720900 KGE720900:KGL720900 KQA720900:KQH720900 KZW720900:LAD720900 LJS720900:LJZ720900 LTO720900:LTV720900 MDK720900:MDR720900 MNG720900:MNN720900 MXC720900:MXJ720900 NGY720900:NHF720900 NQU720900:NRB720900 OAQ720900:OAX720900 OKM720900:OKT720900 OUI720900:OUP720900 PEE720900:PEL720900 POA720900:POH720900 PXW720900:PYD720900 QHS720900:QHZ720900 QRO720900:QRV720900 RBK720900:RBR720900 RLG720900:RLN720900 RVC720900:RVJ720900 SEY720900:SFF720900 SOU720900:SPB720900 SYQ720900:SYX720900 TIM720900:TIT720900 TSI720900:TSP720900 UCE720900:UCL720900 UMA720900:UMH720900 UVW720900:UWD720900 VFS720900:VFZ720900 VPO720900:VPV720900 VZK720900:VZR720900 WJG720900:WJN720900 WTC720900:WTJ720900 GQ786436:GX786436 QM786436:QT786436 AAI786436:AAP786436 AKE786436:AKL786436 AUA786436:AUH786436 BDW786436:BED786436 BNS786436:BNZ786436 BXO786436:BXV786436 CHK786436:CHR786436 CRG786436:CRN786436 DBC786436:DBJ786436 DKY786436:DLF786436 DUU786436:DVB786436 EEQ786436:EEX786436 EOM786436:EOT786436 EYI786436:EYP786436 FIE786436:FIL786436 FSA786436:FSH786436 GBW786436:GCD786436 GLS786436:GLZ786436 GVO786436:GVV786436 HFK786436:HFR786436 HPG786436:HPN786436 HZC786436:HZJ786436 IIY786436:IJF786436 ISU786436:ITB786436 JCQ786436:JCX786436 JMM786436:JMT786436 JWI786436:JWP786436 KGE786436:KGL786436 KQA786436:KQH786436 KZW786436:LAD786436 LJS786436:LJZ786436 LTO786436:LTV786436 MDK786436:MDR786436 MNG786436:MNN786436 MXC786436:MXJ786436 NGY786436:NHF786436 NQU786436:NRB786436 OAQ786436:OAX786436 OKM786436:OKT786436 OUI786436:OUP786436 PEE786436:PEL786436 POA786436:POH786436 PXW786436:PYD786436 QHS786436:QHZ786436 QRO786436:QRV786436 RBK786436:RBR786436 RLG786436:RLN786436 RVC786436:RVJ786436 SEY786436:SFF786436 SOU786436:SPB786436 SYQ786436:SYX786436 TIM786436:TIT786436 TSI786436:TSP786436 UCE786436:UCL786436 UMA786436:UMH786436 UVW786436:UWD786436 VFS786436:VFZ786436 VPO786436:VPV786436 VZK786436:VZR786436 WJG786436:WJN786436 WTC786436:WTJ786436 GQ851972:GX851972 QM851972:QT851972 AAI851972:AAP851972 AKE851972:AKL851972 AUA851972:AUH851972 BDW851972:BED851972 BNS851972:BNZ851972 BXO851972:BXV851972 CHK851972:CHR851972 CRG851972:CRN851972 DBC851972:DBJ851972 DKY851972:DLF851972 DUU851972:DVB851972 EEQ851972:EEX851972 EOM851972:EOT851972 EYI851972:EYP851972 FIE851972:FIL851972 FSA851972:FSH851972 GBW851972:GCD851972 GLS851972:GLZ851972 GVO851972:GVV851972 HFK851972:HFR851972 HPG851972:HPN851972 HZC851972:HZJ851972 IIY851972:IJF851972 ISU851972:ITB851972 JCQ851972:JCX851972 JMM851972:JMT851972 JWI851972:JWP851972 KGE851972:KGL851972 KQA851972:KQH851972 KZW851972:LAD851972 LJS851972:LJZ851972 LTO851972:LTV851972 MDK851972:MDR851972 MNG851972:MNN851972 MXC851972:MXJ851972 NGY851972:NHF851972 NQU851972:NRB851972 OAQ851972:OAX851972 OKM851972:OKT851972 OUI851972:OUP851972 PEE851972:PEL851972 POA851972:POH851972 PXW851972:PYD851972 QHS851972:QHZ851972 QRO851972:QRV851972 RBK851972:RBR851972 RLG851972:RLN851972 RVC851972:RVJ851972 SEY851972:SFF851972 SOU851972:SPB851972 SYQ851972:SYX851972 TIM851972:TIT851972 TSI851972:TSP851972 UCE851972:UCL851972 UMA851972:UMH851972 UVW851972:UWD851972 VFS851972:VFZ851972 VPO851972:VPV851972 VZK851972:VZR851972 WJG851972:WJN851972 WTC851972:WTJ851972 GQ917508:GX917508 QM917508:QT917508 AAI917508:AAP917508 AKE917508:AKL917508 AUA917508:AUH917508 BDW917508:BED917508 BNS917508:BNZ917508 BXO917508:BXV917508 CHK917508:CHR917508 CRG917508:CRN917508 DBC917508:DBJ917508 DKY917508:DLF917508 DUU917508:DVB917508 EEQ917508:EEX917508 EOM917508:EOT917508 EYI917508:EYP917508 FIE917508:FIL917508 FSA917508:FSH917508 GBW917508:GCD917508 GLS917508:GLZ917508 GVO917508:GVV917508 HFK917508:HFR917508 HPG917508:HPN917508 HZC917508:HZJ917508 IIY917508:IJF917508 ISU917508:ITB917508 JCQ917508:JCX917508 JMM917508:JMT917508 JWI917508:JWP917508 KGE917508:KGL917508 KQA917508:KQH917508 KZW917508:LAD917508 LJS917508:LJZ917508 LTO917508:LTV917508 MDK917508:MDR917508 MNG917508:MNN917508 MXC917508:MXJ917508 NGY917508:NHF917508 NQU917508:NRB917508 OAQ917508:OAX917508 OKM917508:OKT917508 OUI917508:OUP917508 PEE917508:PEL917508 POA917508:POH917508 PXW917508:PYD917508 QHS917508:QHZ917508 QRO917508:QRV917508 RBK917508:RBR917508 RLG917508:RLN917508 RVC917508:RVJ917508 SEY917508:SFF917508 SOU917508:SPB917508 SYQ917508:SYX917508 TIM917508:TIT917508 TSI917508:TSP917508 UCE917508:UCL917508 UMA917508:UMH917508 UVW917508:UWD917508 VFS917508:VFZ917508 VPO917508:VPV917508 VZK917508:VZR917508 WJG917508:WJN917508 WTC917508:WTJ917508 GQ983044:GX983044 QM983044:QT983044 AAI983044:AAP983044 AKE983044:AKL983044 AUA983044:AUH983044 BDW983044:BED983044 BNS983044:BNZ983044 BXO983044:BXV983044 CHK983044:CHR983044 CRG983044:CRN983044 DBC983044:DBJ983044 DKY983044:DLF983044 DUU983044:DVB983044 EEQ983044:EEX983044 EOM983044:EOT983044 EYI983044:EYP983044 FIE983044:FIL983044 FSA983044:FSH983044 GBW983044:GCD983044 GLS983044:GLZ983044 GVO983044:GVV983044 HFK983044:HFR983044 HPG983044:HPN983044 HZC983044:HZJ983044 IIY983044:IJF983044 ISU983044:ITB983044 JCQ983044:JCX983044 JMM983044:JMT983044 JWI983044:JWP983044 KGE983044:KGL983044 KQA983044:KQH983044 KZW983044:LAD983044 LJS983044:LJZ983044 LTO983044:LTV983044 MDK983044:MDR983044 MNG983044:MNN983044 MXC983044:MXJ983044 NGY983044:NHF983044 NQU983044:NRB983044 OAQ983044:OAX983044 OKM983044:OKT983044 OUI983044:OUP983044 PEE983044:PEL983044 POA983044:POH983044 PXW983044:PYD983044 QHS983044:QHZ983044 QRO983044:QRV983044 RBK983044:RBR983044 RLG983044:RLN983044 RVC983044:RVJ983044 SEY983044:SFF983044 SOU983044:SPB983044 SYQ983044:SYX983044 TIM983044:TIT983044 TSI983044:TSP983044 UCE983044:UCL983044 UMA983044:UMH983044 UVW983044:UWD983044 VFS983044:VFZ983044 VPO983044:VPV983044 VZK983044:VZR983044 WJG983044:WJN983044 WTC983044:WTJ983044 WTL983044 GZ1 QV1 AAR1 AKN1 AUJ1 BEF1 BOB1 BXX1 CHT1 CRP1 DBL1 DLH1 DVD1 EEZ1 EOV1 EYR1 FIN1 FSJ1 GCF1 GMB1 GVX1 HFT1 HPP1 HZL1 IJH1 ITD1 JCZ1 JMV1 JWR1 KGN1 KQJ1 LAF1 LKB1 LTX1 MDT1 MNP1 MXL1 NHH1 NRD1 OAZ1 OKV1 OUR1 PEN1 POJ1 PYF1 QIB1 QRX1 RBT1 RLP1 RVL1 SFH1 SPD1 SYZ1 TIV1 TSR1 UCN1 UMJ1 UWF1 VGB1 VPX1 VZT1 WJP1 WTL1 AA65540 GZ65540 QV65540 AAR65540 AKN65540 AUJ65540 BEF65540 BOB65540 BXX65540 CHT65540 CRP65540 DBL65540 DLH65540 DVD65540 EEZ65540 EOV65540 EYR65540 FIN65540 FSJ65540 GCF65540 GMB65540 GVX65540 HFT65540 HPP65540 HZL65540 IJH65540 ITD65540 JCZ65540 JMV65540 JWR65540 KGN65540 KQJ65540 LAF65540 LKB65540 LTX65540 MDT65540 MNP65540 MXL65540 NHH65540 NRD65540 OAZ65540 OKV65540 OUR65540 PEN65540 POJ65540 PYF65540 QIB65540 QRX65540 RBT65540 RLP65540 RVL65540 SFH65540 SPD65540 SYZ65540 TIV65540 TSR65540 UCN65540 UMJ65540 UWF65540 VGB65540 VPX65540 VZT65540 WJP65540 WTL65540 AA131076 GZ131076 QV131076 AAR131076 AKN131076 AUJ131076 BEF131076 BOB131076 BXX131076 CHT131076 CRP131076 DBL131076 DLH131076 DVD131076 EEZ131076 EOV131076 EYR131076 FIN131076 FSJ131076 GCF131076 GMB131076 GVX131076 HFT131076 HPP131076 HZL131076 IJH131076 ITD131076 JCZ131076 JMV131076 JWR131076 KGN131076 KQJ131076 LAF131076 LKB131076 LTX131076 MDT131076 MNP131076 MXL131076 NHH131076 NRD131076 OAZ131076 OKV131076 OUR131076 PEN131076 POJ131076 PYF131076 QIB131076 QRX131076 RBT131076 RLP131076 RVL131076 SFH131076 SPD131076 SYZ131076 TIV131076 TSR131076 UCN131076 UMJ131076 UWF131076 VGB131076 VPX131076 VZT131076 WJP131076 WTL131076 AA196612 GZ196612 QV196612 AAR196612 AKN196612 AUJ196612 BEF196612 BOB196612 BXX196612 CHT196612 CRP196612 DBL196612 DLH196612 DVD196612 EEZ196612 EOV196612 EYR196612 FIN196612 FSJ196612 GCF196612 GMB196612 GVX196612 HFT196612 HPP196612 HZL196612 IJH196612 ITD196612 JCZ196612 JMV196612 JWR196612 KGN196612 KQJ196612 LAF196612 LKB196612 LTX196612 MDT196612 MNP196612 MXL196612 NHH196612 NRD196612 OAZ196612 OKV196612 OUR196612 PEN196612 POJ196612 PYF196612 QIB196612 QRX196612 RBT196612 RLP196612 RVL196612 SFH196612 SPD196612 SYZ196612 TIV196612 TSR196612 UCN196612 UMJ196612 UWF196612 VGB196612 VPX196612 VZT196612 WJP196612 WTL196612 AA262148 GZ262148 QV262148 AAR262148 AKN262148 AUJ262148 BEF262148 BOB262148 BXX262148 CHT262148 CRP262148 DBL262148 DLH262148 DVD262148 EEZ262148 EOV262148 EYR262148 FIN262148 FSJ262148 GCF262148 GMB262148 GVX262148 HFT262148 HPP262148 HZL262148 IJH262148 ITD262148 JCZ262148 JMV262148 JWR262148 KGN262148 KQJ262148 LAF262148 LKB262148 LTX262148 MDT262148 MNP262148 MXL262148 NHH262148 NRD262148 OAZ262148 OKV262148 OUR262148 PEN262148 POJ262148 PYF262148 QIB262148 QRX262148 RBT262148 RLP262148 RVL262148 SFH262148 SPD262148 SYZ262148 TIV262148 TSR262148 UCN262148 UMJ262148 UWF262148 VGB262148 VPX262148 VZT262148 WJP262148 WTL262148 AA327684 GZ327684 QV327684 AAR327684 AKN327684 AUJ327684 BEF327684 BOB327684 BXX327684 CHT327684 CRP327684 DBL327684 DLH327684 DVD327684 EEZ327684 EOV327684 EYR327684 FIN327684 FSJ327684 GCF327684 GMB327684 GVX327684 HFT327684 HPP327684 HZL327684 IJH327684 ITD327684 JCZ327684 JMV327684 JWR327684 KGN327684 KQJ327684 LAF327684 LKB327684 LTX327684 MDT327684 MNP327684 MXL327684 NHH327684 NRD327684 OAZ327684 OKV327684 OUR327684 PEN327684 POJ327684 PYF327684 QIB327684 QRX327684 RBT327684 RLP327684 RVL327684 SFH327684 SPD327684 SYZ327684 TIV327684 TSR327684 UCN327684 UMJ327684 UWF327684 VGB327684 VPX327684 VZT327684 WJP327684 WTL327684 AA393220 GZ393220 QV393220 AAR393220 AKN393220 AUJ393220 BEF393220 BOB393220 BXX393220 CHT393220 CRP393220 DBL393220 DLH393220 DVD393220 EEZ393220 EOV393220 EYR393220 FIN393220 FSJ393220 GCF393220 GMB393220 GVX393220 HFT393220 HPP393220 HZL393220 IJH393220 ITD393220 JCZ393220 JMV393220 JWR393220 KGN393220 KQJ393220 LAF393220 LKB393220 LTX393220 MDT393220 MNP393220 MXL393220 NHH393220 NRD393220 OAZ393220 OKV393220 OUR393220 PEN393220 POJ393220 PYF393220 QIB393220 QRX393220 RBT393220 RLP393220 RVL393220 SFH393220 SPD393220 SYZ393220 TIV393220 TSR393220 UCN393220 UMJ393220 UWF393220 VGB393220 VPX393220 VZT393220 WJP393220 WTL393220 AA458756 GZ458756 QV458756 AAR458756 AKN458756 AUJ458756 BEF458756 BOB458756 BXX458756 CHT458756 CRP458756 DBL458756 DLH458756 DVD458756 EEZ458756 EOV458756 EYR458756 FIN458756 FSJ458756 GCF458756 GMB458756 GVX458756 HFT458756 HPP458756 HZL458756 IJH458756 ITD458756 JCZ458756 JMV458756 JWR458756 KGN458756 KQJ458756 LAF458756 LKB458756 LTX458756 MDT458756 MNP458756 MXL458756 NHH458756 NRD458756 OAZ458756 OKV458756 OUR458756 PEN458756 POJ458756 PYF458756 QIB458756 QRX458756 RBT458756 RLP458756 RVL458756 SFH458756 SPD458756 SYZ458756 TIV458756 TSR458756 UCN458756 UMJ458756 UWF458756 VGB458756 VPX458756 VZT458756 WJP458756 WTL458756 AA524292 GZ524292 QV524292 AAR524292 AKN524292 AUJ524292 BEF524292 BOB524292 BXX524292 CHT524292 CRP524292 DBL524292 DLH524292 DVD524292 EEZ524292 EOV524292 EYR524292 FIN524292 FSJ524292 GCF524292 GMB524292 GVX524292 HFT524292 HPP524292 HZL524292 IJH524292 ITD524292 JCZ524292 JMV524292 JWR524292 KGN524292 KQJ524292 LAF524292 LKB524292 LTX524292 MDT524292 MNP524292 MXL524292 NHH524292 NRD524292 OAZ524292 OKV524292 OUR524292 PEN524292 POJ524292 PYF524292 QIB524292 QRX524292 RBT524292 RLP524292 RVL524292 SFH524292 SPD524292 SYZ524292 TIV524292 TSR524292 UCN524292 UMJ524292 UWF524292 VGB524292 VPX524292 VZT524292 WJP524292 WTL524292 AA589828 GZ589828 QV589828 AAR589828 AKN589828 AUJ589828 BEF589828 BOB589828 BXX589828 CHT589828 CRP589828 DBL589828 DLH589828 DVD589828 EEZ589828 EOV589828 EYR589828 FIN589828 FSJ589828 GCF589828 GMB589828 GVX589828 HFT589828 HPP589828 HZL589828 IJH589828 ITD589828 JCZ589828 JMV589828 JWR589828 KGN589828 KQJ589828 LAF589828 LKB589828 LTX589828 MDT589828 MNP589828 MXL589828 NHH589828 NRD589828 OAZ589828 OKV589828 OUR589828 PEN589828 POJ589828 PYF589828 QIB589828 QRX589828 RBT589828 RLP589828 RVL589828 SFH589828 SPD589828 SYZ589828 TIV589828 TSR589828 UCN589828 UMJ589828 UWF589828 VGB589828 VPX589828 VZT589828 WJP589828 WTL589828 AA655364 GZ655364 QV655364 AAR655364 AKN655364 AUJ655364 BEF655364 BOB655364 BXX655364 CHT655364 CRP655364 DBL655364 DLH655364 DVD655364 EEZ655364 EOV655364 EYR655364 FIN655364 FSJ655364 GCF655364 GMB655364 GVX655364 HFT655364 HPP655364 HZL655364 IJH655364 ITD655364 JCZ655364 JMV655364 JWR655364 KGN655364 KQJ655364 LAF655364 LKB655364 LTX655364 MDT655364 MNP655364 MXL655364 NHH655364 NRD655364 OAZ655364 OKV655364 OUR655364 PEN655364 POJ655364 PYF655364 QIB655364 QRX655364 RBT655364 RLP655364 RVL655364 SFH655364 SPD655364 SYZ655364 TIV655364 TSR655364 UCN655364 UMJ655364 UWF655364 VGB655364 VPX655364 VZT655364 WJP655364 WTL655364 AA720900 GZ720900 QV720900 AAR720900 AKN720900 AUJ720900 BEF720900 BOB720900 BXX720900 CHT720900 CRP720900 DBL720900 DLH720900 DVD720900 EEZ720900 EOV720900 EYR720900 FIN720900 FSJ720900 GCF720900 GMB720900 GVX720900 HFT720900 HPP720900 HZL720900 IJH720900 ITD720900 JCZ720900 JMV720900 JWR720900 KGN720900 KQJ720900 LAF720900 LKB720900 LTX720900 MDT720900 MNP720900 MXL720900 NHH720900 NRD720900 OAZ720900 OKV720900 OUR720900 PEN720900 POJ720900 PYF720900 QIB720900 QRX720900 RBT720900 RLP720900 RVL720900 SFH720900 SPD720900 SYZ720900 TIV720900 TSR720900 UCN720900 UMJ720900 UWF720900 VGB720900 VPX720900 VZT720900 WJP720900 WTL720900 AA786436 GZ786436 QV786436 AAR786436 AKN786436 AUJ786436 BEF786436 BOB786436 BXX786436 CHT786436 CRP786436 DBL786436 DLH786436 DVD786436 EEZ786436 EOV786436 EYR786436 FIN786436 FSJ786436 GCF786436 GMB786436 GVX786436 HFT786436 HPP786436 HZL786436 IJH786436 ITD786436 JCZ786436 JMV786436 JWR786436 KGN786436 KQJ786436 LAF786436 LKB786436 LTX786436 MDT786436 MNP786436 MXL786436 NHH786436 NRD786436 OAZ786436 OKV786436 OUR786436 PEN786436 POJ786436 PYF786436 QIB786436 QRX786436 RBT786436 RLP786436 RVL786436 SFH786436 SPD786436 SYZ786436 TIV786436 TSR786436 UCN786436 UMJ786436 UWF786436 VGB786436 VPX786436 VZT786436 WJP786436 WTL786436 AA851972 GZ851972 QV851972 AAR851972 AKN851972 AUJ851972 BEF851972 BOB851972 BXX851972 CHT851972 CRP851972 DBL851972 DLH851972 DVD851972 EEZ851972 EOV851972 EYR851972 FIN851972 FSJ851972 GCF851972 GMB851972 GVX851972 HFT851972 HPP851972 HZL851972 IJH851972 ITD851972 JCZ851972 JMV851972 JWR851972 KGN851972 KQJ851972 LAF851972 LKB851972 LTX851972 MDT851972 MNP851972 MXL851972 NHH851972 NRD851972 OAZ851972 OKV851972 OUR851972 PEN851972 POJ851972 PYF851972 QIB851972 QRX851972 RBT851972 RLP851972 RVL851972 SFH851972 SPD851972 SYZ851972 TIV851972 TSR851972 UCN851972 UMJ851972 UWF851972 VGB851972 VPX851972 VZT851972 WJP851972 WTL851972 AA917508 GZ917508 QV917508 AAR917508 AKN917508 AUJ917508 BEF917508 BOB917508 BXX917508 CHT917508 CRP917508 DBL917508 DLH917508 DVD917508 EEZ917508 EOV917508 EYR917508 FIN917508 FSJ917508 GCF917508 GMB917508 GVX917508 HFT917508 HPP917508 HZL917508 IJH917508 ITD917508 JCZ917508 JMV917508 JWR917508 KGN917508 KQJ917508 LAF917508 LKB917508 LTX917508 MDT917508 MNP917508 MXL917508 NHH917508 NRD917508 OAZ917508 OKV917508 OUR917508 PEN917508 POJ917508 PYF917508 QIB917508 QRX917508 RBT917508 RLP917508 RVL917508 SFH917508 SPD917508 SYZ917508 TIV917508 TSR917508 UCN917508 UMJ917508 UWF917508 VGB917508 VPX917508 VZT917508 WJP917508 WTL917508 AA983044 GZ983044 QV983044 AAR983044 AKN983044 AUJ983044 BEF983044 BOB983044 BXX983044 CHT983044 CRP983044 DBL983044 DLH983044 DVD983044 EEZ983044 EOV983044 EYR983044 FIN983044 FSJ983044 GCF983044 GMB983044 GVX983044 HFT983044 HPP983044 HZL983044 IJH983044 ITD983044 JCZ983044 JMV983044 JWR983044 KGN983044 KQJ983044 LAF983044 LKB983044 LTX983044 MDT983044 MNP983044 MXL983044 NHH983044 NRD983044 OAZ983044 OKV983044 OUR983044 PEN983044 POJ983044 PYF983044 QIB983044 QRX983044 RBT983044 RLP983044 RVL983044 SFH983044 SPD983044 SYZ983044 TIV983044 TSR983044 UCN983044 UMJ983044 UWF983044 VGB983044 VPX983044 VZT983044 T983044:Y983044 T917508:Y917508 T851972:Y851972 T786436:Y786436 T720900:Y720900 T655364:Y655364 T589828:Y589828 T524292:Y524292 T458756:Y458756 T393220:Y393220 T327684:Y327684 T262148:Y262148 T196612:Y196612 T131076:Y131076 T65540:Y65540" xr:uid="{682E68CA-25B4-4138-B47A-5D507429D0D2}">
      <formula1>"Ｍ３（部長）,Ｍ２（Ｍ）,Ｍ１（ＰＭ）,Ｓ２,Ｓ１,Ｒ４,Ｒ３,Ｒ２,Ｒ１"</formula1>
    </dataValidation>
    <dataValidation type="list" allowBlank="1" showInputMessage="1" showErrorMessage="1" sqref="AB1:AI1" xr:uid="{096E01E5-0B71-4687-BD78-8709C7D6E5DF}">
      <formula1>"Ｍ３（部長）,Ｍ３（次長）,Ｍ２（Ｍ）,Ｍ１（ＰＭ）,Ｒ４,Ｒ３,Ｒ２,Ｒ１"</formula1>
    </dataValidation>
  </dataValidations>
  <pageMargins left="0.70866141732283472" right="0.70866141732283472" top="0.74803149606299213" bottom="0.74803149606299213" header="0.31496062992125984" footer="0.31496062992125984"/>
  <pageSetup paperSize="8" scale="52" orientation="landscape" cellComments="asDisplayed"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2AB3D-E085-4AC5-BB35-46CD4BF33AED}">
  <sheetPr>
    <pageSetUpPr fitToPage="1"/>
  </sheetPr>
  <dimension ref="A1:BR63"/>
  <sheetViews>
    <sheetView zoomScale="50" zoomScaleNormal="50" workbookViewId="0">
      <selection activeCell="AM1" sqref="AM1:AR1"/>
    </sheetView>
  </sheetViews>
  <sheetFormatPr defaultColWidth="3.5" defaultRowHeight="13.15"/>
  <cols>
    <col min="1" max="1" width="5.83203125" style="83" customWidth="1"/>
    <col min="2" max="7" width="8.83203125" style="82" customWidth="1"/>
    <col min="8" max="25" width="6.83203125" style="82" customWidth="1"/>
    <col min="26" max="26" width="9.5" style="82" customWidth="1"/>
    <col min="27" max="44" width="6.83203125" style="82" customWidth="1"/>
    <col min="45" max="46" width="3.5" style="82"/>
    <col min="47" max="70" width="10.1640625" style="82" customWidth="1"/>
    <col min="71" max="141" width="3.5" style="82"/>
    <col min="142" max="159" width="5.83203125" style="82" customWidth="1"/>
    <col min="160" max="160" width="7.33203125" style="82" customWidth="1"/>
    <col min="161" max="170" width="5.83203125" style="82" customWidth="1"/>
    <col min="171" max="171" width="9.5" style="82" customWidth="1"/>
    <col min="172" max="189" width="5.83203125" style="82" customWidth="1"/>
    <col min="190" max="397" width="3.5" style="82"/>
    <col min="398" max="415" width="5.83203125" style="82" customWidth="1"/>
    <col min="416" max="416" width="7.33203125" style="82" customWidth="1"/>
    <col min="417" max="426" width="5.83203125" style="82" customWidth="1"/>
    <col min="427" max="427" width="9.5" style="82" customWidth="1"/>
    <col min="428" max="445" width="5.83203125" style="82" customWidth="1"/>
    <col min="446" max="653" width="3.5" style="82"/>
    <col min="654" max="671" width="5.83203125" style="82" customWidth="1"/>
    <col min="672" max="672" width="7.33203125" style="82" customWidth="1"/>
    <col min="673" max="682" width="5.83203125" style="82" customWidth="1"/>
    <col min="683" max="683" width="9.5" style="82" customWidth="1"/>
    <col min="684" max="701" width="5.83203125" style="82" customWidth="1"/>
    <col min="702" max="909" width="3.5" style="82"/>
    <col min="910" max="927" width="5.83203125" style="82" customWidth="1"/>
    <col min="928" max="928" width="7.33203125" style="82" customWidth="1"/>
    <col min="929" max="938" width="5.83203125" style="82" customWidth="1"/>
    <col min="939" max="939" width="9.5" style="82" customWidth="1"/>
    <col min="940" max="957" width="5.83203125" style="82" customWidth="1"/>
    <col min="958" max="1165" width="3.5" style="82"/>
    <col min="1166" max="1183" width="5.83203125" style="82" customWidth="1"/>
    <col min="1184" max="1184" width="7.33203125" style="82" customWidth="1"/>
    <col min="1185" max="1194" width="5.83203125" style="82" customWidth="1"/>
    <col min="1195" max="1195" width="9.5" style="82" customWidth="1"/>
    <col min="1196" max="1213" width="5.83203125" style="82" customWidth="1"/>
    <col min="1214" max="1421" width="3.5" style="82"/>
    <col min="1422" max="1439" width="5.83203125" style="82" customWidth="1"/>
    <col min="1440" max="1440" width="7.33203125" style="82" customWidth="1"/>
    <col min="1441" max="1450" width="5.83203125" style="82" customWidth="1"/>
    <col min="1451" max="1451" width="9.5" style="82" customWidth="1"/>
    <col min="1452" max="1469" width="5.83203125" style="82" customWidth="1"/>
    <col min="1470" max="1677" width="3.5" style="82"/>
    <col min="1678" max="1695" width="5.83203125" style="82" customWidth="1"/>
    <col min="1696" max="1696" width="7.33203125" style="82" customWidth="1"/>
    <col min="1697" max="1706" width="5.83203125" style="82" customWidth="1"/>
    <col min="1707" max="1707" width="9.5" style="82" customWidth="1"/>
    <col min="1708" max="1725" width="5.83203125" style="82" customWidth="1"/>
    <col min="1726" max="1933" width="3.5" style="82"/>
    <col min="1934" max="1951" width="5.83203125" style="82" customWidth="1"/>
    <col min="1952" max="1952" width="7.33203125" style="82" customWidth="1"/>
    <col min="1953" max="1962" width="5.83203125" style="82" customWidth="1"/>
    <col min="1963" max="1963" width="9.5" style="82" customWidth="1"/>
    <col min="1964" max="1981" width="5.83203125" style="82" customWidth="1"/>
    <col min="1982" max="2189" width="3.5" style="82"/>
    <col min="2190" max="2207" width="5.83203125" style="82" customWidth="1"/>
    <col min="2208" max="2208" width="7.33203125" style="82" customWidth="1"/>
    <col min="2209" max="2218" width="5.83203125" style="82" customWidth="1"/>
    <col min="2219" max="2219" width="9.5" style="82" customWidth="1"/>
    <col min="2220" max="2237" width="5.83203125" style="82" customWidth="1"/>
    <col min="2238" max="2445" width="3.5" style="82"/>
    <col min="2446" max="2463" width="5.83203125" style="82" customWidth="1"/>
    <col min="2464" max="2464" width="7.33203125" style="82" customWidth="1"/>
    <col min="2465" max="2474" width="5.83203125" style="82" customWidth="1"/>
    <col min="2475" max="2475" width="9.5" style="82" customWidth="1"/>
    <col min="2476" max="2493" width="5.83203125" style="82" customWidth="1"/>
    <col min="2494" max="2701" width="3.5" style="82"/>
    <col min="2702" max="2719" width="5.83203125" style="82" customWidth="1"/>
    <col min="2720" max="2720" width="7.33203125" style="82" customWidth="1"/>
    <col min="2721" max="2730" width="5.83203125" style="82" customWidth="1"/>
    <col min="2731" max="2731" width="9.5" style="82" customWidth="1"/>
    <col min="2732" max="2749" width="5.83203125" style="82" customWidth="1"/>
    <col min="2750" max="2957" width="3.5" style="82"/>
    <col min="2958" max="2975" width="5.83203125" style="82" customWidth="1"/>
    <col min="2976" max="2976" width="7.33203125" style="82" customWidth="1"/>
    <col min="2977" max="2986" width="5.83203125" style="82" customWidth="1"/>
    <col min="2987" max="2987" width="9.5" style="82" customWidth="1"/>
    <col min="2988" max="3005" width="5.83203125" style="82" customWidth="1"/>
    <col min="3006" max="3213" width="3.5" style="82"/>
    <col min="3214" max="3231" width="5.83203125" style="82" customWidth="1"/>
    <col min="3232" max="3232" width="7.33203125" style="82" customWidth="1"/>
    <col min="3233" max="3242" width="5.83203125" style="82" customWidth="1"/>
    <col min="3243" max="3243" width="9.5" style="82" customWidth="1"/>
    <col min="3244" max="3261" width="5.83203125" style="82" customWidth="1"/>
    <col min="3262" max="3469" width="3.5" style="82"/>
    <col min="3470" max="3487" width="5.83203125" style="82" customWidth="1"/>
    <col min="3488" max="3488" width="7.33203125" style="82" customWidth="1"/>
    <col min="3489" max="3498" width="5.83203125" style="82" customWidth="1"/>
    <col min="3499" max="3499" width="9.5" style="82" customWidth="1"/>
    <col min="3500" max="3517" width="5.83203125" style="82" customWidth="1"/>
    <col min="3518" max="3725" width="3.5" style="82"/>
    <col min="3726" max="3743" width="5.83203125" style="82" customWidth="1"/>
    <col min="3744" max="3744" width="7.33203125" style="82" customWidth="1"/>
    <col min="3745" max="3754" width="5.83203125" style="82" customWidth="1"/>
    <col min="3755" max="3755" width="9.5" style="82" customWidth="1"/>
    <col min="3756" max="3773" width="5.83203125" style="82" customWidth="1"/>
    <col min="3774" max="3981" width="3.5" style="82"/>
    <col min="3982" max="3999" width="5.83203125" style="82" customWidth="1"/>
    <col min="4000" max="4000" width="7.33203125" style="82" customWidth="1"/>
    <col min="4001" max="4010" width="5.83203125" style="82" customWidth="1"/>
    <col min="4011" max="4011" width="9.5" style="82" customWidth="1"/>
    <col min="4012" max="4029" width="5.83203125" style="82" customWidth="1"/>
    <col min="4030" max="4237" width="3.5" style="82"/>
    <col min="4238" max="4255" width="5.83203125" style="82" customWidth="1"/>
    <col min="4256" max="4256" width="7.33203125" style="82" customWidth="1"/>
    <col min="4257" max="4266" width="5.83203125" style="82" customWidth="1"/>
    <col min="4267" max="4267" width="9.5" style="82" customWidth="1"/>
    <col min="4268" max="4285" width="5.83203125" style="82" customWidth="1"/>
    <col min="4286" max="4493" width="3.5" style="82"/>
    <col min="4494" max="4511" width="5.83203125" style="82" customWidth="1"/>
    <col min="4512" max="4512" width="7.33203125" style="82" customWidth="1"/>
    <col min="4513" max="4522" width="5.83203125" style="82" customWidth="1"/>
    <col min="4523" max="4523" width="9.5" style="82" customWidth="1"/>
    <col min="4524" max="4541" width="5.83203125" style="82" customWidth="1"/>
    <col min="4542" max="4749" width="3.5" style="82"/>
    <col min="4750" max="4767" width="5.83203125" style="82" customWidth="1"/>
    <col min="4768" max="4768" width="7.33203125" style="82" customWidth="1"/>
    <col min="4769" max="4778" width="5.83203125" style="82" customWidth="1"/>
    <col min="4779" max="4779" width="9.5" style="82" customWidth="1"/>
    <col min="4780" max="4797" width="5.83203125" style="82" customWidth="1"/>
    <col min="4798" max="5005" width="3.5" style="82"/>
    <col min="5006" max="5023" width="5.83203125" style="82" customWidth="1"/>
    <col min="5024" max="5024" width="7.33203125" style="82" customWidth="1"/>
    <col min="5025" max="5034" width="5.83203125" style="82" customWidth="1"/>
    <col min="5035" max="5035" width="9.5" style="82" customWidth="1"/>
    <col min="5036" max="5053" width="5.83203125" style="82" customWidth="1"/>
    <col min="5054" max="5261" width="3.5" style="82"/>
    <col min="5262" max="5279" width="5.83203125" style="82" customWidth="1"/>
    <col min="5280" max="5280" width="7.33203125" style="82" customWidth="1"/>
    <col min="5281" max="5290" width="5.83203125" style="82" customWidth="1"/>
    <col min="5291" max="5291" width="9.5" style="82" customWidth="1"/>
    <col min="5292" max="5309" width="5.83203125" style="82" customWidth="1"/>
    <col min="5310" max="5517" width="3.5" style="82"/>
    <col min="5518" max="5535" width="5.83203125" style="82" customWidth="1"/>
    <col min="5536" max="5536" width="7.33203125" style="82" customWidth="1"/>
    <col min="5537" max="5546" width="5.83203125" style="82" customWidth="1"/>
    <col min="5547" max="5547" width="9.5" style="82" customWidth="1"/>
    <col min="5548" max="5565" width="5.83203125" style="82" customWidth="1"/>
    <col min="5566" max="5773" width="3.5" style="82"/>
    <col min="5774" max="5791" width="5.83203125" style="82" customWidth="1"/>
    <col min="5792" max="5792" width="7.33203125" style="82" customWidth="1"/>
    <col min="5793" max="5802" width="5.83203125" style="82" customWidth="1"/>
    <col min="5803" max="5803" width="9.5" style="82" customWidth="1"/>
    <col min="5804" max="5821" width="5.83203125" style="82" customWidth="1"/>
    <col min="5822" max="6029" width="3.5" style="82"/>
    <col min="6030" max="6047" width="5.83203125" style="82" customWidth="1"/>
    <col min="6048" max="6048" width="7.33203125" style="82" customWidth="1"/>
    <col min="6049" max="6058" width="5.83203125" style="82" customWidth="1"/>
    <col min="6059" max="6059" width="9.5" style="82" customWidth="1"/>
    <col min="6060" max="6077" width="5.83203125" style="82" customWidth="1"/>
    <col min="6078" max="6285" width="3.5" style="82"/>
    <col min="6286" max="6303" width="5.83203125" style="82" customWidth="1"/>
    <col min="6304" max="6304" width="7.33203125" style="82" customWidth="1"/>
    <col min="6305" max="6314" width="5.83203125" style="82" customWidth="1"/>
    <col min="6315" max="6315" width="9.5" style="82" customWidth="1"/>
    <col min="6316" max="6333" width="5.83203125" style="82" customWidth="1"/>
    <col min="6334" max="6541" width="3.5" style="82"/>
    <col min="6542" max="6559" width="5.83203125" style="82" customWidth="1"/>
    <col min="6560" max="6560" width="7.33203125" style="82" customWidth="1"/>
    <col min="6561" max="6570" width="5.83203125" style="82" customWidth="1"/>
    <col min="6571" max="6571" width="9.5" style="82" customWidth="1"/>
    <col min="6572" max="6589" width="5.83203125" style="82" customWidth="1"/>
    <col min="6590" max="6797" width="3.5" style="82"/>
    <col min="6798" max="6815" width="5.83203125" style="82" customWidth="1"/>
    <col min="6816" max="6816" width="7.33203125" style="82" customWidth="1"/>
    <col min="6817" max="6826" width="5.83203125" style="82" customWidth="1"/>
    <col min="6827" max="6827" width="9.5" style="82" customWidth="1"/>
    <col min="6828" max="6845" width="5.83203125" style="82" customWidth="1"/>
    <col min="6846" max="7053" width="3.5" style="82"/>
    <col min="7054" max="7071" width="5.83203125" style="82" customWidth="1"/>
    <col min="7072" max="7072" width="7.33203125" style="82" customWidth="1"/>
    <col min="7073" max="7082" width="5.83203125" style="82" customWidth="1"/>
    <col min="7083" max="7083" width="9.5" style="82" customWidth="1"/>
    <col min="7084" max="7101" width="5.83203125" style="82" customWidth="1"/>
    <col min="7102" max="7309" width="3.5" style="82"/>
    <col min="7310" max="7327" width="5.83203125" style="82" customWidth="1"/>
    <col min="7328" max="7328" width="7.33203125" style="82" customWidth="1"/>
    <col min="7329" max="7338" width="5.83203125" style="82" customWidth="1"/>
    <col min="7339" max="7339" width="9.5" style="82" customWidth="1"/>
    <col min="7340" max="7357" width="5.83203125" style="82" customWidth="1"/>
    <col min="7358" max="7565" width="3.5" style="82"/>
    <col min="7566" max="7583" width="5.83203125" style="82" customWidth="1"/>
    <col min="7584" max="7584" width="7.33203125" style="82" customWidth="1"/>
    <col min="7585" max="7594" width="5.83203125" style="82" customWidth="1"/>
    <col min="7595" max="7595" width="9.5" style="82" customWidth="1"/>
    <col min="7596" max="7613" width="5.83203125" style="82" customWidth="1"/>
    <col min="7614" max="7821" width="3.5" style="82"/>
    <col min="7822" max="7839" width="5.83203125" style="82" customWidth="1"/>
    <col min="7840" max="7840" width="7.33203125" style="82" customWidth="1"/>
    <col min="7841" max="7850" width="5.83203125" style="82" customWidth="1"/>
    <col min="7851" max="7851" width="9.5" style="82" customWidth="1"/>
    <col min="7852" max="7869" width="5.83203125" style="82" customWidth="1"/>
    <col min="7870" max="8077" width="3.5" style="82"/>
    <col min="8078" max="8095" width="5.83203125" style="82" customWidth="1"/>
    <col min="8096" max="8096" width="7.33203125" style="82" customWidth="1"/>
    <col min="8097" max="8106" width="5.83203125" style="82" customWidth="1"/>
    <col min="8107" max="8107" width="9.5" style="82" customWidth="1"/>
    <col min="8108" max="8125" width="5.83203125" style="82" customWidth="1"/>
    <col min="8126" max="8333" width="3.5" style="82"/>
    <col min="8334" max="8351" width="5.83203125" style="82" customWidth="1"/>
    <col min="8352" max="8352" width="7.33203125" style="82" customWidth="1"/>
    <col min="8353" max="8362" width="5.83203125" style="82" customWidth="1"/>
    <col min="8363" max="8363" width="9.5" style="82" customWidth="1"/>
    <col min="8364" max="8381" width="5.83203125" style="82" customWidth="1"/>
    <col min="8382" max="8589" width="3.5" style="82"/>
    <col min="8590" max="8607" width="5.83203125" style="82" customWidth="1"/>
    <col min="8608" max="8608" width="7.33203125" style="82" customWidth="1"/>
    <col min="8609" max="8618" width="5.83203125" style="82" customWidth="1"/>
    <col min="8619" max="8619" width="9.5" style="82" customWidth="1"/>
    <col min="8620" max="8637" width="5.83203125" style="82" customWidth="1"/>
    <col min="8638" max="8845" width="3.5" style="82"/>
    <col min="8846" max="8863" width="5.83203125" style="82" customWidth="1"/>
    <col min="8864" max="8864" width="7.33203125" style="82" customWidth="1"/>
    <col min="8865" max="8874" width="5.83203125" style="82" customWidth="1"/>
    <col min="8875" max="8875" width="9.5" style="82" customWidth="1"/>
    <col min="8876" max="8893" width="5.83203125" style="82" customWidth="1"/>
    <col min="8894" max="9101" width="3.5" style="82"/>
    <col min="9102" max="9119" width="5.83203125" style="82" customWidth="1"/>
    <col min="9120" max="9120" width="7.33203125" style="82" customWidth="1"/>
    <col min="9121" max="9130" width="5.83203125" style="82" customWidth="1"/>
    <col min="9131" max="9131" width="9.5" style="82" customWidth="1"/>
    <col min="9132" max="9149" width="5.83203125" style="82" customWidth="1"/>
    <col min="9150" max="9357" width="3.5" style="82"/>
    <col min="9358" max="9375" width="5.83203125" style="82" customWidth="1"/>
    <col min="9376" max="9376" width="7.33203125" style="82" customWidth="1"/>
    <col min="9377" max="9386" width="5.83203125" style="82" customWidth="1"/>
    <col min="9387" max="9387" width="9.5" style="82" customWidth="1"/>
    <col min="9388" max="9405" width="5.83203125" style="82" customWidth="1"/>
    <col min="9406" max="9613" width="3.5" style="82"/>
    <col min="9614" max="9631" width="5.83203125" style="82" customWidth="1"/>
    <col min="9632" max="9632" width="7.33203125" style="82" customWidth="1"/>
    <col min="9633" max="9642" width="5.83203125" style="82" customWidth="1"/>
    <col min="9643" max="9643" width="9.5" style="82" customWidth="1"/>
    <col min="9644" max="9661" width="5.83203125" style="82" customWidth="1"/>
    <col min="9662" max="9869" width="3.5" style="82"/>
    <col min="9870" max="9887" width="5.83203125" style="82" customWidth="1"/>
    <col min="9888" max="9888" width="7.33203125" style="82" customWidth="1"/>
    <col min="9889" max="9898" width="5.83203125" style="82" customWidth="1"/>
    <col min="9899" max="9899" width="9.5" style="82" customWidth="1"/>
    <col min="9900" max="9917" width="5.83203125" style="82" customWidth="1"/>
    <col min="9918" max="10125" width="3.5" style="82"/>
    <col min="10126" max="10143" width="5.83203125" style="82" customWidth="1"/>
    <col min="10144" max="10144" width="7.33203125" style="82" customWidth="1"/>
    <col min="10145" max="10154" width="5.83203125" style="82" customWidth="1"/>
    <col min="10155" max="10155" width="9.5" style="82" customWidth="1"/>
    <col min="10156" max="10173" width="5.83203125" style="82" customWidth="1"/>
    <col min="10174" max="10381" width="3.5" style="82"/>
    <col min="10382" max="10399" width="5.83203125" style="82" customWidth="1"/>
    <col min="10400" max="10400" width="7.33203125" style="82" customWidth="1"/>
    <col min="10401" max="10410" width="5.83203125" style="82" customWidth="1"/>
    <col min="10411" max="10411" width="9.5" style="82" customWidth="1"/>
    <col min="10412" max="10429" width="5.83203125" style="82" customWidth="1"/>
    <col min="10430" max="10637" width="3.5" style="82"/>
    <col min="10638" max="10655" width="5.83203125" style="82" customWidth="1"/>
    <col min="10656" max="10656" width="7.33203125" style="82" customWidth="1"/>
    <col min="10657" max="10666" width="5.83203125" style="82" customWidth="1"/>
    <col min="10667" max="10667" width="9.5" style="82" customWidth="1"/>
    <col min="10668" max="10685" width="5.83203125" style="82" customWidth="1"/>
    <col min="10686" max="10893" width="3.5" style="82"/>
    <col min="10894" max="10911" width="5.83203125" style="82" customWidth="1"/>
    <col min="10912" max="10912" width="7.33203125" style="82" customWidth="1"/>
    <col min="10913" max="10922" width="5.83203125" style="82" customWidth="1"/>
    <col min="10923" max="10923" width="9.5" style="82" customWidth="1"/>
    <col min="10924" max="10941" width="5.83203125" style="82" customWidth="1"/>
    <col min="10942" max="11149" width="3.5" style="82"/>
    <col min="11150" max="11167" width="5.83203125" style="82" customWidth="1"/>
    <col min="11168" max="11168" width="7.33203125" style="82" customWidth="1"/>
    <col min="11169" max="11178" width="5.83203125" style="82" customWidth="1"/>
    <col min="11179" max="11179" width="9.5" style="82" customWidth="1"/>
    <col min="11180" max="11197" width="5.83203125" style="82" customWidth="1"/>
    <col min="11198" max="11405" width="3.5" style="82"/>
    <col min="11406" max="11423" width="5.83203125" style="82" customWidth="1"/>
    <col min="11424" max="11424" width="7.33203125" style="82" customWidth="1"/>
    <col min="11425" max="11434" width="5.83203125" style="82" customWidth="1"/>
    <col min="11435" max="11435" width="9.5" style="82" customWidth="1"/>
    <col min="11436" max="11453" width="5.83203125" style="82" customWidth="1"/>
    <col min="11454" max="11661" width="3.5" style="82"/>
    <col min="11662" max="11679" width="5.83203125" style="82" customWidth="1"/>
    <col min="11680" max="11680" width="7.33203125" style="82" customWidth="1"/>
    <col min="11681" max="11690" width="5.83203125" style="82" customWidth="1"/>
    <col min="11691" max="11691" width="9.5" style="82" customWidth="1"/>
    <col min="11692" max="11709" width="5.83203125" style="82" customWidth="1"/>
    <col min="11710" max="11917" width="3.5" style="82"/>
    <col min="11918" max="11935" width="5.83203125" style="82" customWidth="1"/>
    <col min="11936" max="11936" width="7.33203125" style="82" customWidth="1"/>
    <col min="11937" max="11946" width="5.83203125" style="82" customWidth="1"/>
    <col min="11947" max="11947" width="9.5" style="82" customWidth="1"/>
    <col min="11948" max="11965" width="5.83203125" style="82" customWidth="1"/>
    <col min="11966" max="12173" width="3.5" style="82"/>
    <col min="12174" max="12191" width="5.83203125" style="82" customWidth="1"/>
    <col min="12192" max="12192" width="7.33203125" style="82" customWidth="1"/>
    <col min="12193" max="12202" width="5.83203125" style="82" customWidth="1"/>
    <col min="12203" max="12203" width="9.5" style="82" customWidth="1"/>
    <col min="12204" max="12221" width="5.83203125" style="82" customWidth="1"/>
    <col min="12222" max="12429" width="3.5" style="82"/>
    <col min="12430" max="12447" width="5.83203125" style="82" customWidth="1"/>
    <col min="12448" max="12448" width="7.33203125" style="82" customWidth="1"/>
    <col min="12449" max="12458" width="5.83203125" style="82" customWidth="1"/>
    <col min="12459" max="12459" width="9.5" style="82" customWidth="1"/>
    <col min="12460" max="12477" width="5.83203125" style="82" customWidth="1"/>
    <col min="12478" max="12685" width="3.5" style="82"/>
    <col min="12686" max="12703" width="5.83203125" style="82" customWidth="1"/>
    <col min="12704" max="12704" width="7.33203125" style="82" customWidth="1"/>
    <col min="12705" max="12714" width="5.83203125" style="82" customWidth="1"/>
    <col min="12715" max="12715" width="9.5" style="82" customWidth="1"/>
    <col min="12716" max="12733" width="5.83203125" style="82" customWidth="1"/>
    <col min="12734" max="12941" width="3.5" style="82"/>
    <col min="12942" max="12959" width="5.83203125" style="82" customWidth="1"/>
    <col min="12960" max="12960" width="7.33203125" style="82" customWidth="1"/>
    <col min="12961" max="12970" width="5.83203125" style="82" customWidth="1"/>
    <col min="12971" max="12971" width="9.5" style="82" customWidth="1"/>
    <col min="12972" max="12989" width="5.83203125" style="82" customWidth="1"/>
    <col min="12990" max="13197" width="3.5" style="82"/>
    <col min="13198" max="13215" width="5.83203125" style="82" customWidth="1"/>
    <col min="13216" max="13216" width="7.33203125" style="82" customWidth="1"/>
    <col min="13217" max="13226" width="5.83203125" style="82" customWidth="1"/>
    <col min="13227" max="13227" width="9.5" style="82" customWidth="1"/>
    <col min="13228" max="13245" width="5.83203125" style="82" customWidth="1"/>
    <col min="13246" max="13453" width="3.5" style="82"/>
    <col min="13454" max="13471" width="5.83203125" style="82" customWidth="1"/>
    <col min="13472" max="13472" width="7.33203125" style="82" customWidth="1"/>
    <col min="13473" max="13482" width="5.83203125" style="82" customWidth="1"/>
    <col min="13483" max="13483" width="9.5" style="82" customWidth="1"/>
    <col min="13484" max="13501" width="5.83203125" style="82" customWidth="1"/>
    <col min="13502" max="13709" width="3.5" style="82"/>
    <col min="13710" max="13727" width="5.83203125" style="82" customWidth="1"/>
    <col min="13728" max="13728" width="7.33203125" style="82" customWidth="1"/>
    <col min="13729" max="13738" width="5.83203125" style="82" customWidth="1"/>
    <col min="13739" max="13739" width="9.5" style="82" customWidth="1"/>
    <col min="13740" max="13757" width="5.83203125" style="82" customWidth="1"/>
    <col min="13758" max="13965" width="3.5" style="82"/>
    <col min="13966" max="13983" width="5.83203125" style="82" customWidth="1"/>
    <col min="13984" max="13984" width="7.33203125" style="82" customWidth="1"/>
    <col min="13985" max="13994" width="5.83203125" style="82" customWidth="1"/>
    <col min="13995" max="13995" width="9.5" style="82" customWidth="1"/>
    <col min="13996" max="14013" width="5.83203125" style="82" customWidth="1"/>
    <col min="14014" max="14221" width="3.5" style="82"/>
    <col min="14222" max="14239" width="5.83203125" style="82" customWidth="1"/>
    <col min="14240" max="14240" width="7.33203125" style="82" customWidth="1"/>
    <col min="14241" max="14250" width="5.83203125" style="82" customWidth="1"/>
    <col min="14251" max="14251" width="9.5" style="82" customWidth="1"/>
    <col min="14252" max="14269" width="5.83203125" style="82" customWidth="1"/>
    <col min="14270" max="14477" width="3.5" style="82"/>
    <col min="14478" max="14495" width="5.83203125" style="82" customWidth="1"/>
    <col min="14496" max="14496" width="7.33203125" style="82" customWidth="1"/>
    <col min="14497" max="14506" width="5.83203125" style="82" customWidth="1"/>
    <col min="14507" max="14507" width="9.5" style="82" customWidth="1"/>
    <col min="14508" max="14525" width="5.83203125" style="82" customWidth="1"/>
    <col min="14526" max="14733" width="3.5" style="82"/>
    <col min="14734" max="14751" width="5.83203125" style="82" customWidth="1"/>
    <col min="14752" max="14752" width="7.33203125" style="82" customWidth="1"/>
    <col min="14753" max="14762" width="5.83203125" style="82" customWidth="1"/>
    <col min="14763" max="14763" width="9.5" style="82" customWidth="1"/>
    <col min="14764" max="14781" width="5.83203125" style="82" customWidth="1"/>
    <col min="14782" max="14989" width="3.5" style="82"/>
    <col min="14990" max="15007" width="5.83203125" style="82" customWidth="1"/>
    <col min="15008" max="15008" width="7.33203125" style="82" customWidth="1"/>
    <col min="15009" max="15018" width="5.83203125" style="82" customWidth="1"/>
    <col min="15019" max="15019" width="9.5" style="82" customWidth="1"/>
    <col min="15020" max="15037" width="5.83203125" style="82" customWidth="1"/>
    <col min="15038" max="15245" width="3.5" style="82"/>
    <col min="15246" max="15263" width="5.83203125" style="82" customWidth="1"/>
    <col min="15264" max="15264" width="7.33203125" style="82" customWidth="1"/>
    <col min="15265" max="15274" width="5.83203125" style="82" customWidth="1"/>
    <col min="15275" max="15275" width="9.5" style="82" customWidth="1"/>
    <col min="15276" max="15293" width="5.83203125" style="82" customWidth="1"/>
    <col min="15294" max="15501" width="3.5" style="82"/>
    <col min="15502" max="15519" width="5.83203125" style="82" customWidth="1"/>
    <col min="15520" max="15520" width="7.33203125" style="82" customWidth="1"/>
    <col min="15521" max="15530" width="5.83203125" style="82" customWidth="1"/>
    <col min="15531" max="15531" width="9.5" style="82" customWidth="1"/>
    <col min="15532" max="15549" width="5.83203125" style="82" customWidth="1"/>
    <col min="15550" max="15757" width="3.5" style="82"/>
    <col min="15758" max="15775" width="5.83203125" style="82" customWidth="1"/>
    <col min="15776" max="15776" width="7.33203125" style="82" customWidth="1"/>
    <col min="15777" max="15786" width="5.83203125" style="82" customWidth="1"/>
    <col min="15787" max="15787" width="9.5" style="82" customWidth="1"/>
    <col min="15788" max="15805" width="5.83203125" style="82" customWidth="1"/>
    <col min="15806" max="16013" width="3.5" style="82"/>
    <col min="16014" max="16031" width="5.83203125" style="82" customWidth="1"/>
    <col min="16032" max="16032" width="7.33203125" style="82" customWidth="1"/>
    <col min="16033" max="16042" width="5.83203125" style="82" customWidth="1"/>
    <col min="16043" max="16043" width="9.5" style="82" customWidth="1"/>
    <col min="16044" max="16061" width="5.83203125" style="82" customWidth="1"/>
    <col min="16062" max="16384" width="3.5" style="82"/>
  </cols>
  <sheetData>
    <row r="1" spans="1:68" s="81" customFormat="1" ht="30" customHeight="1">
      <c r="A1" s="361" t="s">
        <v>282</v>
      </c>
      <c r="B1" s="361"/>
      <c r="C1" s="361"/>
      <c r="D1" s="361"/>
      <c r="E1" s="361"/>
      <c r="F1" s="361"/>
      <c r="G1" s="361"/>
      <c r="H1" s="361"/>
      <c r="I1" s="361"/>
      <c r="J1" s="361"/>
      <c r="K1" s="361"/>
      <c r="L1" s="361"/>
      <c r="M1" s="361"/>
      <c r="N1" s="361"/>
      <c r="O1" s="361"/>
      <c r="Y1" s="571" t="s">
        <v>283</v>
      </c>
      <c r="Z1" s="572"/>
      <c r="AA1" s="572"/>
      <c r="AB1" s="573" t="s">
        <v>399</v>
      </c>
      <c r="AC1" s="573"/>
      <c r="AD1" s="573"/>
      <c r="AE1" s="573"/>
      <c r="AF1" s="573"/>
      <c r="AG1" s="573"/>
      <c r="AH1" s="573"/>
      <c r="AI1" s="574"/>
      <c r="AJ1" s="572" t="s">
        <v>285</v>
      </c>
      <c r="AK1" s="572"/>
      <c r="AL1" s="572"/>
      <c r="AM1" s="573" t="s">
        <v>332</v>
      </c>
      <c r="AN1" s="573"/>
      <c r="AO1" s="573"/>
      <c r="AP1" s="573"/>
      <c r="AQ1" s="573"/>
      <c r="AR1" s="575"/>
      <c r="AU1" s="82"/>
      <c r="AV1" s="82"/>
      <c r="AW1" s="82"/>
      <c r="AX1" s="82"/>
      <c r="AY1" s="82"/>
    </row>
    <row r="2" spans="1:68" s="83" customFormat="1" ht="30" customHeight="1" thickBot="1">
      <c r="A2" s="361"/>
      <c r="B2" s="361"/>
      <c r="C2" s="361"/>
      <c r="D2" s="361"/>
      <c r="E2" s="361"/>
      <c r="F2" s="361"/>
      <c r="G2" s="361"/>
      <c r="H2" s="361"/>
      <c r="I2" s="361"/>
      <c r="J2" s="361"/>
      <c r="K2" s="361"/>
      <c r="L2" s="361"/>
      <c r="M2" s="361"/>
      <c r="N2" s="361"/>
      <c r="O2" s="361"/>
      <c r="Y2" s="576" t="s">
        <v>287</v>
      </c>
      <c r="Z2" s="577"/>
      <c r="AA2" s="577"/>
      <c r="AB2" s="578"/>
      <c r="AC2" s="578"/>
      <c r="AD2" s="578"/>
      <c r="AE2" s="578"/>
      <c r="AF2" s="578"/>
      <c r="AG2" s="578"/>
      <c r="AH2" s="578"/>
      <c r="AI2" s="579"/>
      <c r="AJ2" s="580" t="s">
        <v>288</v>
      </c>
      <c r="AK2" s="581"/>
      <c r="AL2" s="582"/>
      <c r="AM2" s="583"/>
      <c r="AN2" s="583"/>
      <c r="AO2" s="583"/>
      <c r="AP2" s="583"/>
      <c r="AQ2" s="583"/>
      <c r="AR2" s="584"/>
      <c r="AU2" s="82"/>
      <c r="AV2" s="82"/>
      <c r="AW2" s="82"/>
      <c r="AX2" s="82"/>
      <c r="AY2" s="82"/>
    </row>
    <row r="3" spans="1:68" s="83" customFormat="1" ht="30" customHeight="1" thickBot="1">
      <c r="A3" s="159"/>
      <c r="B3" s="159"/>
      <c r="C3" s="159"/>
      <c r="D3" s="159"/>
      <c r="E3" s="159"/>
      <c r="F3" s="159"/>
      <c r="G3" s="159"/>
      <c r="H3" s="159"/>
      <c r="I3" s="159"/>
      <c r="J3" s="159"/>
      <c r="K3" s="159"/>
      <c r="L3" s="159"/>
      <c r="M3" s="159"/>
      <c r="N3" s="159"/>
      <c r="O3" s="159"/>
      <c r="Y3" s="525" t="s">
        <v>289</v>
      </c>
      <c r="Z3" s="526"/>
      <c r="AA3" s="526"/>
      <c r="AB3" s="526"/>
      <c r="AC3" s="526"/>
      <c r="AD3" s="527"/>
      <c r="AE3" s="528"/>
      <c r="AF3" s="529"/>
      <c r="AG3" s="529"/>
      <c r="AH3" s="529"/>
      <c r="AI3" s="530"/>
      <c r="AJ3" s="531" t="s">
        <v>290</v>
      </c>
      <c r="AK3" s="532"/>
      <c r="AL3" s="533"/>
      <c r="AM3" s="534"/>
      <c r="AN3" s="535"/>
      <c r="AO3" s="535"/>
      <c r="AP3" s="535"/>
      <c r="AQ3" s="535"/>
      <c r="AR3" s="536"/>
      <c r="AU3" s="82"/>
      <c r="AV3" s="82"/>
      <c r="AW3" s="82"/>
      <c r="AX3" s="82"/>
      <c r="AY3" s="82"/>
    </row>
    <row r="4" spans="1:68" s="83" customFormat="1" ht="30.75" customHeight="1" thickBot="1">
      <c r="A4" s="537" t="s">
        <v>291</v>
      </c>
      <c r="B4" s="537"/>
      <c r="C4" s="537"/>
      <c r="D4" s="537"/>
      <c r="E4" s="537"/>
      <c r="S4" s="84"/>
      <c r="T4" s="84"/>
      <c r="U4" s="84"/>
      <c r="V4" s="84"/>
      <c r="W4" s="84"/>
      <c r="X4" s="84"/>
      <c r="Y4" s="84"/>
      <c r="Z4" s="84"/>
      <c r="AA4" s="84"/>
      <c r="AB4" s="84"/>
      <c r="AC4" s="84"/>
      <c r="AD4" s="84"/>
      <c r="AE4" s="84"/>
      <c r="AF4" s="84"/>
      <c r="AG4" s="84"/>
      <c r="AH4" s="84"/>
      <c r="AI4" s="84"/>
      <c r="AJ4" s="84"/>
      <c r="AK4" s="82"/>
      <c r="AU4" s="82"/>
      <c r="AV4" s="82"/>
      <c r="AW4" s="82"/>
      <c r="AX4" s="82"/>
      <c r="AY4" s="82"/>
    </row>
    <row r="5" spans="1:68" s="83" customFormat="1" ht="24" customHeight="1">
      <c r="A5" s="538" t="s">
        <v>292</v>
      </c>
      <c r="B5" s="539"/>
      <c r="C5" s="539"/>
      <c r="D5" s="539"/>
      <c r="E5" s="539"/>
      <c r="F5" s="539"/>
      <c r="G5" s="539"/>
      <c r="H5" s="539"/>
      <c r="I5" s="539"/>
      <c r="J5" s="539"/>
      <c r="K5" s="539"/>
      <c r="L5" s="539"/>
      <c r="M5" s="539"/>
      <c r="N5" s="539"/>
      <c r="O5" s="539"/>
      <c r="P5" s="539"/>
      <c r="Q5" s="539"/>
      <c r="R5" s="539"/>
      <c r="S5" s="539"/>
      <c r="T5" s="539"/>
      <c r="U5" s="539"/>
      <c r="V5" s="539"/>
      <c r="W5" s="539"/>
      <c r="X5" s="539"/>
      <c r="Y5" s="539"/>
      <c r="Z5" s="540"/>
      <c r="AA5" s="541" t="s">
        <v>293</v>
      </c>
      <c r="AB5" s="542"/>
      <c r="AC5" s="542"/>
      <c r="AD5" s="542"/>
      <c r="AE5" s="542"/>
      <c r="AF5" s="542"/>
      <c r="AG5" s="542"/>
      <c r="AH5" s="543"/>
      <c r="AI5" s="544" t="s">
        <v>294</v>
      </c>
      <c r="AJ5" s="545"/>
      <c r="AK5" s="545"/>
      <c r="AL5" s="545"/>
      <c r="AM5" s="545"/>
      <c r="AN5" s="545"/>
      <c r="AO5" s="545"/>
      <c r="AP5" s="546"/>
      <c r="AQ5" s="547" t="s">
        <v>295</v>
      </c>
      <c r="AR5" s="548"/>
      <c r="AU5" s="634" t="s">
        <v>400</v>
      </c>
      <c r="AV5" s="634"/>
      <c r="AW5" s="634"/>
      <c r="AX5" s="634"/>
      <c r="AY5" s="634"/>
      <c r="AZ5" s="634"/>
      <c r="BA5" s="634"/>
      <c r="BB5" s="634"/>
      <c r="BC5" s="634"/>
    </row>
    <row r="6" spans="1:68" ht="15.6" customHeight="1">
      <c r="A6" s="374" t="s">
        <v>296</v>
      </c>
      <c r="B6" s="414" t="s">
        <v>297</v>
      </c>
      <c r="C6" s="415"/>
      <c r="D6" s="415"/>
      <c r="E6" s="415"/>
      <c r="F6" s="415"/>
      <c r="G6" s="416"/>
      <c r="H6" s="414" t="s">
        <v>298</v>
      </c>
      <c r="I6" s="415"/>
      <c r="J6" s="415"/>
      <c r="K6" s="415"/>
      <c r="L6" s="415"/>
      <c r="M6" s="415"/>
      <c r="N6" s="415"/>
      <c r="O6" s="415"/>
      <c r="P6" s="416"/>
      <c r="Q6" s="414" t="s">
        <v>299</v>
      </c>
      <c r="R6" s="415"/>
      <c r="S6" s="415"/>
      <c r="T6" s="415"/>
      <c r="U6" s="415"/>
      <c r="V6" s="415"/>
      <c r="W6" s="415"/>
      <c r="X6" s="415"/>
      <c r="Y6" s="416"/>
      <c r="Z6" s="514" t="s">
        <v>300</v>
      </c>
      <c r="AA6" s="517" t="s">
        <v>301</v>
      </c>
      <c r="AB6" s="518"/>
      <c r="AC6" s="518"/>
      <c r="AD6" s="518"/>
      <c r="AE6" s="518"/>
      <c r="AF6" s="518"/>
      <c r="AG6" s="518"/>
      <c r="AH6" s="519"/>
      <c r="AI6" s="520" t="s">
        <v>302</v>
      </c>
      <c r="AJ6" s="521"/>
      <c r="AK6" s="521"/>
      <c r="AL6" s="521"/>
      <c r="AM6" s="521"/>
      <c r="AN6" s="521"/>
      <c r="AO6" s="521"/>
      <c r="AP6" s="522"/>
      <c r="AQ6" s="549"/>
      <c r="AR6" s="550"/>
      <c r="AU6" s="635"/>
      <c r="AV6" s="635"/>
      <c r="AW6" s="635"/>
      <c r="AX6" s="635"/>
      <c r="AY6" s="635"/>
      <c r="AZ6" s="635"/>
      <c r="BA6" s="635"/>
      <c r="BB6" s="635"/>
      <c r="BC6" s="635"/>
      <c r="BD6" s="101"/>
      <c r="BE6" s="101"/>
      <c r="BF6" s="101"/>
      <c r="BG6" s="101"/>
      <c r="BH6" s="101"/>
      <c r="BI6" s="101"/>
      <c r="BJ6" s="101"/>
      <c r="BK6" s="101"/>
      <c r="BL6" s="101"/>
      <c r="BM6" s="101"/>
      <c r="BN6" s="101"/>
      <c r="BO6" s="101"/>
      <c r="BP6" s="101"/>
    </row>
    <row r="7" spans="1:68" ht="15.6" customHeight="1">
      <c r="A7" s="375"/>
      <c r="B7" s="430" t="s">
        <v>303</v>
      </c>
      <c r="C7" s="431"/>
      <c r="D7" s="431"/>
      <c r="E7" s="431"/>
      <c r="F7" s="431"/>
      <c r="G7" s="523"/>
      <c r="H7" s="430" t="s">
        <v>304</v>
      </c>
      <c r="I7" s="431"/>
      <c r="J7" s="431"/>
      <c r="K7" s="431"/>
      <c r="L7" s="431"/>
      <c r="M7" s="431"/>
      <c r="N7" s="431"/>
      <c r="O7" s="431"/>
      <c r="P7" s="523"/>
      <c r="Q7" s="553" t="s">
        <v>305</v>
      </c>
      <c r="R7" s="554"/>
      <c r="S7" s="554"/>
      <c r="T7" s="554"/>
      <c r="U7" s="554"/>
      <c r="V7" s="554"/>
      <c r="W7" s="554"/>
      <c r="X7" s="554"/>
      <c r="Y7" s="555"/>
      <c r="Z7" s="515"/>
      <c r="AA7" s="559" t="s">
        <v>306</v>
      </c>
      <c r="AB7" s="560"/>
      <c r="AC7" s="560"/>
      <c r="AD7" s="560"/>
      <c r="AE7" s="560"/>
      <c r="AF7" s="560"/>
      <c r="AG7" s="560"/>
      <c r="AH7" s="561"/>
      <c r="AI7" s="565" t="s">
        <v>307</v>
      </c>
      <c r="AJ7" s="566"/>
      <c r="AK7" s="566"/>
      <c r="AL7" s="566"/>
      <c r="AM7" s="566"/>
      <c r="AN7" s="566"/>
      <c r="AO7" s="566"/>
      <c r="AP7" s="567"/>
      <c r="AQ7" s="549"/>
      <c r="AR7" s="550"/>
      <c r="AU7" s="102"/>
      <c r="BP7" s="103"/>
    </row>
    <row r="8" spans="1:68" ht="14.25" customHeight="1">
      <c r="A8" s="376"/>
      <c r="B8" s="433"/>
      <c r="C8" s="434"/>
      <c r="D8" s="434"/>
      <c r="E8" s="434"/>
      <c r="F8" s="434"/>
      <c r="G8" s="524"/>
      <c r="H8" s="433"/>
      <c r="I8" s="434"/>
      <c r="J8" s="434"/>
      <c r="K8" s="434"/>
      <c r="L8" s="434"/>
      <c r="M8" s="434"/>
      <c r="N8" s="434"/>
      <c r="O8" s="434"/>
      <c r="P8" s="524"/>
      <c r="Q8" s="556"/>
      <c r="R8" s="557"/>
      <c r="S8" s="557"/>
      <c r="T8" s="557"/>
      <c r="U8" s="557"/>
      <c r="V8" s="557"/>
      <c r="W8" s="557"/>
      <c r="X8" s="557"/>
      <c r="Y8" s="558"/>
      <c r="Z8" s="516"/>
      <c r="AA8" s="562"/>
      <c r="AB8" s="563"/>
      <c r="AC8" s="563"/>
      <c r="AD8" s="563"/>
      <c r="AE8" s="563"/>
      <c r="AF8" s="563"/>
      <c r="AG8" s="563"/>
      <c r="AH8" s="564"/>
      <c r="AI8" s="568"/>
      <c r="AJ8" s="569"/>
      <c r="AK8" s="569"/>
      <c r="AL8" s="569"/>
      <c r="AM8" s="569"/>
      <c r="AN8" s="569"/>
      <c r="AO8" s="569"/>
      <c r="AP8" s="570"/>
      <c r="AQ8" s="551"/>
      <c r="AR8" s="552"/>
      <c r="AU8" s="104"/>
      <c r="AV8" s="138" t="s">
        <v>337</v>
      </c>
      <c r="BF8" s="616" t="s">
        <v>338</v>
      </c>
      <c r="BG8" s="617"/>
      <c r="BH8" s="617"/>
      <c r="BI8" s="617"/>
      <c r="BJ8" s="617"/>
      <c r="BK8" s="618"/>
      <c r="BO8" s="83"/>
      <c r="BP8" s="105"/>
    </row>
    <row r="9" spans="1:68" ht="20.100000000000001" customHeight="1">
      <c r="A9" s="374">
        <v>1</v>
      </c>
      <c r="B9" s="479" t="s">
        <v>308</v>
      </c>
      <c r="C9" s="480"/>
      <c r="D9" s="480"/>
      <c r="E9" s="480"/>
      <c r="F9" s="480"/>
      <c r="G9" s="481"/>
      <c r="H9" s="482" t="s">
        <v>401</v>
      </c>
      <c r="I9" s="483"/>
      <c r="J9" s="483"/>
      <c r="K9" s="483"/>
      <c r="L9" s="483"/>
      <c r="M9" s="483"/>
      <c r="N9" s="483"/>
      <c r="O9" s="483"/>
      <c r="P9" s="484"/>
      <c r="Q9" s="85" t="s">
        <v>309</v>
      </c>
      <c r="R9" s="512" t="s">
        <v>402</v>
      </c>
      <c r="S9" s="512"/>
      <c r="T9" s="512"/>
      <c r="U9" s="512"/>
      <c r="V9" s="512"/>
      <c r="W9" s="512"/>
      <c r="X9" s="512"/>
      <c r="Y9" s="513"/>
      <c r="Z9" s="493">
        <v>4</v>
      </c>
      <c r="AA9" s="455"/>
      <c r="AB9" s="456"/>
      <c r="AC9" s="456"/>
      <c r="AD9" s="456"/>
      <c r="AE9" s="456"/>
      <c r="AF9" s="456"/>
      <c r="AG9" s="456"/>
      <c r="AH9" s="457"/>
      <c r="AI9" s="455"/>
      <c r="AJ9" s="456"/>
      <c r="AK9" s="456"/>
      <c r="AL9" s="456"/>
      <c r="AM9" s="456"/>
      <c r="AN9" s="456"/>
      <c r="AO9" s="456"/>
      <c r="AP9" s="648"/>
      <c r="AQ9" s="500" t="s">
        <v>310</v>
      </c>
      <c r="AR9" s="501"/>
      <c r="AU9" s="106"/>
      <c r="AV9" s="107" t="s">
        <v>343</v>
      </c>
      <c r="AW9" s="625" t="s">
        <v>344</v>
      </c>
      <c r="AX9" s="626"/>
      <c r="AY9" s="626"/>
      <c r="AZ9" s="626"/>
      <c r="BA9" s="626"/>
      <c r="BB9" s="626"/>
      <c r="BC9" s="626"/>
      <c r="BD9" s="626"/>
      <c r="BE9" s="627"/>
      <c r="BF9" s="616" t="s">
        <v>345</v>
      </c>
      <c r="BG9" s="618"/>
      <c r="BH9" s="616" t="s">
        <v>346</v>
      </c>
      <c r="BI9" s="618"/>
      <c r="BJ9" s="628" t="s">
        <v>347</v>
      </c>
      <c r="BK9" s="629"/>
      <c r="BL9" s="88"/>
      <c r="BM9" s="88"/>
      <c r="BN9" s="88"/>
      <c r="BP9" s="103"/>
    </row>
    <row r="10" spans="1:68" ht="20.100000000000001" customHeight="1">
      <c r="A10" s="375"/>
      <c r="B10" s="464"/>
      <c r="C10" s="366"/>
      <c r="D10" s="366"/>
      <c r="E10" s="366"/>
      <c r="F10" s="366"/>
      <c r="G10" s="367"/>
      <c r="H10" s="485"/>
      <c r="I10" s="486"/>
      <c r="J10" s="486"/>
      <c r="K10" s="486"/>
      <c r="L10" s="486"/>
      <c r="M10" s="486"/>
      <c r="N10" s="486"/>
      <c r="O10" s="486"/>
      <c r="P10" s="487"/>
      <c r="Q10" s="86" t="s">
        <v>311</v>
      </c>
      <c r="R10" s="497" t="s">
        <v>403</v>
      </c>
      <c r="S10" s="497"/>
      <c r="T10" s="497"/>
      <c r="U10" s="497"/>
      <c r="V10" s="497"/>
      <c r="W10" s="497"/>
      <c r="X10" s="497"/>
      <c r="Y10" s="498"/>
      <c r="Z10" s="494"/>
      <c r="AA10" s="458"/>
      <c r="AB10" s="393"/>
      <c r="AC10" s="393"/>
      <c r="AD10" s="393"/>
      <c r="AE10" s="393"/>
      <c r="AF10" s="393"/>
      <c r="AG10" s="393"/>
      <c r="AH10" s="459"/>
      <c r="AI10" s="458"/>
      <c r="AJ10" s="393"/>
      <c r="AK10" s="393"/>
      <c r="AL10" s="393"/>
      <c r="AM10" s="393"/>
      <c r="AN10" s="393"/>
      <c r="AO10" s="393"/>
      <c r="AP10" s="649"/>
      <c r="AQ10" s="468"/>
      <c r="AR10" s="469"/>
      <c r="AU10" s="106"/>
      <c r="AV10" s="108">
        <v>5</v>
      </c>
      <c r="AW10" s="630" t="s">
        <v>350</v>
      </c>
      <c r="AX10" s="631"/>
      <c r="AY10" s="631"/>
      <c r="AZ10" s="631"/>
      <c r="BA10" s="631"/>
      <c r="BB10" s="631"/>
      <c r="BC10" s="631"/>
      <c r="BD10" s="631"/>
      <c r="BE10" s="632"/>
      <c r="BF10" s="623" t="s">
        <v>351</v>
      </c>
      <c r="BG10" s="624"/>
      <c r="BH10" s="623" t="s">
        <v>352</v>
      </c>
      <c r="BI10" s="624"/>
      <c r="BJ10" s="623" t="s">
        <v>352</v>
      </c>
      <c r="BK10" s="624"/>
      <c r="BL10" s="109" t="s">
        <v>353</v>
      </c>
      <c r="BN10" s="88"/>
      <c r="BP10" s="103"/>
    </row>
    <row r="11" spans="1:68" ht="20.100000000000001" customHeight="1">
      <c r="A11" s="375"/>
      <c r="B11" s="464"/>
      <c r="C11" s="366"/>
      <c r="D11" s="366"/>
      <c r="E11" s="366"/>
      <c r="F11" s="366"/>
      <c r="G11" s="367"/>
      <c r="H11" s="485"/>
      <c r="I11" s="486"/>
      <c r="J11" s="486"/>
      <c r="K11" s="486"/>
      <c r="L11" s="486"/>
      <c r="M11" s="486"/>
      <c r="N11" s="486"/>
      <c r="O11" s="486"/>
      <c r="P11" s="487"/>
      <c r="Q11" s="86" t="s">
        <v>312</v>
      </c>
      <c r="R11" s="497" t="s">
        <v>404</v>
      </c>
      <c r="S11" s="497"/>
      <c r="T11" s="497"/>
      <c r="U11" s="497"/>
      <c r="V11" s="497"/>
      <c r="W11" s="497"/>
      <c r="X11" s="497"/>
      <c r="Y11" s="498"/>
      <c r="Z11" s="494"/>
      <c r="AA11" s="458"/>
      <c r="AB11" s="393"/>
      <c r="AC11" s="393"/>
      <c r="AD11" s="393"/>
      <c r="AE11" s="393"/>
      <c r="AF11" s="393"/>
      <c r="AG11" s="393"/>
      <c r="AH11" s="459"/>
      <c r="AI11" s="458"/>
      <c r="AJ11" s="393"/>
      <c r="AK11" s="393"/>
      <c r="AL11" s="393"/>
      <c r="AM11" s="393"/>
      <c r="AN11" s="393"/>
      <c r="AO11" s="393"/>
      <c r="AP11" s="649"/>
      <c r="AQ11" s="470"/>
      <c r="AR11" s="471"/>
      <c r="AU11" s="106"/>
      <c r="AV11" s="110">
        <v>4</v>
      </c>
      <c r="AW11" s="236" t="s">
        <v>355</v>
      </c>
      <c r="AX11" s="250"/>
      <c r="AY11" s="250"/>
      <c r="AZ11" s="250"/>
      <c r="BA11" s="250"/>
      <c r="BB11" s="250"/>
      <c r="BC11" s="250"/>
      <c r="BD11" s="250"/>
      <c r="BE11" s="612"/>
      <c r="BF11" s="589" t="s">
        <v>352</v>
      </c>
      <c r="BG11" s="590"/>
      <c r="BH11" s="589" t="s">
        <v>356</v>
      </c>
      <c r="BI11" s="590"/>
      <c r="BJ11" s="589" t="s">
        <v>356</v>
      </c>
      <c r="BK11" s="590"/>
      <c r="BL11" s="111" t="s">
        <v>357</v>
      </c>
      <c r="BN11" s="88"/>
      <c r="BP11" s="103"/>
    </row>
    <row r="12" spans="1:68" ht="20.100000000000001" customHeight="1">
      <c r="A12" s="375"/>
      <c r="B12" s="465"/>
      <c r="C12" s="466"/>
      <c r="D12" s="466"/>
      <c r="E12" s="466"/>
      <c r="F12" s="466"/>
      <c r="G12" s="467"/>
      <c r="H12" s="485"/>
      <c r="I12" s="486"/>
      <c r="J12" s="486"/>
      <c r="K12" s="486"/>
      <c r="L12" s="486"/>
      <c r="M12" s="486"/>
      <c r="N12" s="486"/>
      <c r="O12" s="486"/>
      <c r="P12" s="487"/>
      <c r="Q12" s="86" t="s">
        <v>313</v>
      </c>
      <c r="R12" s="497" t="s">
        <v>405</v>
      </c>
      <c r="S12" s="497"/>
      <c r="T12" s="497"/>
      <c r="U12" s="497"/>
      <c r="V12" s="497"/>
      <c r="W12" s="497"/>
      <c r="X12" s="497"/>
      <c r="Y12" s="498"/>
      <c r="Z12" s="494"/>
      <c r="AA12" s="458"/>
      <c r="AB12" s="393"/>
      <c r="AC12" s="393"/>
      <c r="AD12" s="393"/>
      <c r="AE12" s="393"/>
      <c r="AF12" s="393"/>
      <c r="AG12" s="393"/>
      <c r="AH12" s="459"/>
      <c r="AI12" s="458"/>
      <c r="AJ12" s="393"/>
      <c r="AK12" s="393"/>
      <c r="AL12" s="393"/>
      <c r="AM12" s="393"/>
      <c r="AN12" s="393"/>
      <c r="AO12" s="393"/>
      <c r="AP12" s="649"/>
      <c r="AQ12" s="502"/>
      <c r="AR12" s="503"/>
      <c r="AU12" s="106"/>
      <c r="AV12" s="110">
        <v>3</v>
      </c>
      <c r="AW12" s="236" t="s">
        <v>359</v>
      </c>
      <c r="AX12" s="250"/>
      <c r="AY12" s="250"/>
      <c r="AZ12" s="250"/>
      <c r="BA12" s="250"/>
      <c r="BB12" s="250"/>
      <c r="BC12" s="250"/>
      <c r="BD12" s="250"/>
      <c r="BE12" s="612"/>
      <c r="BF12" s="613" t="s">
        <v>360</v>
      </c>
      <c r="BG12" s="614"/>
      <c r="BH12" s="613" t="s">
        <v>361</v>
      </c>
      <c r="BI12" s="614"/>
      <c r="BJ12" s="613" t="s">
        <v>361</v>
      </c>
      <c r="BK12" s="614"/>
      <c r="BL12" s="88"/>
      <c r="BM12" s="88"/>
      <c r="BN12" s="88"/>
      <c r="BP12" s="103"/>
    </row>
    <row r="13" spans="1:68" ht="20.100000000000001" customHeight="1">
      <c r="A13" s="375"/>
      <c r="B13" s="472" t="s">
        <v>314</v>
      </c>
      <c r="C13" s="473"/>
      <c r="D13" s="473"/>
      <c r="E13" s="473"/>
      <c r="F13" s="473"/>
      <c r="G13" s="474"/>
      <c r="H13" s="485"/>
      <c r="I13" s="486"/>
      <c r="J13" s="486"/>
      <c r="K13" s="486"/>
      <c r="L13" s="486"/>
      <c r="M13" s="486"/>
      <c r="N13" s="486"/>
      <c r="O13" s="486"/>
      <c r="P13" s="487"/>
      <c r="Q13" s="86" t="s">
        <v>315</v>
      </c>
      <c r="R13" s="497" t="s">
        <v>405</v>
      </c>
      <c r="S13" s="497"/>
      <c r="T13" s="497"/>
      <c r="U13" s="497"/>
      <c r="V13" s="497"/>
      <c r="W13" s="497"/>
      <c r="X13" s="497"/>
      <c r="Y13" s="498"/>
      <c r="Z13" s="494"/>
      <c r="AA13" s="458"/>
      <c r="AB13" s="393"/>
      <c r="AC13" s="393"/>
      <c r="AD13" s="393"/>
      <c r="AE13" s="393"/>
      <c r="AF13" s="393"/>
      <c r="AG13" s="393"/>
      <c r="AH13" s="459"/>
      <c r="AI13" s="458"/>
      <c r="AJ13" s="393"/>
      <c r="AK13" s="393"/>
      <c r="AL13" s="393"/>
      <c r="AM13" s="393"/>
      <c r="AN13" s="393"/>
      <c r="AO13" s="393"/>
      <c r="AP13" s="649"/>
      <c r="AQ13" s="475" t="s">
        <v>1</v>
      </c>
      <c r="AR13" s="476"/>
      <c r="AU13" s="106"/>
      <c r="AV13" s="110">
        <v>2</v>
      </c>
      <c r="AW13" s="236" t="s">
        <v>363</v>
      </c>
      <c r="AX13" s="250"/>
      <c r="AY13" s="250"/>
      <c r="AZ13" s="250"/>
      <c r="BA13" s="250"/>
      <c r="BB13" s="250"/>
      <c r="BC13" s="250"/>
      <c r="BD13" s="250"/>
      <c r="BE13" s="612"/>
      <c r="BF13" s="589" t="s">
        <v>356</v>
      </c>
      <c r="BG13" s="590"/>
      <c r="BH13" s="589" t="s">
        <v>364</v>
      </c>
      <c r="BI13" s="590"/>
      <c r="BJ13" s="589" t="s">
        <v>364</v>
      </c>
      <c r="BK13" s="590"/>
      <c r="BL13" s="88"/>
      <c r="BM13" s="88"/>
      <c r="BN13" s="88"/>
      <c r="BP13" s="103"/>
    </row>
    <row r="14" spans="1:68" ht="20.100000000000001" customHeight="1">
      <c r="A14" s="375"/>
      <c r="B14" s="464" t="s">
        <v>406</v>
      </c>
      <c r="C14" s="366"/>
      <c r="D14" s="366"/>
      <c r="E14" s="366"/>
      <c r="F14" s="366"/>
      <c r="G14" s="367"/>
      <c r="H14" s="485"/>
      <c r="I14" s="486"/>
      <c r="J14" s="486"/>
      <c r="K14" s="486"/>
      <c r="L14" s="486"/>
      <c r="M14" s="486"/>
      <c r="N14" s="486"/>
      <c r="O14" s="486"/>
      <c r="P14" s="487"/>
      <c r="Q14" s="86" t="s">
        <v>316</v>
      </c>
      <c r="R14" s="497" t="s">
        <v>407</v>
      </c>
      <c r="S14" s="497"/>
      <c r="T14" s="497"/>
      <c r="U14" s="497"/>
      <c r="V14" s="497"/>
      <c r="W14" s="497"/>
      <c r="X14" s="497"/>
      <c r="Y14" s="498"/>
      <c r="Z14" s="494"/>
      <c r="AA14" s="458"/>
      <c r="AB14" s="393"/>
      <c r="AC14" s="393"/>
      <c r="AD14" s="393"/>
      <c r="AE14" s="393"/>
      <c r="AF14" s="393"/>
      <c r="AG14" s="393"/>
      <c r="AH14" s="459"/>
      <c r="AI14" s="458"/>
      <c r="AJ14" s="393"/>
      <c r="AK14" s="393"/>
      <c r="AL14" s="393"/>
      <c r="AM14" s="393"/>
      <c r="AN14" s="393"/>
      <c r="AO14" s="393"/>
      <c r="AP14" s="650"/>
      <c r="AQ14" s="442">
        <f>Z9*AQ10</f>
        <v>0</v>
      </c>
      <c r="AR14" s="443"/>
      <c r="AU14" s="106"/>
      <c r="AV14" s="110">
        <v>1</v>
      </c>
      <c r="AW14" s="236" t="s">
        <v>367</v>
      </c>
      <c r="AX14" s="250"/>
      <c r="AY14" s="250"/>
      <c r="AZ14" s="250"/>
      <c r="BA14" s="250"/>
      <c r="BB14" s="250"/>
      <c r="BC14" s="250"/>
      <c r="BD14" s="250"/>
      <c r="BE14" s="612"/>
      <c r="BF14" s="589" t="s">
        <v>368</v>
      </c>
      <c r="BG14" s="590"/>
      <c r="BH14" s="589" t="s">
        <v>369</v>
      </c>
      <c r="BI14" s="590"/>
      <c r="BJ14" s="589" t="s">
        <v>370</v>
      </c>
      <c r="BK14" s="590"/>
      <c r="BL14" s="88"/>
      <c r="BM14" s="88"/>
      <c r="BN14" s="88"/>
      <c r="BP14" s="103"/>
    </row>
    <row r="15" spans="1:68" ht="20.100000000000001" customHeight="1">
      <c r="A15" s="375"/>
      <c r="B15" s="464"/>
      <c r="C15" s="366"/>
      <c r="D15" s="366"/>
      <c r="E15" s="366"/>
      <c r="F15" s="366"/>
      <c r="G15" s="367"/>
      <c r="H15" s="485"/>
      <c r="I15" s="486"/>
      <c r="J15" s="486"/>
      <c r="K15" s="486"/>
      <c r="L15" s="486"/>
      <c r="M15" s="486"/>
      <c r="N15" s="486"/>
      <c r="O15" s="486"/>
      <c r="P15" s="487"/>
      <c r="R15" s="366"/>
      <c r="S15" s="366"/>
      <c r="T15" s="366"/>
      <c r="U15" s="366"/>
      <c r="V15" s="366"/>
      <c r="W15" s="366"/>
      <c r="X15" s="366"/>
      <c r="Y15" s="367"/>
      <c r="Z15" s="494"/>
      <c r="AA15" s="458"/>
      <c r="AB15" s="393"/>
      <c r="AC15" s="393"/>
      <c r="AD15" s="393"/>
      <c r="AE15" s="393"/>
      <c r="AF15" s="393"/>
      <c r="AG15" s="393"/>
      <c r="AH15" s="459"/>
      <c r="AI15" s="458"/>
      <c r="AJ15" s="393"/>
      <c r="AK15" s="393"/>
      <c r="AL15" s="393"/>
      <c r="AM15" s="393"/>
      <c r="AN15" s="393"/>
      <c r="AO15" s="393"/>
      <c r="AP15" s="650"/>
      <c r="AQ15" s="444"/>
      <c r="AR15" s="445"/>
      <c r="AU15" s="106"/>
      <c r="AV15" s="112">
        <v>0</v>
      </c>
      <c r="AW15" s="609" t="s">
        <v>371</v>
      </c>
      <c r="AX15" s="610"/>
      <c r="AY15" s="610"/>
      <c r="AZ15" s="610"/>
      <c r="BA15" s="610"/>
      <c r="BB15" s="610"/>
      <c r="BC15" s="610"/>
      <c r="BD15" s="610"/>
      <c r="BE15" s="611"/>
      <c r="BF15" s="591" t="s">
        <v>372</v>
      </c>
      <c r="BG15" s="592"/>
      <c r="BH15" s="591" t="s">
        <v>373</v>
      </c>
      <c r="BI15" s="592"/>
      <c r="BJ15" s="591" t="s">
        <v>374</v>
      </c>
      <c r="BK15" s="592"/>
      <c r="BL15" s="88"/>
      <c r="BM15" s="88"/>
      <c r="BN15" s="88"/>
      <c r="BP15" s="103"/>
    </row>
    <row r="16" spans="1:68" ht="20.100000000000001" customHeight="1">
      <c r="A16" s="376"/>
      <c r="B16" s="499"/>
      <c r="C16" s="477"/>
      <c r="D16" s="477"/>
      <c r="E16" s="477"/>
      <c r="F16" s="477"/>
      <c r="G16" s="478"/>
      <c r="H16" s="504"/>
      <c r="I16" s="505"/>
      <c r="J16" s="505"/>
      <c r="K16" s="505"/>
      <c r="L16" s="505"/>
      <c r="M16" s="505"/>
      <c r="N16" s="505"/>
      <c r="O16" s="505"/>
      <c r="P16" s="506"/>
      <c r="Q16" s="86"/>
      <c r="R16" s="477"/>
      <c r="S16" s="477"/>
      <c r="T16" s="477"/>
      <c r="U16" s="477"/>
      <c r="V16" s="477"/>
      <c r="W16" s="477"/>
      <c r="X16" s="477"/>
      <c r="Y16" s="478"/>
      <c r="Z16" s="507"/>
      <c r="AA16" s="510"/>
      <c r="AB16" s="396"/>
      <c r="AC16" s="396"/>
      <c r="AD16" s="396"/>
      <c r="AE16" s="396"/>
      <c r="AF16" s="396"/>
      <c r="AG16" s="396"/>
      <c r="AH16" s="511"/>
      <c r="AI16" s="510"/>
      <c r="AJ16" s="396"/>
      <c r="AK16" s="396"/>
      <c r="AL16" s="396"/>
      <c r="AM16" s="396"/>
      <c r="AN16" s="396"/>
      <c r="AO16" s="396"/>
      <c r="AP16" s="651"/>
      <c r="AQ16" s="508"/>
      <c r="AR16" s="509"/>
      <c r="AU16" s="104"/>
      <c r="BP16" s="103"/>
    </row>
    <row r="17" spans="1:68" ht="20.100000000000001" customHeight="1">
      <c r="A17" s="374">
        <v>2</v>
      </c>
      <c r="B17" s="479" t="s">
        <v>308</v>
      </c>
      <c r="C17" s="480"/>
      <c r="D17" s="480"/>
      <c r="E17" s="480"/>
      <c r="F17" s="480"/>
      <c r="G17" s="481"/>
      <c r="H17" s="482" t="s">
        <v>408</v>
      </c>
      <c r="I17" s="483"/>
      <c r="J17" s="483"/>
      <c r="K17" s="483"/>
      <c r="L17" s="483"/>
      <c r="M17" s="483"/>
      <c r="N17" s="483"/>
      <c r="O17" s="483"/>
      <c r="P17" s="484"/>
      <c r="Q17" s="85" t="s">
        <v>309</v>
      </c>
      <c r="R17" s="491" t="s">
        <v>409</v>
      </c>
      <c r="S17" s="491"/>
      <c r="T17" s="491"/>
      <c r="U17" s="491"/>
      <c r="V17" s="491"/>
      <c r="W17" s="491"/>
      <c r="X17" s="491"/>
      <c r="Y17" s="492"/>
      <c r="Z17" s="493">
        <v>4</v>
      </c>
      <c r="AA17" s="455"/>
      <c r="AB17" s="456"/>
      <c r="AC17" s="456"/>
      <c r="AD17" s="456"/>
      <c r="AE17" s="456"/>
      <c r="AF17" s="456"/>
      <c r="AG17" s="456"/>
      <c r="AH17" s="457"/>
      <c r="AI17" s="455"/>
      <c r="AJ17" s="456"/>
      <c r="AK17" s="456"/>
      <c r="AL17" s="456"/>
      <c r="AM17" s="456"/>
      <c r="AN17" s="456"/>
      <c r="AO17" s="456"/>
      <c r="AP17" s="648"/>
      <c r="AQ17" s="462" t="s">
        <v>329</v>
      </c>
      <c r="AR17" s="463"/>
      <c r="AU17" s="104"/>
      <c r="AV17" s="113" t="s">
        <v>375</v>
      </c>
      <c r="BN17" s="87"/>
      <c r="BO17" s="87"/>
      <c r="BP17" s="103"/>
    </row>
    <row r="18" spans="1:68" ht="19.5" customHeight="1">
      <c r="A18" s="375"/>
      <c r="B18" s="464"/>
      <c r="C18" s="366"/>
      <c r="D18" s="366"/>
      <c r="E18" s="366"/>
      <c r="F18" s="366"/>
      <c r="G18" s="367"/>
      <c r="H18" s="485"/>
      <c r="I18" s="486"/>
      <c r="J18" s="486"/>
      <c r="K18" s="486"/>
      <c r="L18" s="486"/>
      <c r="M18" s="486"/>
      <c r="N18" s="486"/>
      <c r="O18" s="486"/>
      <c r="P18" s="487"/>
      <c r="Q18" s="86" t="s">
        <v>311</v>
      </c>
      <c r="R18" s="366" t="s">
        <v>409</v>
      </c>
      <c r="S18" s="366"/>
      <c r="T18" s="366"/>
      <c r="U18" s="366"/>
      <c r="V18" s="366"/>
      <c r="W18" s="366"/>
      <c r="X18" s="366"/>
      <c r="Y18" s="367"/>
      <c r="Z18" s="494"/>
      <c r="AA18" s="458"/>
      <c r="AB18" s="393"/>
      <c r="AC18" s="393"/>
      <c r="AD18" s="393"/>
      <c r="AE18" s="393"/>
      <c r="AF18" s="393"/>
      <c r="AG18" s="393"/>
      <c r="AH18" s="459"/>
      <c r="AI18" s="458"/>
      <c r="AJ18" s="393"/>
      <c r="AK18" s="393"/>
      <c r="AL18" s="393"/>
      <c r="AM18" s="393"/>
      <c r="AN18" s="393"/>
      <c r="AO18" s="393"/>
      <c r="AP18" s="649"/>
      <c r="AQ18" s="468"/>
      <c r="AR18" s="469"/>
      <c r="AU18" s="104"/>
      <c r="AV18" s="616" t="s">
        <v>20</v>
      </c>
      <c r="AW18" s="617"/>
      <c r="AX18" s="618"/>
      <c r="AY18" s="616" t="s">
        <v>376</v>
      </c>
      <c r="AZ18" s="617"/>
      <c r="BA18" s="617"/>
      <c r="BB18" s="617"/>
      <c r="BC18" s="617"/>
      <c r="BD18" s="617"/>
      <c r="BE18" s="617"/>
      <c r="BF18" s="617"/>
      <c r="BG18" s="618"/>
      <c r="BH18" s="616" t="s">
        <v>375</v>
      </c>
      <c r="BI18" s="617"/>
      <c r="BJ18" s="617"/>
      <c r="BK18" s="617"/>
      <c r="BL18" s="617"/>
      <c r="BM18" s="617"/>
      <c r="BN18" s="617"/>
      <c r="BO18" s="618"/>
      <c r="BP18" s="103"/>
    </row>
    <row r="19" spans="1:68" ht="19.5" customHeight="1">
      <c r="A19" s="375"/>
      <c r="B19" s="464"/>
      <c r="C19" s="366"/>
      <c r="D19" s="366"/>
      <c r="E19" s="366"/>
      <c r="F19" s="366"/>
      <c r="G19" s="367"/>
      <c r="H19" s="485"/>
      <c r="I19" s="486"/>
      <c r="J19" s="486"/>
      <c r="K19" s="486"/>
      <c r="L19" s="486"/>
      <c r="M19" s="486"/>
      <c r="N19" s="486"/>
      <c r="O19" s="486"/>
      <c r="P19" s="487"/>
      <c r="Q19" s="86" t="s">
        <v>312</v>
      </c>
      <c r="R19" s="366" t="s">
        <v>410</v>
      </c>
      <c r="S19" s="366"/>
      <c r="T19" s="366"/>
      <c r="U19" s="366"/>
      <c r="V19" s="366"/>
      <c r="W19" s="366"/>
      <c r="X19" s="366"/>
      <c r="Y19" s="367"/>
      <c r="Z19" s="494"/>
      <c r="AA19" s="458"/>
      <c r="AB19" s="393"/>
      <c r="AC19" s="393"/>
      <c r="AD19" s="393"/>
      <c r="AE19" s="393"/>
      <c r="AF19" s="393"/>
      <c r="AG19" s="393"/>
      <c r="AH19" s="459"/>
      <c r="AI19" s="458"/>
      <c r="AJ19" s="393"/>
      <c r="AK19" s="393"/>
      <c r="AL19" s="393"/>
      <c r="AM19" s="393"/>
      <c r="AN19" s="393"/>
      <c r="AO19" s="393"/>
      <c r="AP19" s="649"/>
      <c r="AQ19" s="470"/>
      <c r="AR19" s="471"/>
      <c r="AU19" s="106"/>
      <c r="AV19" s="642" t="s">
        <v>411</v>
      </c>
      <c r="AW19" s="602"/>
      <c r="AX19" s="603"/>
      <c r="AY19" s="596" t="s">
        <v>412</v>
      </c>
      <c r="AZ19" s="597"/>
      <c r="BA19" s="597"/>
      <c r="BB19" s="597"/>
      <c r="BC19" s="597"/>
      <c r="BD19" s="597"/>
      <c r="BE19" s="597"/>
      <c r="BF19" s="597"/>
      <c r="BG19" s="598"/>
      <c r="BH19" s="642" t="s">
        <v>413</v>
      </c>
      <c r="BI19" s="602"/>
      <c r="BJ19" s="602"/>
      <c r="BK19" s="602"/>
      <c r="BL19" s="602"/>
      <c r="BM19" s="602"/>
      <c r="BN19" s="602"/>
      <c r="BO19" s="603"/>
      <c r="BP19" s="103"/>
    </row>
    <row r="20" spans="1:68" ht="20.100000000000001" customHeight="1">
      <c r="A20" s="375"/>
      <c r="B20" s="465"/>
      <c r="C20" s="466"/>
      <c r="D20" s="466"/>
      <c r="E20" s="466"/>
      <c r="F20" s="466"/>
      <c r="G20" s="467"/>
      <c r="H20" s="485"/>
      <c r="I20" s="486"/>
      <c r="J20" s="486"/>
      <c r="K20" s="486"/>
      <c r="L20" s="486"/>
      <c r="M20" s="486"/>
      <c r="N20" s="486"/>
      <c r="O20" s="486"/>
      <c r="P20" s="487"/>
      <c r="Q20" s="86" t="s">
        <v>313</v>
      </c>
      <c r="R20" s="366" t="s">
        <v>410</v>
      </c>
      <c r="S20" s="366"/>
      <c r="T20" s="366"/>
      <c r="U20" s="366"/>
      <c r="V20" s="366"/>
      <c r="W20" s="366"/>
      <c r="X20" s="366"/>
      <c r="Y20" s="367"/>
      <c r="Z20" s="494"/>
      <c r="AA20" s="458"/>
      <c r="AB20" s="393"/>
      <c r="AC20" s="393"/>
      <c r="AD20" s="393"/>
      <c r="AE20" s="393"/>
      <c r="AF20" s="393"/>
      <c r="AG20" s="393"/>
      <c r="AH20" s="459"/>
      <c r="AI20" s="458"/>
      <c r="AJ20" s="393"/>
      <c r="AK20" s="393"/>
      <c r="AL20" s="393"/>
      <c r="AM20" s="393"/>
      <c r="AN20" s="393"/>
      <c r="AO20" s="393"/>
      <c r="AP20" s="649"/>
      <c r="AQ20" s="470"/>
      <c r="AR20" s="471"/>
      <c r="AU20" s="104"/>
      <c r="AV20" s="622"/>
      <c r="AW20" s="587"/>
      <c r="AX20" s="588"/>
      <c r="AY20" s="606"/>
      <c r="AZ20" s="607"/>
      <c r="BA20" s="607"/>
      <c r="BB20" s="607"/>
      <c r="BC20" s="607"/>
      <c r="BD20" s="607"/>
      <c r="BE20" s="607"/>
      <c r="BF20" s="607"/>
      <c r="BG20" s="608"/>
      <c r="BH20" s="622"/>
      <c r="BI20" s="587"/>
      <c r="BJ20" s="587"/>
      <c r="BK20" s="587"/>
      <c r="BL20" s="587"/>
      <c r="BM20" s="587"/>
      <c r="BN20" s="587"/>
      <c r="BO20" s="588"/>
      <c r="BP20" s="103"/>
    </row>
    <row r="21" spans="1:68" ht="20.100000000000001" customHeight="1">
      <c r="A21" s="375"/>
      <c r="B21" s="472" t="s">
        <v>314</v>
      </c>
      <c r="C21" s="473"/>
      <c r="D21" s="473"/>
      <c r="E21" s="473"/>
      <c r="F21" s="473"/>
      <c r="G21" s="474"/>
      <c r="H21" s="485"/>
      <c r="I21" s="486"/>
      <c r="J21" s="486"/>
      <c r="K21" s="486"/>
      <c r="L21" s="486"/>
      <c r="M21" s="486"/>
      <c r="N21" s="486"/>
      <c r="O21" s="486"/>
      <c r="P21" s="487"/>
      <c r="Q21" s="86" t="s">
        <v>315</v>
      </c>
      <c r="R21" s="366" t="s">
        <v>410</v>
      </c>
      <c r="S21" s="366"/>
      <c r="T21" s="366"/>
      <c r="U21" s="366"/>
      <c r="V21" s="366"/>
      <c r="W21" s="366"/>
      <c r="X21" s="366"/>
      <c r="Y21" s="367"/>
      <c r="Z21" s="494"/>
      <c r="AA21" s="458"/>
      <c r="AB21" s="393"/>
      <c r="AC21" s="393"/>
      <c r="AD21" s="393"/>
      <c r="AE21" s="393"/>
      <c r="AF21" s="393"/>
      <c r="AG21" s="393"/>
      <c r="AH21" s="459"/>
      <c r="AI21" s="458"/>
      <c r="AJ21" s="393"/>
      <c r="AK21" s="393"/>
      <c r="AL21" s="393"/>
      <c r="AM21" s="393"/>
      <c r="AN21" s="393"/>
      <c r="AO21" s="393"/>
      <c r="AP21" s="649"/>
      <c r="AQ21" s="475" t="s">
        <v>1</v>
      </c>
      <c r="AR21" s="476"/>
      <c r="AU21" s="104"/>
      <c r="AV21" s="636" t="s">
        <v>414</v>
      </c>
      <c r="AW21" s="637"/>
      <c r="AX21" s="638"/>
      <c r="AY21" s="596" t="s">
        <v>415</v>
      </c>
      <c r="AZ21" s="597"/>
      <c r="BA21" s="597"/>
      <c r="BB21" s="597"/>
      <c r="BC21" s="597"/>
      <c r="BD21" s="597"/>
      <c r="BE21" s="597"/>
      <c r="BF21" s="597"/>
      <c r="BG21" s="598"/>
      <c r="BH21" s="642" t="s">
        <v>416</v>
      </c>
      <c r="BI21" s="602"/>
      <c r="BJ21" s="602"/>
      <c r="BK21" s="602"/>
      <c r="BL21" s="602"/>
      <c r="BM21" s="602"/>
      <c r="BN21" s="602"/>
      <c r="BO21" s="603"/>
      <c r="BP21" s="103"/>
    </row>
    <row r="22" spans="1:68" ht="20.100000000000001" customHeight="1">
      <c r="A22" s="375"/>
      <c r="B22" s="464" t="s">
        <v>417</v>
      </c>
      <c r="C22" s="366"/>
      <c r="D22" s="366"/>
      <c r="E22" s="366"/>
      <c r="F22" s="366"/>
      <c r="G22" s="367"/>
      <c r="H22" s="485"/>
      <c r="I22" s="486"/>
      <c r="J22" s="486"/>
      <c r="K22" s="486"/>
      <c r="L22" s="486"/>
      <c r="M22" s="486"/>
      <c r="N22" s="486"/>
      <c r="O22" s="486"/>
      <c r="P22" s="487"/>
      <c r="Q22" s="86" t="s">
        <v>316</v>
      </c>
      <c r="R22" s="497" t="s">
        <v>418</v>
      </c>
      <c r="S22" s="497"/>
      <c r="T22" s="497"/>
      <c r="U22" s="497"/>
      <c r="V22" s="497"/>
      <c r="W22" s="497"/>
      <c r="X22" s="497"/>
      <c r="Y22" s="498"/>
      <c r="Z22" s="494"/>
      <c r="AA22" s="458"/>
      <c r="AB22" s="393"/>
      <c r="AC22" s="393"/>
      <c r="AD22" s="393"/>
      <c r="AE22" s="393"/>
      <c r="AF22" s="393"/>
      <c r="AG22" s="393"/>
      <c r="AH22" s="459"/>
      <c r="AI22" s="458"/>
      <c r="AJ22" s="393"/>
      <c r="AK22" s="393"/>
      <c r="AL22" s="393"/>
      <c r="AM22" s="393"/>
      <c r="AN22" s="393"/>
      <c r="AO22" s="393"/>
      <c r="AP22" s="649"/>
      <c r="AQ22" s="442">
        <f>Z17*AQ18</f>
        <v>0</v>
      </c>
      <c r="AR22" s="443"/>
      <c r="AU22" s="104"/>
      <c r="AV22" s="639"/>
      <c r="AW22" s="640"/>
      <c r="AX22" s="641"/>
      <c r="AY22" s="599"/>
      <c r="AZ22" s="600"/>
      <c r="BA22" s="600"/>
      <c r="BB22" s="600"/>
      <c r="BC22" s="600"/>
      <c r="BD22" s="600"/>
      <c r="BE22" s="600"/>
      <c r="BF22" s="600"/>
      <c r="BG22" s="601"/>
      <c r="BH22" s="643"/>
      <c r="BI22" s="604"/>
      <c r="BJ22" s="604"/>
      <c r="BK22" s="604"/>
      <c r="BL22" s="604"/>
      <c r="BM22" s="604"/>
      <c r="BN22" s="604"/>
      <c r="BO22" s="605"/>
      <c r="BP22" s="103"/>
    </row>
    <row r="23" spans="1:68" ht="20.100000000000001" customHeight="1">
      <c r="A23" s="375"/>
      <c r="B23" s="464"/>
      <c r="C23" s="366"/>
      <c r="D23" s="366"/>
      <c r="E23" s="366"/>
      <c r="F23" s="366"/>
      <c r="G23" s="367"/>
      <c r="H23" s="485"/>
      <c r="I23" s="486"/>
      <c r="J23" s="486"/>
      <c r="K23" s="486"/>
      <c r="L23" s="486"/>
      <c r="M23" s="486"/>
      <c r="N23" s="486"/>
      <c r="O23" s="486"/>
      <c r="P23" s="487"/>
      <c r="R23" s="366"/>
      <c r="S23" s="366"/>
      <c r="T23" s="366"/>
      <c r="U23" s="366"/>
      <c r="V23" s="366"/>
      <c r="W23" s="366"/>
      <c r="X23" s="366"/>
      <c r="Y23" s="367"/>
      <c r="Z23" s="494"/>
      <c r="AA23" s="458"/>
      <c r="AB23" s="393"/>
      <c r="AC23" s="393"/>
      <c r="AD23" s="393"/>
      <c r="AE23" s="393"/>
      <c r="AF23" s="393"/>
      <c r="AG23" s="393"/>
      <c r="AH23" s="459"/>
      <c r="AI23" s="458"/>
      <c r="AJ23" s="393"/>
      <c r="AK23" s="393"/>
      <c r="AL23" s="393"/>
      <c r="AM23" s="393"/>
      <c r="AN23" s="393"/>
      <c r="AO23" s="393"/>
      <c r="AP23" s="649"/>
      <c r="AQ23" s="444"/>
      <c r="AR23" s="445"/>
      <c r="AU23" s="104"/>
      <c r="AV23" s="114" t="s">
        <v>385</v>
      </c>
      <c r="BP23" s="103"/>
    </row>
    <row r="24" spans="1:68" ht="20.100000000000001" customHeight="1">
      <c r="A24" s="376"/>
      <c r="B24" s="499"/>
      <c r="C24" s="477"/>
      <c r="D24" s="477"/>
      <c r="E24" s="477"/>
      <c r="F24" s="477"/>
      <c r="G24" s="478"/>
      <c r="H24" s="504"/>
      <c r="I24" s="505"/>
      <c r="J24" s="505"/>
      <c r="K24" s="505"/>
      <c r="L24" s="505"/>
      <c r="M24" s="505"/>
      <c r="N24" s="505"/>
      <c r="O24" s="505"/>
      <c r="P24" s="506"/>
      <c r="Q24" s="86"/>
      <c r="R24" s="477"/>
      <c r="S24" s="477"/>
      <c r="T24" s="477"/>
      <c r="U24" s="477"/>
      <c r="V24" s="477"/>
      <c r="W24" s="477"/>
      <c r="X24" s="477"/>
      <c r="Y24" s="478"/>
      <c r="Z24" s="507"/>
      <c r="AA24" s="510"/>
      <c r="AB24" s="396"/>
      <c r="AC24" s="396"/>
      <c r="AD24" s="396"/>
      <c r="AE24" s="396"/>
      <c r="AF24" s="396"/>
      <c r="AG24" s="396"/>
      <c r="AH24" s="511"/>
      <c r="AI24" s="510"/>
      <c r="AJ24" s="396"/>
      <c r="AK24" s="396"/>
      <c r="AL24" s="396"/>
      <c r="AM24" s="396"/>
      <c r="AN24" s="396"/>
      <c r="AO24" s="396"/>
      <c r="AP24" s="652"/>
      <c r="AQ24" s="508"/>
      <c r="AR24" s="509"/>
      <c r="AU24" s="115"/>
      <c r="AV24" s="101"/>
      <c r="AW24" s="101"/>
      <c r="AX24" s="101"/>
      <c r="AY24" s="101"/>
      <c r="AZ24" s="101"/>
      <c r="BA24" s="101"/>
      <c r="BB24" s="101"/>
      <c r="BC24" s="101"/>
      <c r="BD24" s="101"/>
      <c r="BE24" s="101"/>
      <c r="BF24" s="101"/>
      <c r="BG24" s="101"/>
      <c r="BH24" s="101"/>
      <c r="BI24" s="101"/>
      <c r="BJ24" s="101"/>
      <c r="BK24" s="101"/>
      <c r="BL24" s="101"/>
      <c r="BM24" s="101"/>
      <c r="BN24" s="101"/>
      <c r="BO24" s="101"/>
      <c r="BP24" s="116"/>
    </row>
    <row r="25" spans="1:68" ht="20.100000000000001" customHeight="1">
      <c r="A25" s="374">
        <v>3</v>
      </c>
      <c r="B25" s="479" t="s">
        <v>308</v>
      </c>
      <c r="C25" s="480"/>
      <c r="D25" s="480"/>
      <c r="E25" s="480"/>
      <c r="F25" s="480"/>
      <c r="G25" s="481"/>
      <c r="H25" s="482" t="s">
        <v>419</v>
      </c>
      <c r="I25" s="483"/>
      <c r="J25" s="483"/>
      <c r="K25" s="483"/>
      <c r="L25" s="483"/>
      <c r="M25" s="483"/>
      <c r="N25" s="483"/>
      <c r="O25" s="483"/>
      <c r="P25" s="484"/>
      <c r="Q25" s="85" t="s">
        <v>309</v>
      </c>
      <c r="R25" s="491" t="s">
        <v>420</v>
      </c>
      <c r="S25" s="491"/>
      <c r="T25" s="491"/>
      <c r="U25" s="491"/>
      <c r="V25" s="491"/>
      <c r="W25" s="491"/>
      <c r="X25" s="491"/>
      <c r="Y25" s="492"/>
      <c r="Z25" s="493">
        <v>2</v>
      </c>
      <c r="AA25" s="455"/>
      <c r="AB25" s="456"/>
      <c r="AC25" s="456"/>
      <c r="AD25" s="456"/>
      <c r="AE25" s="456"/>
      <c r="AF25" s="456"/>
      <c r="AG25" s="456"/>
      <c r="AH25" s="457"/>
      <c r="AI25" s="455"/>
      <c r="AJ25" s="456"/>
      <c r="AK25" s="456"/>
      <c r="AL25" s="456"/>
      <c r="AM25" s="456"/>
      <c r="AN25" s="456"/>
      <c r="AO25" s="456"/>
      <c r="AP25" s="648"/>
      <c r="AQ25" s="462" t="s">
        <v>310</v>
      </c>
      <c r="AR25" s="463"/>
      <c r="AV25" s="117"/>
    </row>
    <row r="26" spans="1:68" ht="20.100000000000001" customHeight="1">
      <c r="A26" s="375"/>
      <c r="B26" s="464"/>
      <c r="C26" s="366"/>
      <c r="D26" s="366"/>
      <c r="E26" s="366"/>
      <c r="F26" s="366"/>
      <c r="G26" s="367"/>
      <c r="H26" s="485"/>
      <c r="I26" s="486"/>
      <c r="J26" s="486"/>
      <c r="K26" s="486"/>
      <c r="L26" s="486"/>
      <c r="M26" s="486"/>
      <c r="N26" s="486"/>
      <c r="O26" s="486"/>
      <c r="P26" s="487"/>
      <c r="Q26" s="86" t="s">
        <v>311</v>
      </c>
      <c r="R26" s="366" t="s">
        <v>421</v>
      </c>
      <c r="S26" s="366"/>
      <c r="T26" s="366"/>
      <c r="U26" s="366"/>
      <c r="V26" s="366"/>
      <c r="W26" s="366"/>
      <c r="X26" s="366"/>
      <c r="Y26" s="367"/>
      <c r="Z26" s="494"/>
      <c r="AA26" s="458"/>
      <c r="AB26" s="393"/>
      <c r="AC26" s="393"/>
      <c r="AD26" s="393"/>
      <c r="AE26" s="393"/>
      <c r="AF26" s="393"/>
      <c r="AG26" s="393"/>
      <c r="AH26" s="459"/>
      <c r="AI26" s="458"/>
      <c r="AJ26" s="393"/>
      <c r="AK26" s="393"/>
      <c r="AL26" s="393"/>
      <c r="AM26" s="393"/>
      <c r="AN26" s="393"/>
      <c r="AO26" s="393"/>
      <c r="AP26" s="649"/>
      <c r="AQ26" s="468"/>
      <c r="AR26" s="469"/>
      <c r="AU26" s="88"/>
      <c r="AV26" s="88"/>
      <c r="AW26" s="88"/>
      <c r="AX26" s="88"/>
      <c r="AY26" s="88"/>
      <c r="AZ26" s="88"/>
      <c r="BA26" s="88"/>
      <c r="BB26" s="88"/>
      <c r="BC26" s="88"/>
      <c r="BD26" s="88"/>
      <c r="BE26" s="88"/>
      <c r="BF26" s="88"/>
      <c r="BG26" s="88"/>
      <c r="BH26" s="88"/>
      <c r="BI26" s="88"/>
      <c r="BJ26" s="88"/>
      <c r="BK26" s="88"/>
      <c r="BL26" s="88"/>
      <c r="BM26" s="88"/>
      <c r="BN26" s="88"/>
      <c r="BO26" s="88"/>
      <c r="BP26" s="88"/>
    </row>
    <row r="27" spans="1:68" ht="20.100000000000001" customHeight="1">
      <c r="A27" s="375"/>
      <c r="B27" s="464"/>
      <c r="C27" s="366"/>
      <c r="D27" s="366"/>
      <c r="E27" s="366"/>
      <c r="F27" s="366"/>
      <c r="G27" s="367"/>
      <c r="H27" s="485"/>
      <c r="I27" s="486"/>
      <c r="J27" s="486"/>
      <c r="K27" s="486"/>
      <c r="L27" s="486"/>
      <c r="M27" s="486"/>
      <c r="N27" s="486"/>
      <c r="O27" s="486"/>
      <c r="P27" s="487"/>
      <c r="Q27" s="86" t="s">
        <v>312</v>
      </c>
      <c r="R27" s="366" t="s">
        <v>422</v>
      </c>
      <c r="S27" s="366"/>
      <c r="T27" s="366"/>
      <c r="U27" s="366"/>
      <c r="V27" s="366"/>
      <c r="W27" s="366"/>
      <c r="X27" s="366"/>
      <c r="Y27" s="367"/>
      <c r="Z27" s="494"/>
      <c r="AA27" s="458"/>
      <c r="AB27" s="393"/>
      <c r="AC27" s="393"/>
      <c r="AD27" s="393"/>
      <c r="AE27" s="393"/>
      <c r="AF27" s="393"/>
      <c r="AG27" s="393"/>
      <c r="AH27" s="459"/>
      <c r="AI27" s="458"/>
      <c r="AJ27" s="393"/>
      <c r="AK27" s="393"/>
      <c r="AL27" s="393"/>
      <c r="AM27" s="393"/>
      <c r="AN27" s="393"/>
      <c r="AO27" s="393"/>
      <c r="AP27" s="649"/>
      <c r="AQ27" s="470"/>
      <c r="AR27" s="471"/>
      <c r="AU27" s="118" t="s">
        <v>423</v>
      </c>
      <c r="AV27" s="88"/>
      <c r="AW27" s="88"/>
      <c r="AX27" s="88"/>
      <c r="AY27" s="88"/>
      <c r="AZ27" s="88"/>
      <c r="BA27" s="88"/>
      <c r="BB27" s="88"/>
      <c r="BC27" s="118"/>
      <c r="BD27" s="83"/>
      <c r="BE27" s="83"/>
      <c r="BF27" s="83"/>
      <c r="BG27" s="83"/>
      <c r="BH27" s="83"/>
      <c r="BI27" s="83"/>
      <c r="BJ27" s="83"/>
      <c r="BK27" s="83"/>
      <c r="BL27" s="83"/>
      <c r="BM27" s="83"/>
      <c r="BN27" s="83"/>
      <c r="BO27" s="83"/>
      <c r="BP27" s="83"/>
    </row>
    <row r="28" spans="1:68" ht="20.100000000000001" customHeight="1">
      <c r="A28" s="375"/>
      <c r="B28" s="465"/>
      <c r="C28" s="466"/>
      <c r="D28" s="466"/>
      <c r="E28" s="466"/>
      <c r="F28" s="466"/>
      <c r="G28" s="467"/>
      <c r="H28" s="485"/>
      <c r="I28" s="486"/>
      <c r="J28" s="486"/>
      <c r="K28" s="486"/>
      <c r="L28" s="486"/>
      <c r="M28" s="486"/>
      <c r="N28" s="486"/>
      <c r="O28" s="486"/>
      <c r="P28" s="487"/>
      <c r="Q28" s="86" t="s">
        <v>313</v>
      </c>
      <c r="R28" s="366" t="s">
        <v>424</v>
      </c>
      <c r="S28" s="366"/>
      <c r="T28" s="366"/>
      <c r="U28" s="366"/>
      <c r="V28" s="366"/>
      <c r="W28" s="366"/>
      <c r="X28" s="366"/>
      <c r="Y28" s="367"/>
      <c r="Z28" s="494"/>
      <c r="AA28" s="458"/>
      <c r="AB28" s="393"/>
      <c r="AC28" s="393"/>
      <c r="AD28" s="393"/>
      <c r="AE28" s="393"/>
      <c r="AF28" s="393"/>
      <c r="AG28" s="393"/>
      <c r="AH28" s="459"/>
      <c r="AI28" s="458"/>
      <c r="AJ28" s="393"/>
      <c r="AK28" s="393"/>
      <c r="AL28" s="393"/>
      <c r="AM28" s="393"/>
      <c r="AN28" s="393"/>
      <c r="AO28" s="393"/>
      <c r="AP28" s="649"/>
      <c r="AQ28" s="470"/>
      <c r="AR28" s="471"/>
      <c r="AU28" s="119"/>
      <c r="AV28" s="120"/>
      <c r="AW28" s="120"/>
      <c r="AX28" s="120"/>
      <c r="AY28" s="120"/>
      <c r="AZ28" s="120"/>
      <c r="BA28" s="120"/>
      <c r="BB28" s="120"/>
      <c r="BC28" s="120"/>
      <c r="BD28" s="121"/>
      <c r="BE28" s="121"/>
      <c r="BF28" s="121"/>
      <c r="BG28" s="121"/>
      <c r="BH28" s="121"/>
      <c r="BI28" s="121"/>
      <c r="BJ28" s="121"/>
      <c r="BK28" s="121"/>
      <c r="BL28" s="121"/>
      <c r="BM28" s="121"/>
      <c r="BN28" s="121"/>
      <c r="BO28" s="121"/>
      <c r="BP28" s="122"/>
    </row>
    <row r="29" spans="1:68" ht="20.100000000000001" customHeight="1">
      <c r="A29" s="375"/>
      <c r="B29" s="472" t="s">
        <v>314</v>
      </c>
      <c r="C29" s="473"/>
      <c r="D29" s="473"/>
      <c r="E29" s="473"/>
      <c r="F29" s="473"/>
      <c r="G29" s="474"/>
      <c r="H29" s="485"/>
      <c r="I29" s="486"/>
      <c r="J29" s="486"/>
      <c r="K29" s="486"/>
      <c r="L29" s="486"/>
      <c r="M29" s="486"/>
      <c r="N29" s="486"/>
      <c r="O29" s="486"/>
      <c r="P29" s="487"/>
      <c r="Q29" s="86" t="s">
        <v>315</v>
      </c>
      <c r="R29" s="366" t="s">
        <v>425</v>
      </c>
      <c r="S29" s="366"/>
      <c r="T29" s="366"/>
      <c r="U29" s="366"/>
      <c r="V29" s="366"/>
      <c r="W29" s="366"/>
      <c r="X29" s="366"/>
      <c r="Y29" s="367"/>
      <c r="Z29" s="494"/>
      <c r="AA29" s="458"/>
      <c r="AB29" s="393"/>
      <c r="AC29" s="393"/>
      <c r="AD29" s="393"/>
      <c r="AE29" s="393"/>
      <c r="AF29" s="393"/>
      <c r="AG29" s="393"/>
      <c r="AH29" s="459"/>
      <c r="AI29" s="458"/>
      <c r="AJ29" s="393"/>
      <c r="AK29" s="393"/>
      <c r="AL29" s="393"/>
      <c r="AM29" s="393"/>
      <c r="AN29" s="393"/>
      <c r="AO29" s="393"/>
      <c r="AP29" s="649"/>
      <c r="AQ29" s="475" t="s">
        <v>1</v>
      </c>
      <c r="AR29" s="476"/>
      <c r="AU29" s="104"/>
      <c r="AV29" s="123" t="s">
        <v>426</v>
      </c>
      <c r="AW29" s="124"/>
      <c r="AX29" s="124"/>
      <c r="AY29" s="124"/>
      <c r="AZ29" s="124"/>
      <c r="BA29" s="124"/>
      <c r="BB29" s="124"/>
      <c r="BC29" s="124"/>
      <c r="BD29" s="124"/>
      <c r="BE29" s="124"/>
      <c r="BF29" s="124"/>
      <c r="BG29" s="124"/>
      <c r="BH29" s="124"/>
      <c r="BI29" s="124"/>
      <c r="BJ29" s="124"/>
      <c r="BK29" s="124"/>
      <c r="BL29" s="124"/>
      <c r="BM29" s="124"/>
      <c r="BN29" s="124"/>
      <c r="BO29" s="124"/>
      <c r="BP29" s="105"/>
    </row>
    <row r="30" spans="1:68" ht="20.100000000000001" customHeight="1">
      <c r="A30" s="375"/>
      <c r="B30" s="464" t="s">
        <v>427</v>
      </c>
      <c r="C30" s="366"/>
      <c r="D30" s="366"/>
      <c r="E30" s="366"/>
      <c r="F30" s="366"/>
      <c r="G30" s="367"/>
      <c r="H30" s="485"/>
      <c r="I30" s="486"/>
      <c r="J30" s="486"/>
      <c r="K30" s="486"/>
      <c r="L30" s="486"/>
      <c r="M30" s="486"/>
      <c r="N30" s="486"/>
      <c r="O30" s="486"/>
      <c r="P30" s="487"/>
      <c r="Q30" s="86" t="s">
        <v>316</v>
      </c>
      <c r="R30" s="497" t="s">
        <v>428</v>
      </c>
      <c r="S30" s="497"/>
      <c r="T30" s="497"/>
      <c r="U30" s="497"/>
      <c r="V30" s="497"/>
      <c r="W30" s="497"/>
      <c r="X30" s="497"/>
      <c r="Y30" s="498"/>
      <c r="Z30" s="494"/>
      <c r="AA30" s="458"/>
      <c r="AB30" s="393"/>
      <c r="AC30" s="393"/>
      <c r="AD30" s="393"/>
      <c r="AE30" s="393"/>
      <c r="AF30" s="393"/>
      <c r="AG30" s="393"/>
      <c r="AH30" s="459"/>
      <c r="AI30" s="458"/>
      <c r="AJ30" s="393"/>
      <c r="AK30" s="393"/>
      <c r="AL30" s="393"/>
      <c r="AM30" s="393"/>
      <c r="AN30" s="393"/>
      <c r="AO30" s="393"/>
      <c r="AP30" s="649"/>
      <c r="AQ30" s="442">
        <f>Z25*AQ26</f>
        <v>0</v>
      </c>
      <c r="AR30" s="443"/>
      <c r="AU30" s="125"/>
      <c r="AX30" s="124"/>
      <c r="AY30" s="124"/>
      <c r="AZ30" s="124"/>
      <c r="BA30" s="124"/>
      <c r="BB30" s="124"/>
      <c r="BC30" s="124"/>
      <c r="BD30" s="124"/>
      <c r="BE30" s="124"/>
      <c r="BF30" s="124"/>
      <c r="BG30" s="124"/>
      <c r="BH30" s="124"/>
      <c r="BI30" s="124"/>
      <c r="BJ30" s="124"/>
      <c r="BK30" s="124"/>
      <c r="BL30" s="124"/>
      <c r="BM30" s="124"/>
      <c r="BN30" s="124"/>
      <c r="BO30" s="124"/>
      <c r="BP30" s="103"/>
    </row>
    <row r="31" spans="1:68" ht="20.100000000000001" customHeight="1">
      <c r="A31" s="375"/>
      <c r="B31" s="464"/>
      <c r="C31" s="366"/>
      <c r="D31" s="366"/>
      <c r="E31" s="366"/>
      <c r="F31" s="366"/>
      <c r="G31" s="367"/>
      <c r="H31" s="485"/>
      <c r="I31" s="486"/>
      <c r="J31" s="486"/>
      <c r="K31" s="486"/>
      <c r="L31" s="486"/>
      <c r="M31" s="486"/>
      <c r="N31" s="486"/>
      <c r="O31" s="486"/>
      <c r="P31" s="487"/>
      <c r="Q31" s="163"/>
      <c r="R31" s="366"/>
      <c r="S31" s="366"/>
      <c r="T31" s="366"/>
      <c r="U31" s="366"/>
      <c r="V31" s="366"/>
      <c r="W31" s="366"/>
      <c r="X31" s="366"/>
      <c r="Y31" s="367"/>
      <c r="Z31" s="494"/>
      <c r="AA31" s="458"/>
      <c r="AB31" s="393"/>
      <c r="AC31" s="393"/>
      <c r="AD31" s="393"/>
      <c r="AE31" s="393"/>
      <c r="AF31" s="393"/>
      <c r="AG31" s="393"/>
      <c r="AH31" s="459"/>
      <c r="AI31" s="458"/>
      <c r="AJ31" s="393"/>
      <c r="AK31" s="393"/>
      <c r="AL31" s="393"/>
      <c r="AM31" s="393"/>
      <c r="AN31" s="393"/>
      <c r="AO31" s="393"/>
      <c r="AP31" s="649"/>
      <c r="AQ31" s="444"/>
      <c r="AR31" s="445"/>
      <c r="AU31" s="125"/>
      <c r="AW31" s="126" t="s">
        <v>429</v>
      </c>
      <c r="AX31" s="124"/>
      <c r="AY31" s="124"/>
      <c r="AZ31" s="124"/>
      <c r="BA31" s="124"/>
      <c r="BB31" s="124"/>
      <c r="BC31" s="124"/>
      <c r="BD31" s="124"/>
      <c r="BE31" s="124"/>
      <c r="BF31" s="124"/>
      <c r="BG31" s="124"/>
      <c r="BH31" s="124"/>
      <c r="BI31" s="124"/>
      <c r="BJ31" s="124"/>
      <c r="BK31" s="124"/>
      <c r="BL31" s="124"/>
      <c r="BM31" s="124"/>
      <c r="BN31" s="124"/>
      <c r="BO31" s="124"/>
      <c r="BP31" s="103"/>
    </row>
    <row r="32" spans="1:68" ht="20.100000000000001" customHeight="1" thickBot="1">
      <c r="A32" s="398"/>
      <c r="B32" s="496"/>
      <c r="C32" s="448"/>
      <c r="D32" s="448"/>
      <c r="E32" s="448"/>
      <c r="F32" s="448"/>
      <c r="G32" s="449"/>
      <c r="H32" s="488"/>
      <c r="I32" s="489"/>
      <c r="J32" s="489"/>
      <c r="K32" s="489"/>
      <c r="L32" s="489"/>
      <c r="M32" s="489"/>
      <c r="N32" s="489"/>
      <c r="O32" s="489"/>
      <c r="P32" s="490"/>
      <c r="Q32" s="96"/>
      <c r="R32" s="448"/>
      <c r="S32" s="448"/>
      <c r="T32" s="448"/>
      <c r="U32" s="448"/>
      <c r="V32" s="448"/>
      <c r="W32" s="448"/>
      <c r="X32" s="448"/>
      <c r="Y32" s="449"/>
      <c r="Z32" s="495"/>
      <c r="AA32" s="460"/>
      <c r="AB32" s="403"/>
      <c r="AC32" s="403"/>
      <c r="AD32" s="403"/>
      <c r="AE32" s="403"/>
      <c r="AF32" s="403"/>
      <c r="AG32" s="403"/>
      <c r="AH32" s="461"/>
      <c r="AI32" s="460"/>
      <c r="AJ32" s="403"/>
      <c r="AK32" s="403"/>
      <c r="AL32" s="403"/>
      <c r="AM32" s="403"/>
      <c r="AN32" s="403"/>
      <c r="AO32" s="403"/>
      <c r="AP32" s="653"/>
      <c r="AQ32" s="446"/>
      <c r="AR32" s="447"/>
      <c r="AU32" s="125"/>
      <c r="AW32" s="126" t="s">
        <v>430</v>
      </c>
      <c r="AX32" s="124"/>
      <c r="AY32" s="124"/>
      <c r="AZ32" s="124"/>
      <c r="BA32" s="124"/>
      <c r="BB32" s="124"/>
      <c r="BC32" s="124"/>
      <c r="BD32" s="124"/>
      <c r="BE32" s="124"/>
      <c r="BF32" s="124"/>
      <c r="BG32" s="124"/>
      <c r="BH32" s="124"/>
      <c r="BI32" s="124"/>
      <c r="BJ32" s="124"/>
      <c r="BK32" s="124"/>
      <c r="BL32" s="124"/>
      <c r="BM32" s="124"/>
      <c r="BN32" s="124"/>
      <c r="BO32" s="124"/>
      <c r="BP32" s="105"/>
    </row>
    <row r="33" spans="1:70" ht="20.100000000000001" customHeight="1">
      <c r="A33" s="374">
        <v>4</v>
      </c>
      <c r="B33" s="479" t="s">
        <v>330</v>
      </c>
      <c r="C33" s="480"/>
      <c r="D33" s="480"/>
      <c r="E33" s="480"/>
      <c r="F33" s="480"/>
      <c r="G33" s="481"/>
      <c r="H33" s="482" t="s">
        <v>431</v>
      </c>
      <c r="I33" s="483"/>
      <c r="J33" s="483"/>
      <c r="K33" s="483"/>
      <c r="L33" s="483"/>
      <c r="M33" s="483"/>
      <c r="N33" s="483"/>
      <c r="O33" s="483"/>
      <c r="P33" s="484"/>
      <c r="Q33" s="85" t="s">
        <v>309</v>
      </c>
      <c r="R33" s="491" t="s">
        <v>432</v>
      </c>
      <c r="S33" s="491"/>
      <c r="T33" s="491"/>
      <c r="U33" s="491"/>
      <c r="V33" s="491"/>
      <c r="W33" s="491"/>
      <c r="X33" s="491"/>
      <c r="Y33" s="492"/>
      <c r="Z33" s="493">
        <v>2</v>
      </c>
      <c r="AA33" s="455"/>
      <c r="AB33" s="456"/>
      <c r="AC33" s="456"/>
      <c r="AD33" s="456"/>
      <c r="AE33" s="456"/>
      <c r="AF33" s="456"/>
      <c r="AG33" s="456"/>
      <c r="AH33" s="457"/>
      <c r="AI33" s="455"/>
      <c r="AJ33" s="456"/>
      <c r="AK33" s="456"/>
      <c r="AL33" s="456"/>
      <c r="AM33" s="456"/>
      <c r="AN33" s="456"/>
      <c r="AO33" s="456"/>
      <c r="AP33" s="648"/>
      <c r="AQ33" s="462" t="s">
        <v>310</v>
      </c>
      <c r="AR33" s="463"/>
      <c r="AU33" s="125"/>
      <c r="AV33" s="124"/>
      <c r="AW33" s="124"/>
      <c r="AX33" s="124"/>
      <c r="AY33" s="124"/>
      <c r="AZ33" s="124"/>
      <c r="BA33" s="124"/>
      <c r="BB33" s="124"/>
      <c r="BC33" s="124"/>
      <c r="BD33" s="124"/>
      <c r="BE33" s="124"/>
      <c r="BF33" s="124"/>
      <c r="BG33" s="124"/>
      <c r="BH33" s="124"/>
      <c r="BI33" s="124"/>
      <c r="BJ33" s="124"/>
      <c r="BK33" s="124"/>
      <c r="BL33" s="124"/>
      <c r="BM33" s="124"/>
      <c r="BN33" s="124"/>
      <c r="BO33" s="124"/>
      <c r="BP33" s="103"/>
    </row>
    <row r="34" spans="1:70" ht="20.100000000000001" customHeight="1">
      <c r="A34" s="375"/>
      <c r="B34" s="464"/>
      <c r="C34" s="366"/>
      <c r="D34" s="366"/>
      <c r="E34" s="366"/>
      <c r="F34" s="366"/>
      <c r="G34" s="367"/>
      <c r="H34" s="485"/>
      <c r="I34" s="486"/>
      <c r="J34" s="486"/>
      <c r="K34" s="486"/>
      <c r="L34" s="486"/>
      <c r="M34" s="486"/>
      <c r="N34" s="486"/>
      <c r="O34" s="486"/>
      <c r="P34" s="487"/>
      <c r="Q34" s="86" t="s">
        <v>311</v>
      </c>
      <c r="R34" s="366" t="s">
        <v>433</v>
      </c>
      <c r="S34" s="366"/>
      <c r="T34" s="366"/>
      <c r="U34" s="366"/>
      <c r="V34" s="366"/>
      <c r="W34" s="366"/>
      <c r="X34" s="366"/>
      <c r="Y34" s="367"/>
      <c r="Z34" s="494"/>
      <c r="AA34" s="458"/>
      <c r="AB34" s="393"/>
      <c r="AC34" s="393"/>
      <c r="AD34" s="393"/>
      <c r="AE34" s="393"/>
      <c r="AF34" s="393"/>
      <c r="AG34" s="393"/>
      <c r="AH34" s="459"/>
      <c r="AI34" s="458"/>
      <c r="AJ34" s="393"/>
      <c r="AK34" s="393"/>
      <c r="AL34" s="393"/>
      <c r="AM34" s="393"/>
      <c r="AN34" s="393"/>
      <c r="AO34" s="393"/>
      <c r="AP34" s="649"/>
      <c r="AQ34" s="468"/>
      <c r="AR34" s="469"/>
      <c r="AU34" s="127"/>
      <c r="AV34" s="128" t="s">
        <v>434</v>
      </c>
      <c r="AW34" s="124"/>
      <c r="AX34" s="124"/>
      <c r="AY34" s="124"/>
      <c r="AZ34" s="124"/>
      <c r="BA34" s="124"/>
      <c r="BB34" s="124"/>
      <c r="BC34" s="124"/>
      <c r="BD34" s="124"/>
      <c r="BE34" s="124"/>
      <c r="BF34" s="124"/>
      <c r="BG34" s="124"/>
      <c r="BH34" s="124"/>
      <c r="BI34" s="124"/>
      <c r="BJ34" s="124"/>
      <c r="BK34" s="124"/>
      <c r="BL34" s="124"/>
      <c r="BM34" s="124"/>
      <c r="BN34" s="124"/>
      <c r="BO34" s="124"/>
      <c r="BP34" s="103"/>
    </row>
    <row r="35" spans="1:70" ht="20.100000000000001" customHeight="1">
      <c r="A35" s="375"/>
      <c r="B35" s="464"/>
      <c r="C35" s="366"/>
      <c r="D35" s="366"/>
      <c r="E35" s="366"/>
      <c r="F35" s="366"/>
      <c r="G35" s="367"/>
      <c r="H35" s="485"/>
      <c r="I35" s="486"/>
      <c r="J35" s="486"/>
      <c r="K35" s="486"/>
      <c r="L35" s="486"/>
      <c r="M35" s="486"/>
      <c r="N35" s="486"/>
      <c r="O35" s="486"/>
      <c r="P35" s="487"/>
      <c r="Q35" s="86" t="s">
        <v>312</v>
      </c>
      <c r="R35" s="366" t="s">
        <v>435</v>
      </c>
      <c r="S35" s="366"/>
      <c r="T35" s="366"/>
      <c r="U35" s="366"/>
      <c r="V35" s="366"/>
      <c r="W35" s="366"/>
      <c r="X35" s="366"/>
      <c r="Y35" s="367"/>
      <c r="Z35" s="494"/>
      <c r="AA35" s="458"/>
      <c r="AB35" s="393"/>
      <c r="AC35" s="393"/>
      <c r="AD35" s="393"/>
      <c r="AE35" s="393"/>
      <c r="AF35" s="393"/>
      <c r="AG35" s="393"/>
      <c r="AH35" s="459"/>
      <c r="AI35" s="458"/>
      <c r="AJ35" s="393"/>
      <c r="AK35" s="393"/>
      <c r="AL35" s="393"/>
      <c r="AM35" s="393"/>
      <c r="AN35" s="393"/>
      <c r="AO35" s="393"/>
      <c r="AP35" s="649"/>
      <c r="AQ35" s="470"/>
      <c r="AR35" s="471"/>
      <c r="AU35" s="125"/>
      <c r="AW35" s="126" t="s">
        <v>436</v>
      </c>
      <c r="AX35" s="124"/>
      <c r="AY35" s="124"/>
      <c r="AZ35" s="124"/>
      <c r="BA35" s="124"/>
      <c r="BB35" s="124"/>
      <c r="BC35" s="124"/>
      <c r="BD35" s="124"/>
      <c r="BE35" s="124"/>
      <c r="BF35" s="124"/>
      <c r="BG35" s="124"/>
      <c r="BH35" s="124"/>
      <c r="BI35" s="124"/>
      <c r="BJ35" s="124"/>
      <c r="BK35" s="124"/>
      <c r="BL35" s="124"/>
      <c r="BM35" s="124"/>
      <c r="BN35" s="124"/>
      <c r="BO35" s="124"/>
      <c r="BP35" s="103"/>
      <c r="BQ35" s="88"/>
      <c r="BR35" s="88"/>
    </row>
    <row r="36" spans="1:70" ht="20.100000000000001" customHeight="1">
      <c r="A36" s="375"/>
      <c r="B36" s="465"/>
      <c r="C36" s="466"/>
      <c r="D36" s="466"/>
      <c r="E36" s="466"/>
      <c r="F36" s="466"/>
      <c r="G36" s="467"/>
      <c r="H36" s="485"/>
      <c r="I36" s="486"/>
      <c r="J36" s="486"/>
      <c r="K36" s="486"/>
      <c r="L36" s="486"/>
      <c r="M36" s="486"/>
      <c r="N36" s="486"/>
      <c r="O36" s="486"/>
      <c r="P36" s="487"/>
      <c r="Q36" s="86" t="s">
        <v>313</v>
      </c>
      <c r="R36" s="366" t="s">
        <v>437</v>
      </c>
      <c r="S36" s="366"/>
      <c r="T36" s="366"/>
      <c r="U36" s="366"/>
      <c r="V36" s="366"/>
      <c r="W36" s="366"/>
      <c r="X36" s="366"/>
      <c r="Y36" s="367"/>
      <c r="Z36" s="494"/>
      <c r="AA36" s="458"/>
      <c r="AB36" s="393"/>
      <c r="AC36" s="393"/>
      <c r="AD36" s="393"/>
      <c r="AE36" s="393"/>
      <c r="AF36" s="393"/>
      <c r="AG36" s="393"/>
      <c r="AH36" s="459"/>
      <c r="AI36" s="458"/>
      <c r="AJ36" s="393"/>
      <c r="AK36" s="393"/>
      <c r="AL36" s="393"/>
      <c r="AM36" s="393"/>
      <c r="AN36" s="393"/>
      <c r="AO36" s="393"/>
      <c r="AP36" s="649"/>
      <c r="AQ36" s="470"/>
      <c r="AR36" s="471"/>
      <c r="AU36" s="125"/>
      <c r="AW36" s="126" t="s">
        <v>393</v>
      </c>
      <c r="AX36" s="124"/>
      <c r="AY36" s="124"/>
      <c r="AZ36" s="124"/>
      <c r="BA36" s="124"/>
      <c r="BB36" s="124"/>
      <c r="BC36" s="124"/>
      <c r="BD36" s="124"/>
      <c r="BE36" s="124"/>
      <c r="BF36" s="124"/>
      <c r="BG36" s="124"/>
      <c r="BH36" s="124"/>
      <c r="BI36" s="124"/>
      <c r="BJ36" s="124"/>
      <c r="BK36" s="124"/>
      <c r="BL36" s="124"/>
      <c r="BM36" s="124"/>
      <c r="BN36" s="124"/>
      <c r="BO36" s="124"/>
      <c r="BP36" s="103"/>
      <c r="BQ36" s="88"/>
      <c r="BR36" s="83"/>
    </row>
    <row r="37" spans="1:70" ht="20.100000000000001" customHeight="1">
      <c r="A37" s="375"/>
      <c r="B37" s="472" t="s">
        <v>314</v>
      </c>
      <c r="C37" s="473"/>
      <c r="D37" s="473"/>
      <c r="E37" s="473"/>
      <c r="F37" s="473"/>
      <c r="G37" s="474"/>
      <c r="H37" s="485"/>
      <c r="I37" s="486"/>
      <c r="J37" s="486"/>
      <c r="K37" s="486"/>
      <c r="L37" s="486"/>
      <c r="M37" s="486"/>
      <c r="N37" s="486"/>
      <c r="O37" s="486"/>
      <c r="P37" s="487"/>
      <c r="Q37" s="86" t="s">
        <v>315</v>
      </c>
      <c r="R37" s="366" t="s">
        <v>438</v>
      </c>
      <c r="S37" s="366"/>
      <c r="T37" s="366"/>
      <c r="U37" s="366"/>
      <c r="V37" s="366"/>
      <c r="W37" s="366"/>
      <c r="X37" s="366"/>
      <c r="Y37" s="367"/>
      <c r="Z37" s="494"/>
      <c r="AA37" s="458"/>
      <c r="AB37" s="393"/>
      <c r="AC37" s="393"/>
      <c r="AD37" s="393"/>
      <c r="AE37" s="393"/>
      <c r="AF37" s="393"/>
      <c r="AG37" s="393"/>
      <c r="AH37" s="459"/>
      <c r="AI37" s="458"/>
      <c r="AJ37" s="393"/>
      <c r="AK37" s="393"/>
      <c r="AL37" s="393"/>
      <c r="AM37" s="393"/>
      <c r="AN37" s="393"/>
      <c r="AO37" s="393"/>
      <c r="AP37" s="649"/>
      <c r="AQ37" s="475" t="s">
        <v>1</v>
      </c>
      <c r="AR37" s="476"/>
      <c r="AU37" s="125"/>
      <c r="AV37" s="124"/>
      <c r="AW37" s="124"/>
      <c r="AX37" s="124"/>
      <c r="AY37" s="124"/>
      <c r="AZ37" s="124"/>
      <c r="BA37" s="124"/>
      <c r="BB37" s="124"/>
      <c r="BC37" s="124"/>
      <c r="BD37" s="124"/>
      <c r="BE37" s="124"/>
      <c r="BF37" s="124"/>
      <c r="BG37" s="124"/>
      <c r="BH37" s="124"/>
      <c r="BI37" s="124"/>
      <c r="BJ37" s="124"/>
      <c r="BK37" s="124"/>
      <c r="BL37" s="124"/>
      <c r="BM37" s="124"/>
      <c r="BN37" s="124"/>
      <c r="BO37" s="124"/>
      <c r="BP37" s="103"/>
      <c r="BQ37" s="88"/>
    </row>
    <row r="38" spans="1:70" ht="20.100000000000001" customHeight="1">
      <c r="A38" s="375"/>
      <c r="B38" s="464" t="s">
        <v>439</v>
      </c>
      <c r="C38" s="366"/>
      <c r="D38" s="366"/>
      <c r="E38" s="366"/>
      <c r="F38" s="366"/>
      <c r="G38" s="367"/>
      <c r="H38" s="485"/>
      <c r="I38" s="486"/>
      <c r="J38" s="486"/>
      <c r="K38" s="486"/>
      <c r="L38" s="486"/>
      <c r="M38" s="486"/>
      <c r="N38" s="486"/>
      <c r="O38" s="486"/>
      <c r="P38" s="487"/>
      <c r="Q38" s="86" t="s">
        <v>316</v>
      </c>
      <c r="R38" s="497" t="s">
        <v>428</v>
      </c>
      <c r="S38" s="497"/>
      <c r="T38" s="497"/>
      <c r="U38" s="497"/>
      <c r="V38" s="497"/>
      <c r="W38" s="497"/>
      <c r="X38" s="497"/>
      <c r="Y38" s="498"/>
      <c r="Z38" s="494"/>
      <c r="AA38" s="458"/>
      <c r="AB38" s="393"/>
      <c r="AC38" s="393"/>
      <c r="AD38" s="393"/>
      <c r="AE38" s="393"/>
      <c r="AF38" s="393"/>
      <c r="AG38" s="393"/>
      <c r="AH38" s="459"/>
      <c r="AI38" s="458"/>
      <c r="AJ38" s="393"/>
      <c r="AK38" s="393"/>
      <c r="AL38" s="393"/>
      <c r="AM38" s="393"/>
      <c r="AN38" s="393"/>
      <c r="AO38" s="393"/>
      <c r="AP38" s="649"/>
      <c r="AQ38" s="442">
        <f>Z33*AQ34</f>
        <v>0</v>
      </c>
      <c r="AR38" s="443"/>
      <c r="AU38" s="125"/>
      <c r="AV38" s="129" t="s">
        <v>440</v>
      </c>
      <c r="AW38" s="130"/>
      <c r="AX38" s="130"/>
      <c r="AY38" s="130"/>
      <c r="AZ38" s="130"/>
      <c r="BA38" s="130"/>
      <c r="BB38" s="130"/>
      <c r="BC38" s="130"/>
      <c r="BD38" s="130"/>
      <c r="BE38" s="131"/>
      <c r="BF38" s="131"/>
      <c r="BG38" s="131"/>
      <c r="BH38" s="131"/>
      <c r="BI38" s="124"/>
      <c r="BJ38" s="124"/>
      <c r="BK38" s="124"/>
      <c r="BL38" s="124"/>
      <c r="BM38" s="124"/>
      <c r="BN38" s="124"/>
      <c r="BO38" s="124"/>
      <c r="BP38" s="103"/>
      <c r="BQ38" s="83"/>
    </row>
    <row r="39" spans="1:70" ht="20.100000000000001" customHeight="1">
      <c r="A39" s="375"/>
      <c r="B39" s="464"/>
      <c r="C39" s="366"/>
      <c r="D39" s="366"/>
      <c r="E39" s="366"/>
      <c r="F39" s="366"/>
      <c r="G39" s="367"/>
      <c r="H39" s="485"/>
      <c r="I39" s="486"/>
      <c r="J39" s="486"/>
      <c r="K39" s="486"/>
      <c r="L39" s="486"/>
      <c r="M39" s="486"/>
      <c r="N39" s="486"/>
      <c r="O39" s="486"/>
      <c r="P39" s="487"/>
      <c r="Q39" s="163"/>
      <c r="R39" s="366"/>
      <c r="S39" s="366"/>
      <c r="T39" s="366"/>
      <c r="U39" s="366"/>
      <c r="V39" s="366"/>
      <c r="W39" s="366"/>
      <c r="X39" s="366"/>
      <c r="Y39" s="367"/>
      <c r="Z39" s="494"/>
      <c r="AA39" s="458"/>
      <c r="AB39" s="393"/>
      <c r="AC39" s="393"/>
      <c r="AD39" s="393"/>
      <c r="AE39" s="393"/>
      <c r="AF39" s="393"/>
      <c r="AG39" s="393"/>
      <c r="AH39" s="459"/>
      <c r="AI39" s="458"/>
      <c r="AJ39" s="393"/>
      <c r="AK39" s="393"/>
      <c r="AL39" s="393"/>
      <c r="AM39" s="393"/>
      <c r="AN39" s="393"/>
      <c r="AO39" s="393"/>
      <c r="AP39" s="649"/>
      <c r="AQ39" s="444"/>
      <c r="AR39" s="445"/>
      <c r="AU39" s="132"/>
      <c r="AV39" s="133"/>
      <c r="AW39" s="123" t="s">
        <v>441</v>
      </c>
      <c r="AX39" s="133"/>
      <c r="AY39" s="134"/>
      <c r="AZ39" s="134"/>
      <c r="BA39" s="134"/>
      <c r="BB39" s="134"/>
      <c r="BC39" s="134"/>
      <c r="BD39" s="134"/>
      <c r="BE39" s="134"/>
      <c r="BF39" s="134"/>
      <c r="BG39" s="134"/>
      <c r="BH39" s="134"/>
      <c r="BI39" s="131"/>
      <c r="BJ39" s="131"/>
      <c r="BK39" s="88"/>
      <c r="BL39" s="88"/>
      <c r="BM39" s="88"/>
      <c r="BN39" s="88"/>
      <c r="BP39" s="103"/>
    </row>
    <row r="40" spans="1:70" ht="20.100000000000001" customHeight="1" thickBot="1">
      <c r="A40" s="398"/>
      <c r="B40" s="496"/>
      <c r="C40" s="448"/>
      <c r="D40" s="448"/>
      <c r="E40" s="448"/>
      <c r="F40" s="448"/>
      <c r="G40" s="449"/>
      <c r="H40" s="488"/>
      <c r="I40" s="489"/>
      <c r="J40" s="489"/>
      <c r="K40" s="489"/>
      <c r="L40" s="489"/>
      <c r="M40" s="489"/>
      <c r="N40" s="489"/>
      <c r="O40" s="489"/>
      <c r="P40" s="490"/>
      <c r="Q40" s="96"/>
      <c r="R40" s="448"/>
      <c r="S40" s="448"/>
      <c r="T40" s="448"/>
      <c r="U40" s="448"/>
      <c r="V40" s="448"/>
      <c r="W40" s="448"/>
      <c r="X40" s="448"/>
      <c r="Y40" s="449"/>
      <c r="Z40" s="495"/>
      <c r="AA40" s="460"/>
      <c r="AB40" s="403"/>
      <c r="AC40" s="403"/>
      <c r="AD40" s="403"/>
      <c r="AE40" s="403"/>
      <c r="AF40" s="403"/>
      <c r="AG40" s="403"/>
      <c r="AH40" s="461"/>
      <c r="AI40" s="460"/>
      <c r="AJ40" s="403"/>
      <c r="AK40" s="403"/>
      <c r="AL40" s="403"/>
      <c r="AM40" s="403"/>
      <c r="AN40" s="403"/>
      <c r="AO40" s="403"/>
      <c r="AP40" s="653"/>
      <c r="AQ40" s="446"/>
      <c r="AR40" s="447"/>
      <c r="AU40" s="104"/>
      <c r="AV40" s="83"/>
      <c r="AW40" s="83"/>
      <c r="AX40" s="117" t="s">
        <v>442</v>
      </c>
      <c r="AY40" s="134"/>
      <c r="AZ40" s="134"/>
      <c r="BA40" s="134"/>
      <c r="BB40" s="134"/>
      <c r="BC40" s="134"/>
      <c r="BD40" s="134"/>
      <c r="BE40" s="134"/>
      <c r="BF40" s="134"/>
      <c r="BG40" s="134"/>
      <c r="BH40" s="134"/>
      <c r="BI40" s="134"/>
      <c r="BJ40" s="134"/>
      <c r="BK40" s="134"/>
      <c r="BL40" s="134"/>
      <c r="BM40" s="134"/>
      <c r="BN40" s="134"/>
      <c r="BO40" s="134"/>
      <c r="BP40" s="103"/>
    </row>
    <row r="41" spans="1:70" ht="20.100000000000001" customHeight="1">
      <c r="Z41" s="97">
        <f>SUM(Z9:Z40)</f>
        <v>12</v>
      </c>
      <c r="AA41" s="164"/>
      <c r="AB41" s="164"/>
      <c r="AC41" s="164"/>
      <c r="AD41" s="164"/>
      <c r="AE41" s="164"/>
      <c r="AF41" s="164"/>
      <c r="AG41" s="164"/>
      <c r="AH41" s="164"/>
      <c r="AQ41" s="450">
        <f>AQ14+AQ22+AQ38+AQ30</f>
        <v>0</v>
      </c>
      <c r="AR41" s="450"/>
      <c r="AU41" s="135"/>
      <c r="AW41" s="123" t="s">
        <v>443</v>
      </c>
      <c r="AX41" s="117"/>
      <c r="AY41" s="134"/>
      <c r="AZ41" s="134"/>
      <c r="BA41" s="134"/>
      <c r="BB41" s="134"/>
      <c r="BC41" s="134"/>
      <c r="BD41" s="134"/>
      <c r="BE41" s="134"/>
      <c r="BF41" s="134"/>
      <c r="BG41" s="134"/>
      <c r="BH41" s="134"/>
      <c r="BI41" s="134"/>
      <c r="BJ41" s="134"/>
      <c r="BK41" s="134"/>
      <c r="BL41" s="134"/>
      <c r="BM41" s="134"/>
      <c r="BN41" s="134"/>
      <c r="BO41" s="134"/>
      <c r="BP41" s="103"/>
    </row>
    <row r="42" spans="1:70" ht="42.75" customHeight="1" thickBot="1">
      <c r="AU42" s="104"/>
      <c r="AX42" s="83" t="s">
        <v>398</v>
      </c>
      <c r="BI42" s="134"/>
      <c r="BJ42" s="134"/>
      <c r="BK42" s="134"/>
      <c r="BL42" s="134"/>
      <c r="BM42" s="134"/>
      <c r="BN42" s="134"/>
      <c r="BO42" s="134"/>
      <c r="BP42" s="103"/>
    </row>
    <row r="43" spans="1:70" s="88" customFormat="1" ht="27.75" customHeight="1" thickBot="1">
      <c r="A43" s="451" t="s">
        <v>317</v>
      </c>
      <c r="B43" s="451"/>
      <c r="C43" s="451"/>
      <c r="D43" s="451"/>
      <c r="E43" s="451"/>
      <c r="F43" s="451" t="s">
        <v>318</v>
      </c>
      <c r="G43" s="451"/>
      <c r="H43" s="451"/>
      <c r="I43" s="451"/>
      <c r="J43" s="451"/>
      <c r="K43" s="451"/>
      <c r="L43" s="452"/>
      <c r="M43" s="453"/>
      <c r="N43" s="453"/>
      <c r="O43" s="453"/>
      <c r="P43" s="453"/>
      <c r="Q43" s="453"/>
      <c r="R43" s="453"/>
      <c r="S43" s="453"/>
      <c r="T43" s="453"/>
      <c r="U43" s="453"/>
      <c r="V43" s="453"/>
      <c r="W43" s="453"/>
      <c r="X43" s="453"/>
      <c r="Y43" s="453"/>
      <c r="Z43" s="453"/>
      <c r="AA43" s="453"/>
      <c r="AB43" s="453"/>
      <c r="AC43" s="453"/>
      <c r="AD43" s="453"/>
      <c r="AE43" s="453"/>
      <c r="AF43" s="453"/>
      <c r="AG43" s="454"/>
      <c r="AU43" s="115"/>
      <c r="AV43" s="101"/>
      <c r="AW43" s="101"/>
      <c r="AX43" s="101"/>
      <c r="AY43" s="136"/>
      <c r="AZ43" s="136"/>
      <c r="BA43" s="136"/>
      <c r="BB43" s="136"/>
      <c r="BC43" s="136"/>
      <c r="BD43" s="136"/>
      <c r="BE43" s="136"/>
      <c r="BF43" s="136"/>
      <c r="BG43" s="136"/>
      <c r="BH43" s="136"/>
      <c r="BI43" s="136"/>
      <c r="BJ43" s="136"/>
      <c r="BK43" s="136"/>
      <c r="BL43" s="136"/>
      <c r="BM43" s="136"/>
      <c r="BN43" s="136"/>
      <c r="BO43" s="136"/>
      <c r="BP43" s="116"/>
      <c r="BQ43" s="82"/>
      <c r="BR43" s="82"/>
    </row>
    <row r="44" spans="1:70" s="88" customFormat="1" ht="15" customHeight="1" thickBot="1">
      <c r="A44" s="165"/>
      <c r="B44" s="165"/>
      <c r="C44" s="165"/>
      <c r="D44" s="165"/>
      <c r="E44" s="165"/>
      <c r="F44" s="165"/>
      <c r="G44" s="165"/>
      <c r="H44" s="165"/>
      <c r="I44" s="165"/>
      <c r="J44" s="165"/>
      <c r="K44" s="165"/>
      <c r="L44" s="166"/>
      <c r="M44" s="166"/>
      <c r="N44" s="166"/>
      <c r="O44" s="166"/>
      <c r="P44" s="166"/>
      <c r="Q44" s="166"/>
      <c r="R44" s="166"/>
      <c r="S44" s="166"/>
      <c r="T44" s="166"/>
      <c r="U44" s="166"/>
      <c r="V44" s="166"/>
      <c r="W44" s="166"/>
      <c r="X44" s="166"/>
      <c r="Y44" s="166"/>
      <c r="Z44" s="166"/>
      <c r="AA44" s="166"/>
      <c r="AB44" s="166"/>
      <c r="AC44" s="166"/>
      <c r="AD44" s="166"/>
      <c r="AE44" s="166"/>
      <c r="AF44" s="166"/>
      <c r="AG44" s="166"/>
      <c r="AU44" s="82"/>
      <c r="AV44" s="82"/>
      <c r="AW44" s="82"/>
      <c r="AX44" s="82"/>
      <c r="AY44" s="82"/>
      <c r="AZ44" s="82"/>
      <c r="BA44" s="82"/>
      <c r="BB44" s="82"/>
      <c r="BC44" s="82"/>
      <c r="BD44" s="82"/>
      <c r="BE44" s="82"/>
      <c r="BF44" s="82"/>
      <c r="BG44" s="82"/>
      <c r="BH44" s="82"/>
      <c r="BI44" s="82"/>
      <c r="BJ44" s="82"/>
      <c r="BK44" s="82"/>
      <c r="BL44" s="82"/>
      <c r="BM44" s="82"/>
      <c r="BN44" s="82"/>
      <c r="BO44" s="82"/>
      <c r="BP44" s="82"/>
      <c r="BQ44" s="82"/>
      <c r="BR44" s="82"/>
    </row>
    <row r="45" spans="1:70" s="83" customFormat="1" ht="24" customHeight="1">
      <c r="A45" s="405" t="s">
        <v>292</v>
      </c>
      <c r="B45" s="406"/>
      <c r="C45" s="406"/>
      <c r="D45" s="406"/>
      <c r="E45" s="406"/>
      <c r="F45" s="406"/>
      <c r="G45" s="406"/>
      <c r="H45" s="406"/>
      <c r="I45" s="406"/>
      <c r="J45" s="406"/>
      <c r="K45" s="406"/>
      <c r="L45" s="406"/>
      <c r="M45" s="406"/>
      <c r="N45" s="406"/>
      <c r="O45" s="406"/>
      <c r="P45" s="406"/>
      <c r="Q45" s="406"/>
      <c r="R45" s="406"/>
      <c r="S45" s="406"/>
      <c r="T45" s="406"/>
      <c r="U45" s="406"/>
      <c r="V45" s="406"/>
      <c r="W45" s="406"/>
      <c r="X45" s="407"/>
      <c r="Y45" s="408" t="s">
        <v>319</v>
      </c>
      <c r="Z45" s="409"/>
      <c r="AA45" s="409"/>
      <c r="AB45" s="409"/>
      <c r="AC45" s="409"/>
      <c r="AD45" s="409"/>
      <c r="AE45" s="409"/>
      <c r="AF45" s="409"/>
      <c r="AG45" s="410"/>
      <c r="AH45" s="411" t="s">
        <v>320</v>
      </c>
      <c r="AI45" s="412"/>
      <c r="AJ45" s="412"/>
      <c r="AK45" s="412"/>
      <c r="AL45" s="412"/>
      <c r="AM45" s="412"/>
      <c r="AN45" s="412"/>
      <c r="AO45" s="412"/>
      <c r="AP45" s="412"/>
      <c r="AQ45" s="412"/>
      <c r="AR45" s="413"/>
      <c r="AU45" s="137"/>
      <c r="AV45" s="82"/>
      <c r="AW45" s="82"/>
      <c r="AX45" s="82"/>
      <c r="AY45" s="134"/>
      <c r="AZ45" s="134"/>
      <c r="BA45" s="134"/>
      <c r="BB45" s="134"/>
      <c r="BC45" s="134"/>
      <c r="BD45" s="134"/>
      <c r="BE45" s="134"/>
      <c r="BF45" s="134"/>
      <c r="BG45" s="134"/>
      <c r="BH45" s="134"/>
      <c r="BI45" s="134"/>
      <c r="BJ45" s="134"/>
      <c r="BK45" s="134"/>
      <c r="BL45" s="134"/>
      <c r="BM45" s="134"/>
      <c r="BN45" s="134"/>
      <c r="BO45" s="134"/>
      <c r="BP45" s="82"/>
      <c r="BQ45" s="82"/>
      <c r="BR45" s="82"/>
    </row>
    <row r="46" spans="1:70" ht="15.6" customHeight="1">
      <c r="A46" s="374" t="s">
        <v>296</v>
      </c>
      <c r="B46" s="414" t="s">
        <v>321</v>
      </c>
      <c r="C46" s="415"/>
      <c r="D46" s="415"/>
      <c r="E46" s="415"/>
      <c r="F46" s="415"/>
      <c r="G46" s="415"/>
      <c r="H46" s="415"/>
      <c r="I46" s="415"/>
      <c r="J46" s="415"/>
      <c r="K46" s="416"/>
      <c r="L46" s="414" t="s">
        <v>298</v>
      </c>
      <c r="M46" s="415"/>
      <c r="N46" s="415"/>
      <c r="O46" s="415"/>
      <c r="P46" s="415"/>
      <c r="Q46" s="415"/>
      <c r="R46" s="415"/>
      <c r="S46" s="415"/>
      <c r="T46" s="415"/>
      <c r="U46" s="415"/>
      <c r="V46" s="415"/>
      <c r="W46" s="415"/>
      <c r="X46" s="423"/>
      <c r="Y46" s="424" t="s">
        <v>301</v>
      </c>
      <c r="Z46" s="425"/>
      <c r="AA46" s="425"/>
      <c r="AB46" s="425"/>
      <c r="AC46" s="425"/>
      <c r="AD46" s="425"/>
      <c r="AE46" s="425"/>
      <c r="AF46" s="425"/>
      <c r="AG46" s="426"/>
      <c r="AH46" s="427" t="s">
        <v>322</v>
      </c>
      <c r="AI46" s="428"/>
      <c r="AJ46" s="428"/>
      <c r="AK46" s="428"/>
      <c r="AL46" s="428"/>
      <c r="AM46" s="428"/>
      <c r="AN46" s="428"/>
      <c r="AO46" s="428"/>
      <c r="AP46" s="428"/>
      <c r="AQ46" s="428"/>
      <c r="AR46" s="429"/>
      <c r="AV46" s="117"/>
      <c r="AW46" s="117"/>
      <c r="AX46" s="117"/>
    </row>
    <row r="47" spans="1:70" ht="15.6" customHeight="1">
      <c r="A47" s="375"/>
      <c r="B47" s="417"/>
      <c r="C47" s="418"/>
      <c r="D47" s="418"/>
      <c r="E47" s="418"/>
      <c r="F47" s="418"/>
      <c r="G47" s="418"/>
      <c r="H47" s="418"/>
      <c r="I47" s="418"/>
      <c r="J47" s="418"/>
      <c r="K47" s="419"/>
      <c r="L47" s="430" t="s">
        <v>323</v>
      </c>
      <c r="M47" s="431"/>
      <c r="N47" s="431"/>
      <c r="O47" s="431"/>
      <c r="P47" s="431"/>
      <c r="Q47" s="431"/>
      <c r="R47" s="431"/>
      <c r="S47" s="431"/>
      <c r="T47" s="431"/>
      <c r="U47" s="431"/>
      <c r="V47" s="431"/>
      <c r="W47" s="431"/>
      <c r="X47" s="432"/>
      <c r="Y47" s="436" t="s">
        <v>324</v>
      </c>
      <c r="Z47" s="437"/>
      <c r="AA47" s="437"/>
      <c r="AB47" s="437"/>
      <c r="AC47" s="437"/>
      <c r="AD47" s="437"/>
      <c r="AE47" s="437"/>
      <c r="AF47" s="437"/>
      <c r="AG47" s="438"/>
      <c r="AH47" s="368" t="s">
        <v>325</v>
      </c>
      <c r="AI47" s="369"/>
      <c r="AJ47" s="369"/>
      <c r="AK47" s="369"/>
      <c r="AL47" s="369"/>
      <c r="AM47" s="369"/>
      <c r="AN47" s="369"/>
      <c r="AO47" s="369"/>
      <c r="AP47" s="369"/>
      <c r="AQ47" s="369"/>
      <c r="AR47" s="370"/>
    </row>
    <row r="48" spans="1:70">
      <c r="A48" s="376"/>
      <c r="B48" s="420"/>
      <c r="C48" s="421"/>
      <c r="D48" s="421"/>
      <c r="E48" s="421"/>
      <c r="F48" s="421"/>
      <c r="G48" s="421"/>
      <c r="H48" s="421"/>
      <c r="I48" s="421"/>
      <c r="J48" s="421"/>
      <c r="K48" s="422"/>
      <c r="L48" s="433"/>
      <c r="M48" s="434"/>
      <c r="N48" s="434"/>
      <c r="O48" s="434"/>
      <c r="P48" s="434"/>
      <c r="Q48" s="434"/>
      <c r="R48" s="434"/>
      <c r="S48" s="434"/>
      <c r="T48" s="434"/>
      <c r="U48" s="434"/>
      <c r="V48" s="434"/>
      <c r="W48" s="434"/>
      <c r="X48" s="435"/>
      <c r="Y48" s="439"/>
      <c r="Z48" s="440"/>
      <c r="AA48" s="440"/>
      <c r="AB48" s="440"/>
      <c r="AC48" s="440"/>
      <c r="AD48" s="440"/>
      <c r="AE48" s="440"/>
      <c r="AF48" s="440"/>
      <c r="AG48" s="441"/>
      <c r="AH48" s="371"/>
      <c r="AI48" s="372"/>
      <c r="AJ48" s="372"/>
      <c r="AK48" s="372"/>
      <c r="AL48" s="372"/>
      <c r="AM48" s="372"/>
      <c r="AN48" s="372"/>
      <c r="AO48" s="372"/>
      <c r="AP48" s="372"/>
      <c r="AQ48" s="372"/>
      <c r="AR48" s="373"/>
    </row>
    <row r="49" spans="1:44" ht="20.100000000000001" customHeight="1">
      <c r="A49" s="374">
        <v>1</v>
      </c>
      <c r="B49" s="377" t="s">
        <v>326</v>
      </c>
      <c r="C49" s="378"/>
      <c r="D49" s="378"/>
      <c r="E49" s="378"/>
      <c r="F49" s="378"/>
      <c r="G49" s="378"/>
      <c r="H49" s="378"/>
      <c r="I49" s="378"/>
      <c r="J49" s="378"/>
      <c r="K49" s="379"/>
      <c r="L49" s="380"/>
      <c r="M49" s="381"/>
      <c r="N49" s="381"/>
      <c r="O49" s="381"/>
      <c r="P49" s="381"/>
      <c r="Q49" s="381"/>
      <c r="R49" s="381"/>
      <c r="S49" s="381"/>
      <c r="T49" s="381"/>
      <c r="U49" s="381"/>
      <c r="V49" s="381"/>
      <c r="W49" s="381"/>
      <c r="X49" s="382"/>
      <c r="Y49" s="155"/>
      <c r="Z49" s="155"/>
      <c r="AA49" s="155"/>
      <c r="AB49" s="155"/>
      <c r="AC49" s="155"/>
      <c r="AD49" s="155"/>
      <c r="AE49" s="155"/>
      <c r="AF49" s="155"/>
      <c r="AG49" s="155"/>
      <c r="AH49" s="167"/>
      <c r="AI49" s="168"/>
      <c r="AJ49" s="168"/>
      <c r="AK49" s="168"/>
      <c r="AL49" s="168"/>
      <c r="AM49" s="168"/>
      <c r="AN49" s="168"/>
      <c r="AO49" s="168"/>
      <c r="AP49" s="168"/>
      <c r="AQ49" s="168"/>
      <c r="AR49" s="169"/>
    </row>
    <row r="50" spans="1:44" ht="20.100000000000001" customHeight="1">
      <c r="A50" s="375"/>
      <c r="B50" s="389"/>
      <c r="C50" s="390"/>
      <c r="D50" s="390"/>
      <c r="E50" s="390"/>
      <c r="F50" s="390"/>
      <c r="G50" s="390"/>
      <c r="H50" s="390"/>
      <c r="I50" s="390"/>
      <c r="J50" s="390"/>
      <c r="K50" s="391"/>
      <c r="L50" s="383"/>
      <c r="M50" s="384"/>
      <c r="N50" s="384"/>
      <c r="O50" s="384"/>
      <c r="P50" s="384"/>
      <c r="Q50" s="384"/>
      <c r="R50" s="384"/>
      <c r="S50" s="384"/>
      <c r="T50" s="384"/>
      <c r="U50" s="384"/>
      <c r="V50" s="384"/>
      <c r="W50" s="384"/>
      <c r="X50" s="385"/>
      <c r="Y50" s="156"/>
      <c r="Z50" s="156"/>
      <c r="AA50" s="156"/>
      <c r="AB50" s="156"/>
      <c r="AC50" s="156"/>
      <c r="AD50" s="156"/>
      <c r="AE50" s="156"/>
      <c r="AF50" s="156"/>
      <c r="AG50" s="156"/>
      <c r="AH50" s="170"/>
      <c r="AI50" s="81"/>
      <c r="AJ50" s="81"/>
      <c r="AK50" s="81"/>
      <c r="AL50" s="81"/>
      <c r="AM50" s="81"/>
      <c r="AN50" s="81"/>
      <c r="AO50" s="81"/>
      <c r="AP50" s="81"/>
      <c r="AQ50" s="81"/>
      <c r="AR50" s="171"/>
    </row>
    <row r="51" spans="1:44" ht="20.100000000000001" customHeight="1">
      <c r="A51" s="375"/>
      <c r="B51" s="392"/>
      <c r="C51" s="393"/>
      <c r="D51" s="393"/>
      <c r="E51" s="393"/>
      <c r="F51" s="393"/>
      <c r="G51" s="393"/>
      <c r="H51" s="393"/>
      <c r="I51" s="393"/>
      <c r="J51" s="393"/>
      <c r="K51" s="394"/>
      <c r="L51" s="383"/>
      <c r="M51" s="384"/>
      <c r="N51" s="384"/>
      <c r="O51" s="384"/>
      <c r="P51" s="384"/>
      <c r="Q51" s="384"/>
      <c r="R51" s="384"/>
      <c r="S51" s="384"/>
      <c r="T51" s="384"/>
      <c r="U51" s="384"/>
      <c r="V51" s="384"/>
      <c r="W51" s="384"/>
      <c r="X51" s="385"/>
      <c r="Y51" s="156"/>
      <c r="Z51" s="156"/>
      <c r="AA51" s="156"/>
      <c r="AB51" s="156"/>
      <c r="AC51" s="156"/>
      <c r="AD51" s="156"/>
      <c r="AE51" s="156"/>
      <c r="AF51" s="156"/>
      <c r="AG51" s="156"/>
      <c r="AH51" s="170"/>
      <c r="AI51" s="81"/>
      <c r="AJ51" s="81"/>
      <c r="AK51" s="81"/>
      <c r="AL51" s="81"/>
      <c r="AM51" s="81"/>
      <c r="AN51" s="81"/>
      <c r="AO51" s="81"/>
      <c r="AP51" s="81"/>
      <c r="AQ51" s="81"/>
      <c r="AR51" s="171"/>
    </row>
    <row r="52" spans="1:44" ht="20.100000000000001" customHeight="1">
      <c r="A52" s="375"/>
      <c r="B52" s="392"/>
      <c r="C52" s="393"/>
      <c r="D52" s="393"/>
      <c r="E52" s="393"/>
      <c r="F52" s="393"/>
      <c r="G52" s="393"/>
      <c r="H52" s="393"/>
      <c r="I52" s="393"/>
      <c r="J52" s="393"/>
      <c r="K52" s="394"/>
      <c r="L52" s="383"/>
      <c r="M52" s="384"/>
      <c r="N52" s="384"/>
      <c r="O52" s="384"/>
      <c r="P52" s="384"/>
      <c r="Q52" s="384"/>
      <c r="R52" s="384"/>
      <c r="S52" s="384"/>
      <c r="T52" s="384"/>
      <c r="U52" s="384"/>
      <c r="V52" s="384"/>
      <c r="W52" s="384"/>
      <c r="X52" s="385"/>
      <c r="Y52" s="156"/>
      <c r="Z52" s="156"/>
      <c r="AA52" s="156"/>
      <c r="AB52" s="156"/>
      <c r="AC52" s="156"/>
      <c r="AD52" s="156"/>
      <c r="AE52" s="156"/>
      <c r="AF52" s="156"/>
      <c r="AG52" s="156"/>
      <c r="AH52" s="170"/>
      <c r="AI52" s="81"/>
      <c r="AJ52" s="81"/>
      <c r="AK52" s="81"/>
      <c r="AL52" s="81"/>
      <c r="AM52" s="81"/>
      <c r="AN52" s="81"/>
      <c r="AO52" s="81"/>
      <c r="AP52" s="81"/>
      <c r="AQ52" s="81"/>
      <c r="AR52" s="171"/>
    </row>
    <row r="53" spans="1:44" ht="20.100000000000001" customHeight="1">
      <c r="A53" s="375"/>
      <c r="B53" s="392"/>
      <c r="C53" s="393"/>
      <c r="D53" s="393"/>
      <c r="E53" s="393"/>
      <c r="F53" s="393"/>
      <c r="G53" s="393"/>
      <c r="H53" s="393"/>
      <c r="I53" s="393"/>
      <c r="J53" s="393"/>
      <c r="K53" s="394"/>
      <c r="L53" s="383"/>
      <c r="M53" s="384"/>
      <c r="N53" s="384"/>
      <c r="O53" s="384"/>
      <c r="P53" s="384"/>
      <c r="Q53" s="384"/>
      <c r="R53" s="384"/>
      <c r="S53" s="384"/>
      <c r="T53" s="384"/>
      <c r="U53" s="384"/>
      <c r="V53" s="384"/>
      <c r="W53" s="384"/>
      <c r="X53" s="385"/>
      <c r="Y53" s="156"/>
      <c r="Z53" s="156"/>
      <c r="AA53" s="156"/>
      <c r="AB53" s="156"/>
      <c r="AC53" s="156"/>
      <c r="AD53" s="156"/>
      <c r="AE53" s="156"/>
      <c r="AF53" s="156"/>
      <c r="AG53" s="156"/>
      <c r="AH53" s="170"/>
      <c r="AI53" s="81"/>
      <c r="AJ53" s="81"/>
      <c r="AK53" s="81"/>
      <c r="AL53" s="81"/>
      <c r="AM53" s="81"/>
      <c r="AN53" s="81"/>
      <c r="AO53" s="81"/>
      <c r="AP53" s="81"/>
      <c r="AQ53" s="81"/>
      <c r="AR53" s="171"/>
    </row>
    <row r="54" spans="1:44" ht="20.100000000000001" customHeight="1">
      <c r="A54" s="375"/>
      <c r="B54" s="392"/>
      <c r="C54" s="393"/>
      <c r="D54" s="393"/>
      <c r="E54" s="393"/>
      <c r="F54" s="393"/>
      <c r="G54" s="393"/>
      <c r="H54" s="393"/>
      <c r="I54" s="393"/>
      <c r="J54" s="393"/>
      <c r="K54" s="394"/>
      <c r="L54" s="383"/>
      <c r="M54" s="384"/>
      <c r="N54" s="384"/>
      <c r="O54" s="384"/>
      <c r="P54" s="384"/>
      <c r="Q54" s="384"/>
      <c r="R54" s="384"/>
      <c r="S54" s="384"/>
      <c r="T54" s="384"/>
      <c r="U54" s="384"/>
      <c r="V54" s="384"/>
      <c r="W54" s="384"/>
      <c r="X54" s="385"/>
      <c r="Y54" s="156"/>
      <c r="Z54" s="156"/>
      <c r="AA54" s="156"/>
      <c r="AB54" s="156"/>
      <c r="AC54" s="156"/>
      <c r="AD54" s="156"/>
      <c r="AE54" s="156"/>
      <c r="AF54" s="156"/>
      <c r="AG54" s="156"/>
      <c r="AH54" s="170"/>
      <c r="AI54" s="81"/>
      <c r="AJ54" s="81"/>
      <c r="AK54" s="81"/>
      <c r="AL54" s="81"/>
      <c r="AM54" s="81"/>
      <c r="AN54" s="81"/>
      <c r="AO54" s="81"/>
      <c r="AP54" s="81"/>
      <c r="AQ54" s="81"/>
      <c r="AR54" s="171"/>
    </row>
    <row r="55" spans="1:44" ht="20.100000000000001" customHeight="1">
      <c r="A55" s="376"/>
      <c r="B55" s="395"/>
      <c r="C55" s="396"/>
      <c r="D55" s="396"/>
      <c r="E55" s="396"/>
      <c r="F55" s="396"/>
      <c r="G55" s="396"/>
      <c r="H55" s="396"/>
      <c r="I55" s="396"/>
      <c r="J55" s="396"/>
      <c r="K55" s="397"/>
      <c r="L55" s="386"/>
      <c r="M55" s="387"/>
      <c r="N55" s="387"/>
      <c r="O55" s="387"/>
      <c r="P55" s="387"/>
      <c r="Q55" s="387"/>
      <c r="R55" s="387"/>
      <c r="S55" s="387"/>
      <c r="T55" s="387"/>
      <c r="U55" s="387"/>
      <c r="V55" s="387"/>
      <c r="W55" s="387"/>
      <c r="X55" s="388"/>
      <c r="Y55" s="157"/>
      <c r="Z55" s="157"/>
      <c r="AA55" s="157"/>
      <c r="AB55" s="157"/>
      <c r="AC55" s="157"/>
      <c r="AD55" s="157"/>
      <c r="AE55" s="157"/>
      <c r="AF55" s="157"/>
      <c r="AG55" s="157"/>
      <c r="AH55" s="172"/>
      <c r="AI55" s="173"/>
      <c r="AJ55" s="173"/>
      <c r="AK55" s="173"/>
      <c r="AL55" s="173"/>
      <c r="AM55" s="173"/>
      <c r="AN55" s="173"/>
      <c r="AO55" s="173"/>
      <c r="AP55" s="173"/>
      <c r="AQ55" s="173"/>
      <c r="AR55" s="174"/>
    </row>
    <row r="56" spans="1:44" ht="20.100000000000001" customHeight="1">
      <c r="A56" s="374">
        <v>2</v>
      </c>
      <c r="B56" s="377" t="s">
        <v>327</v>
      </c>
      <c r="C56" s="378"/>
      <c r="D56" s="378"/>
      <c r="E56" s="378"/>
      <c r="F56" s="378"/>
      <c r="G56" s="378"/>
      <c r="H56" s="378"/>
      <c r="I56" s="378"/>
      <c r="J56" s="378"/>
      <c r="K56" s="379"/>
      <c r="L56" s="380"/>
      <c r="M56" s="381"/>
      <c r="N56" s="381"/>
      <c r="O56" s="381"/>
      <c r="P56" s="381"/>
      <c r="Q56" s="381"/>
      <c r="R56" s="381"/>
      <c r="S56" s="381"/>
      <c r="T56" s="381"/>
      <c r="U56" s="381"/>
      <c r="V56" s="381"/>
      <c r="W56" s="381"/>
      <c r="X56" s="382"/>
      <c r="Y56" s="155"/>
      <c r="Z56" s="155"/>
      <c r="AA56" s="155"/>
      <c r="AB56" s="155"/>
      <c r="AC56" s="155"/>
      <c r="AD56" s="155"/>
      <c r="AE56" s="155"/>
      <c r="AF56" s="155"/>
      <c r="AG56" s="155"/>
      <c r="AH56" s="167"/>
      <c r="AI56" s="168"/>
      <c r="AJ56" s="168"/>
      <c r="AK56" s="168"/>
      <c r="AL56" s="168"/>
      <c r="AM56" s="168"/>
      <c r="AN56" s="168"/>
      <c r="AO56" s="168"/>
      <c r="AP56" s="168"/>
      <c r="AQ56" s="168"/>
      <c r="AR56" s="169"/>
    </row>
    <row r="57" spans="1:44" ht="20.100000000000001" customHeight="1">
      <c r="A57" s="375"/>
      <c r="B57" s="389"/>
      <c r="C57" s="390"/>
      <c r="D57" s="390"/>
      <c r="E57" s="390"/>
      <c r="F57" s="390"/>
      <c r="G57" s="390"/>
      <c r="H57" s="390"/>
      <c r="I57" s="390"/>
      <c r="J57" s="390"/>
      <c r="K57" s="391"/>
      <c r="L57" s="383"/>
      <c r="M57" s="384"/>
      <c r="N57" s="384"/>
      <c r="O57" s="384"/>
      <c r="P57" s="384"/>
      <c r="Q57" s="384"/>
      <c r="R57" s="384"/>
      <c r="S57" s="384"/>
      <c r="T57" s="384"/>
      <c r="U57" s="384"/>
      <c r="V57" s="384"/>
      <c r="W57" s="384"/>
      <c r="X57" s="385"/>
      <c r="Y57" s="156"/>
      <c r="Z57" s="156"/>
      <c r="AA57" s="156"/>
      <c r="AB57" s="156"/>
      <c r="AC57" s="156"/>
      <c r="AD57" s="156"/>
      <c r="AE57" s="156"/>
      <c r="AF57" s="156"/>
      <c r="AG57" s="156"/>
      <c r="AH57" s="170"/>
      <c r="AI57" s="81"/>
      <c r="AJ57" s="81"/>
      <c r="AK57" s="81"/>
      <c r="AL57" s="81"/>
      <c r="AM57" s="81"/>
      <c r="AN57" s="81"/>
      <c r="AO57" s="81"/>
      <c r="AP57" s="81"/>
      <c r="AQ57" s="81"/>
      <c r="AR57" s="171"/>
    </row>
    <row r="58" spans="1:44" ht="20.100000000000001" customHeight="1">
      <c r="A58" s="375"/>
      <c r="B58" s="392"/>
      <c r="C58" s="393"/>
      <c r="D58" s="393"/>
      <c r="E58" s="393"/>
      <c r="F58" s="393"/>
      <c r="G58" s="393"/>
      <c r="H58" s="393"/>
      <c r="I58" s="393"/>
      <c r="J58" s="393"/>
      <c r="K58" s="394"/>
      <c r="L58" s="383"/>
      <c r="M58" s="384"/>
      <c r="N58" s="384"/>
      <c r="O58" s="384"/>
      <c r="P58" s="384"/>
      <c r="Q58" s="384"/>
      <c r="R58" s="384"/>
      <c r="S58" s="384"/>
      <c r="T58" s="384"/>
      <c r="U58" s="384"/>
      <c r="V58" s="384"/>
      <c r="W58" s="384"/>
      <c r="X58" s="385"/>
      <c r="Y58" s="156"/>
      <c r="Z58" s="156"/>
      <c r="AA58" s="156"/>
      <c r="AB58" s="156"/>
      <c r="AC58" s="156"/>
      <c r="AD58" s="156"/>
      <c r="AE58" s="156"/>
      <c r="AF58" s="156"/>
      <c r="AG58" s="156"/>
      <c r="AH58" s="170"/>
      <c r="AI58" s="81"/>
      <c r="AJ58" s="81"/>
      <c r="AK58" s="81"/>
      <c r="AL58" s="81"/>
      <c r="AM58" s="81"/>
      <c r="AN58" s="81"/>
      <c r="AO58" s="81"/>
      <c r="AP58" s="81"/>
      <c r="AQ58" s="81"/>
      <c r="AR58" s="171"/>
    </row>
    <row r="59" spans="1:44" ht="20.100000000000001" customHeight="1">
      <c r="A59" s="375"/>
      <c r="B59" s="392"/>
      <c r="C59" s="393"/>
      <c r="D59" s="393"/>
      <c r="E59" s="393"/>
      <c r="F59" s="393"/>
      <c r="G59" s="393"/>
      <c r="H59" s="393"/>
      <c r="I59" s="393"/>
      <c r="J59" s="393"/>
      <c r="K59" s="394"/>
      <c r="L59" s="383"/>
      <c r="M59" s="384"/>
      <c r="N59" s="384"/>
      <c r="O59" s="384"/>
      <c r="P59" s="384"/>
      <c r="Q59" s="384"/>
      <c r="R59" s="384"/>
      <c r="S59" s="384"/>
      <c r="T59" s="384"/>
      <c r="U59" s="384"/>
      <c r="V59" s="384"/>
      <c r="W59" s="384"/>
      <c r="X59" s="385"/>
      <c r="Y59" s="156"/>
      <c r="Z59" s="156"/>
      <c r="AA59" s="156"/>
      <c r="AB59" s="156"/>
      <c r="AC59" s="156"/>
      <c r="AD59" s="156"/>
      <c r="AE59" s="156"/>
      <c r="AF59" s="156"/>
      <c r="AG59" s="156"/>
      <c r="AH59" s="170"/>
      <c r="AI59" s="81"/>
      <c r="AJ59" s="81"/>
      <c r="AK59" s="81"/>
      <c r="AL59" s="81"/>
      <c r="AM59" s="81"/>
      <c r="AN59" s="81"/>
      <c r="AO59" s="81"/>
      <c r="AP59" s="81"/>
      <c r="AQ59" s="81"/>
      <c r="AR59" s="171"/>
    </row>
    <row r="60" spans="1:44" ht="20.100000000000001" customHeight="1">
      <c r="A60" s="375"/>
      <c r="B60" s="392"/>
      <c r="C60" s="393"/>
      <c r="D60" s="393"/>
      <c r="E60" s="393"/>
      <c r="F60" s="393"/>
      <c r="G60" s="393"/>
      <c r="H60" s="393"/>
      <c r="I60" s="393"/>
      <c r="J60" s="393"/>
      <c r="K60" s="394"/>
      <c r="L60" s="383"/>
      <c r="M60" s="384"/>
      <c r="N60" s="384"/>
      <c r="O60" s="384"/>
      <c r="P60" s="384"/>
      <c r="Q60" s="384"/>
      <c r="R60" s="384"/>
      <c r="S60" s="384"/>
      <c r="T60" s="384"/>
      <c r="U60" s="384"/>
      <c r="V60" s="384"/>
      <c r="W60" s="384"/>
      <c r="X60" s="385"/>
      <c r="Y60" s="156"/>
      <c r="Z60" s="156"/>
      <c r="AA60" s="156"/>
      <c r="AB60" s="156"/>
      <c r="AC60" s="156"/>
      <c r="AD60" s="156"/>
      <c r="AE60" s="156"/>
      <c r="AF60" s="156"/>
      <c r="AG60" s="156"/>
      <c r="AH60" s="170"/>
      <c r="AI60" s="81"/>
      <c r="AJ60" s="81"/>
      <c r="AK60" s="81"/>
      <c r="AL60" s="81"/>
      <c r="AM60" s="81"/>
      <c r="AN60" s="81"/>
      <c r="AO60" s="81"/>
      <c r="AP60" s="81"/>
      <c r="AQ60" s="81"/>
      <c r="AR60" s="171"/>
    </row>
    <row r="61" spans="1:44" ht="20.100000000000001" customHeight="1">
      <c r="A61" s="375"/>
      <c r="B61" s="392"/>
      <c r="C61" s="393"/>
      <c r="D61" s="393"/>
      <c r="E61" s="393"/>
      <c r="F61" s="393"/>
      <c r="G61" s="393"/>
      <c r="H61" s="393"/>
      <c r="I61" s="393"/>
      <c r="J61" s="393"/>
      <c r="K61" s="394"/>
      <c r="L61" s="383"/>
      <c r="M61" s="384"/>
      <c r="N61" s="384"/>
      <c r="O61" s="384"/>
      <c r="P61" s="384"/>
      <c r="Q61" s="384"/>
      <c r="R61" s="384"/>
      <c r="S61" s="384"/>
      <c r="T61" s="384"/>
      <c r="U61" s="384"/>
      <c r="V61" s="384"/>
      <c r="W61" s="384"/>
      <c r="X61" s="385"/>
      <c r="Y61" s="156"/>
      <c r="Z61" s="156"/>
      <c r="AA61" s="156"/>
      <c r="AB61" s="156"/>
      <c r="AC61" s="156"/>
      <c r="AD61" s="156"/>
      <c r="AE61" s="156"/>
      <c r="AF61" s="156"/>
      <c r="AG61" s="156"/>
      <c r="AH61" s="170"/>
      <c r="AI61" s="81"/>
      <c r="AJ61" s="81"/>
      <c r="AK61" s="81"/>
      <c r="AL61" s="81"/>
      <c r="AM61" s="81"/>
      <c r="AN61" s="81"/>
      <c r="AO61" s="81"/>
      <c r="AP61" s="81"/>
      <c r="AQ61" s="81"/>
      <c r="AR61" s="171"/>
    </row>
    <row r="62" spans="1:44" ht="20.100000000000001" customHeight="1" thickBot="1">
      <c r="A62" s="398"/>
      <c r="B62" s="402"/>
      <c r="C62" s="403"/>
      <c r="D62" s="403"/>
      <c r="E62" s="403"/>
      <c r="F62" s="403"/>
      <c r="G62" s="403"/>
      <c r="H62" s="403"/>
      <c r="I62" s="403"/>
      <c r="J62" s="403"/>
      <c r="K62" s="404"/>
      <c r="L62" s="399"/>
      <c r="M62" s="400"/>
      <c r="N62" s="400"/>
      <c r="O62" s="400"/>
      <c r="P62" s="400"/>
      <c r="Q62" s="400"/>
      <c r="R62" s="400"/>
      <c r="S62" s="400"/>
      <c r="T62" s="400"/>
      <c r="U62" s="400"/>
      <c r="V62" s="400"/>
      <c r="W62" s="400"/>
      <c r="X62" s="401"/>
      <c r="Y62" s="158"/>
      <c r="Z62" s="158"/>
      <c r="AA62" s="158"/>
      <c r="AB62" s="158"/>
      <c r="AC62" s="158"/>
      <c r="AD62" s="158"/>
      <c r="AE62" s="158"/>
      <c r="AF62" s="158"/>
      <c r="AG62" s="158"/>
      <c r="AH62" s="175"/>
      <c r="AI62" s="176"/>
      <c r="AJ62" s="176"/>
      <c r="AK62" s="176"/>
      <c r="AL62" s="176"/>
      <c r="AM62" s="176"/>
      <c r="AN62" s="176"/>
      <c r="AO62" s="176"/>
      <c r="AP62" s="176"/>
      <c r="AQ62" s="176"/>
      <c r="AR62" s="177"/>
    </row>
    <row r="63" spans="1:44" ht="20.100000000000001" customHeight="1"/>
  </sheetData>
  <mergeCells count="17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A6:A8"/>
    <mergeCell ref="B6:G6"/>
    <mergeCell ref="H6:P6"/>
    <mergeCell ref="Q6:Y6"/>
    <mergeCell ref="Z6:Z8"/>
    <mergeCell ref="AA6:AH6"/>
    <mergeCell ref="AI6:AP6"/>
    <mergeCell ref="B7:G8"/>
    <mergeCell ref="H7:P8"/>
    <mergeCell ref="Q7:Y8"/>
    <mergeCell ref="AA7:AH8"/>
    <mergeCell ref="AQ9:AR9"/>
    <mergeCell ref="B10:G12"/>
    <mergeCell ref="R10:Y10"/>
    <mergeCell ref="AQ10:AR12"/>
    <mergeCell ref="R11:Y11"/>
    <mergeCell ref="R12:Y12"/>
    <mergeCell ref="AI7:AP8"/>
    <mergeCell ref="A9:A16"/>
    <mergeCell ref="B9:G9"/>
    <mergeCell ref="H9:P16"/>
    <mergeCell ref="R9:Y9"/>
    <mergeCell ref="Z9:Z16"/>
    <mergeCell ref="AA9:AH16"/>
    <mergeCell ref="AI9:AP16"/>
    <mergeCell ref="B13:G13"/>
    <mergeCell ref="R13:Y13"/>
    <mergeCell ref="A17:A24"/>
    <mergeCell ref="B17:G17"/>
    <mergeCell ref="H17:P24"/>
    <mergeCell ref="R17:Y17"/>
    <mergeCell ref="Z17:Z24"/>
    <mergeCell ref="AA17:AH24"/>
    <mergeCell ref="R22:Y22"/>
    <mergeCell ref="AQ13:AR13"/>
    <mergeCell ref="B14:G16"/>
    <mergeCell ref="R14:Y14"/>
    <mergeCell ref="AQ14:AR16"/>
    <mergeCell ref="R15:Y15"/>
    <mergeCell ref="R16:Y16"/>
    <mergeCell ref="B18:G20"/>
    <mergeCell ref="R18:Y18"/>
    <mergeCell ref="AQ18:AR20"/>
    <mergeCell ref="R20:Y20"/>
    <mergeCell ref="B21:G21"/>
    <mergeCell ref="R21:Y21"/>
    <mergeCell ref="B22:G24"/>
    <mergeCell ref="B30:G32"/>
    <mergeCell ref="R30:Y30"/>
    <mergeCell ref="AQ30:AR32"/>
    <mergeCell ref="R31:Y31"/>
    <mergeCell ref="R32:Y32"/>
    <mergeCell ref="A33:A40"/>
    <mergeCell ref="B33:G33"/>
    <mergeCell ref="H33:P40"/>
    <mergeCell ref="R33:Y33"/>
    <mergeCell ref="Z33:Z40"/>
    <mergeCell ref="A25:A32"/>
    <mergeCell ref="B38:G40"/>
    <mergeCell ref="R38:Y38"/>
    <mergeCell ref="AQ38:AR40"/>
    <mergeCell ref="R39:Y39"/>
    <mergeCell ref="R40:Y40"/>
    <mergeCell ref="B26:G28"/>
    <mergeCell ref="R26:Y26"/>
    <mergeCell ref="AQ26:AR28"/>
    <mergeCell ref="R28:Y28"/>
    <mergeCell ref="B29:G29"/>
    <mergeCell ref="R29:Y29"/>
    <mergeCell ref="AQ29:AR29"/>
    <mergeCell ref="B25:G25"/>
    <mergeCell ref="H25:P32"/>
    <mergeCell ref="R25:Y25"/>
    <mergeCell ref="Z25:Z32"/>
    <mergeCell ref="AA25:AH32"/>
    <mergeCell ref="AI25:AP32"/>
    <mergeCell ref="AQ41:AR41"/>
    <mergeCell ref="AA33:AH40"/>
    <mergeCell ref="AI33:AP40"/>
    <mergeCell ref="AQ33:AR33"/>
    <mergeCell ref="Y47:AG48"/>
    <mergeCell ref="AH47:AR48"/>
    <mergeCell ref="A43:E43"/>
    <mergeCell ref="F43:K43"/>
    <mergeCell ref="L43:AG43"/>
    <mergeCell ref="A45:X45"/>
    <mergeCell ref="Y45:AG45"/>
    <mergeCell ref="AH45:AR45"/>
    <mergeCell ref="B34:G36"/>
    <mergeCell ref="R34:Y34"/>
    <mergeCell ref="AQ34:AR36"/>
    <mergeCell ref="R36:Y36"/>
    <mergeCell ref="B37:G37"/>
    <mergeCell ref="R37:Y37"/>
    <mergeCell ref="AQ37:AR37"/>
    <mergeCell ref="Y46:AG46"/>
    <mergeCell ref="AH46:AR46"/>
    <mergeCell ref="A49:A55"/>
    <mergeCell ref="B49:K49"/>
    <mergeCell ref="L49:X55"/>
    <mergeCell ref="B50:K55"/>
    <mergeCell ref="A56:A62"/>
    <mergeCell ref="B56:K56"/>
    <mergeCell ref="L56:X62"/>
    <mergeCell ref="B57:K62"/>
    <mergeCell ref="A46:A48"/>
    <mergeCell ref="B46:K48"/>
    <mergeCell ref="L46:X46"/>
    <mergeCell ref="L47:X48"/>
    <mergeCell ref="AW10:BE10"/>
    <mergeCell ref="BF10:BG10"/>
    <mergeCell ref="BH10:BI10"/>
    <mergeCell ref="BJ10:BK10"/>
    <mergeCell ref="AW11:BE11"/>
    <mergeCell ref="BF11:BG11"/>
    <mergeCell ref="BH11:BI11"/>
    <mergeCell ref="BJ11:BK11"/>
    <mergeCell ref="AU5:BC6"/>
    <mergeCell ref="BF8:BK8"/>
    <mergeCell ref="AW9:BE9"/>
    <mergeCell ref="BF9:BG9"/>
    <mergeCell ref="BH9:BI9"/>
    <mergeCell ref="BJ9:BK9"/>
    <mergeCell ref="AW14:BE14"/>
    <mergeCell ref="BF14:BG14"/>
    <mergeCell ref="BH14:BI14"/>
    <mergeCell ref="BJ14:BK14"/>
    <mergeCell ref="AW15:BE15"/>
    <mergeCell ref="BF15:BG15"/>
    <mergeCell ref="BH15:BI15"/>
    <mergeCell ref="BJ15:BK15"/>
    <mergeCell ref="AW12:BE12"/>
    <mergeCell ref="BF12:BG12"/>
    <mergeCell ref="BH12:BI12"/>
    <mergeCell ref="BJ12:BK12"/>
    <mergeCell ref="AW13:BE13"/>
    <mergeCell ref="BF13:BG13"/>
    <mergeCell ref="BH13:BI13"/>
    <mergeCell ref="BJ13:BK13"/>
    <mergeCell ref="AV21:AX22"/>
    <mergeCell ref="AY21:BG22"/>
    <mergeCell ref="BH21:BO22"/>
    <mergeCell ref="R19:Y19"/>
    <mergeCell ref="R27:Y27"/>
    <mergeCell ref="R35:Y35"/>
    <mergeCell ref="AV18:AX18"/>
    <mergeCell ref="AY18:BG18"/>
    <mergeCell ref="BH18:BO18"/>
    <mergeCell ref="AV19:AX20"/>
    <mergeCell ref="AY19:BG20"/>
    <mergeCell ref="BH19:BO20"/>
    <mergeCell ref="AQ25:AR25"/>
    <mergeCell ref="AQ21:AR21"/>
    <mergeCell ref="AQ22:AR24"/>
    <mergeCell ref="R23:Y23"/>
    <mergeCell ref="R24:Y24"/>
    <mergeCell ref="AI17:AP24"/>
    <mergeCell ref="AQ17:AR17"/>
  </mergeCells>
  <phoneticPr fontId="26"/>
  <dataValidations count="2">
    <dataValidation type="list" allowBlank="1" showInputMessage="1" showErrorMessage="1" sqref="WIF983052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8:FN65548 PC65548:PJ65548 YY65548:ZF65548 AIU65548:AJB65548 ASQ65548:ASX65548 BCM65548:BCT65548 BMI65548:BMP65548 BWE65548:BWL65548 CGA65548:CGH65548 CPW65548:CQD65548 CZS65548:CZZ65548 DJO65548:DJV65548 DTK65548:DTR65548 EDG65548:EDN65548 ENC65548:ENJ65548 EWY65548:EXF65548 FGU65548:FHB65548 FQQ65548:FQX65548 GAM65548:GAT65548 GKI65548:GKP65548 GUE65548:GUL65548 HEA65548:HEH65548 HNW65548:HOD65548 HXS65548:HXZ65548 IHO65548:IHV65548 IRK65548:IRR65548 JBG65548:JBN65548 JLC65548:JLJ65548 JUY65548:JVF65548 KEU65548:KFB65548 KOQ65548:KOX65548 KYM65548:KYT65548 LII65548:LIP65548 LSE65548:LSL65548 MCA65548:MCH65548 MLW65548:MMD65548 MVS65548:MVZ65548 NFO65548:NFV65548 NPK65548:NPR65548 NZG65548:NZN65548 OJC65548:OJJ65548 OSY65548:OTF65548 PCU65548:PDB65548 PMQ65548:PMX65548 PWM65548:PWT65548 QGI65548:QGP65548 QQE65548:QQL65548 RAA65548:RAH65548 RJW65548:RKD65548 RTS65548:RTZ65548 SDO65548:SDV65548 SNK65548:SNR65548 SXG65548:SXN65548 THC65548:THJ65548 TQY65548:TRF65548 UAU65548:UBB65548 UKQ65548:UKX65548 UUM65548:UUT65548 VEI65548:VEP65548 VOE65548:VOL65548 VYA65548:VYH65548 WHW65548:WID65548 WRS65548:WRZ65548 FG131084:FN131084 PC131084:PJ131084 YY131084:ZF131084 AIU131084:AJB131084 ASQ131084:ASX131084 BCM131084:BCT131084 BMI131084:BMP131084 BWE131084:BWL131084 CGA131084:CGH131084 CPW131084:CQD131084 CZS131084:CZZ131084 DJO131084:DJV131084 DTK131084:DTR131084 EDG131084:EDN131084 ENC131084:ENJ131084 EWY131084:EXF131084 FGU131084:FHB131084 FQQ131084:FQX131084 GAM131084:GAT131084 GKI131084:GKP131084 GUE131084:GUL131084 HEA131084:HEH131084 HNW131084:HOD131084 HXS131084:HXZ131084 IHO131084:IHV131084 IRK131084:IRR131084 JBG131084:JBN131084 JLC131084:JLJ131084 JUY131084:JVF131084 KEU131084:KFB131084 KOQ131084:KOX131084 KYM131084:KYT131084 LII131084:LIP131084 LSE131084:LSL131084 MCA131084:MCH131084 MLW131084:MMD131084 MVS131084:MVZ131084 NFO131084:NFV131084 NPK131084:NPR131084 NZG131084:NZN131084 OJC131084:OJJ131084 OSY131084:OTF131084 PCU131084:PDB131084 PMQ131084:PMX131084 PWM131084:PWT131084 QGI131084:QGP131084 QQE131084:QQL131084 RAA131084:RAH131084 RJW131084:RKD131084 RTS131084:RTZ131084 SDO131084:SDV131084 SNK131084:SNR131084 SXG131084:SXN131084 THC131084:THJ131084 TQY131084:TRF131084 UAU131084:UBB131084 UKQ131084:UKX131084 UUM131084:UUT131084 VEI131084:VEP131084 VOE131084:VOL131084 VYA131084:VYH131084 WHW131084:WID131084 WRS131084:WRZ131084 FG196620:FN196620 PC196620:PJ196620 YY196620:ZF196620 AIU196620:AJB196620 ASQ196620:ASX196620 BCM196620:BCT196620 BMI196620:BMP196620 BWE196620:BWL196620 CGA196620:CGH196620 CPW196620:CQD196620 CZS196620:CZZ196620 DJO196620:DJV196620 DTK196620:DTR196620 EDG196620:EDN196620 ENC196620:ENJ196620 EWY196620:EXF196620 FGU196620:FHB196620 FQQ196620:FQX196620 GAM196620:GAT196620 GKI196620:GKP196620 GUE196620:GUL196620 HEA196620:HEH196620 HNW196620:HOD196620 HXS196620:HXZ196620 IHO196620:IHV196620 IRK196620:IRR196620 JBG196620:JBN196620 JLC196620:JLJ196620 JUY196620:JVF196620 KEU196620:KFB196620 KOQ196620:KOX196620 KYM196620:KYT196620 LII196620:LIP196620 LSE196620:LSL196620 MCA196620:MCH196620 MLW196620:MMD196620 MVS196620:MVZ196620 NFO196620:NFV196620 NPK196620:NPR196620 NZG196620:NZN196620 OJC196620:OJJ196620 OSY196620:OTF196620 PCU196620:PDB196620 PMQ196620:PMX196620 PWM196620:PWT196620 QGI196620:QGP196620 QQE196620:QQL196620 RAA196620:RAH196620 RJW196620:RKD196620 RTS196620:RTZ196620 SDO196620:SDV196620 SNK196620:SNR196620 SXG196620:SXN196620 THC196620:THJ196620 TQY196620:TRF196620 UAU196620:UBB196620 UKQ196620:UKX196620 UUM196620:UUT196620 VEI196620:VEP196620 VOE196620:VOL196620 VYA196620:VYH196620 WHW196620:WID196620 WRS196620:WRZ196620 FG262156:FN262156 PC262156:PJ262156 YY262156:ZF262156 AIU262156:AJB262156 ASQ262156:ASX262156 BCM262156:BCT262156 BMI262156:BMP262156 BWE262156:BWL262156 CGA262156:CGH262156 CPW262156:CQD262156 CZS262156:CZZ262156 DJO262156:DJV262156 DTK262156:DTR262156 EDG262156:EDN262156 ENC262156:ENJ262156 EWY262156:EXF262156 FGU262156:FHB262156 FQQ262156:FQX262156 GAM262156:GAT262156 GKI262156:GKP262156 GUE262156:GUL262156 HEA262156:HEH262156 HNW262156:HOD262156 HXS262156:HXZ262156 IHO262156:IHV262156 IRK262156:IRR262156 JBG262156:JBN262156 JLC262156:JLJ262156 JUY262156:JVF262156 KEU262156:KFB262156 KOQ262156:KOX262156 KYM262156:KYT262156 LII262156:LIP262156 LSE262156:LSL262156 MCA262156:MCH262156 MLW262156:MMD262156 MVS262156:MVZ262156 NFO262156:NFV262156 NPK262156:NPR262156 NZG262156:NZN262156 OJC262156:OJJ262156 OSY262156:OTF262156 PCU262156:PDB262156 PMQ262156:PMX262156 PWM262156:PWT262156 QGI262156:QGP262156 QQE262156:QQL262156 RAA262156:RAH262156 RJW262156:RKD262156 RTS262156:RTZ262156 SDO262156:SDV262156 SNK262156:SNR262156 SXG262156:SXN262156 THC262156:THJ262156 TQY262156:TRF262156 UAU262156:UBB262156 UKQ262156:UKX262156 UUM262156:UUT262156 VEI262156:VEP262156 VOE262156:VOL262156 VYA262156:VYH262156 WHW262156:WID262156 WRS262156:WRZ262156 FG327692:FN327692 PC327692:PJ327692 YY327692:ZF327692 AIU327692:AJB327692 ASQ327692:ASX327692 BCM327692:BCT327692 BMI327692:BMP327692 BWE327692:BWL327692 CGA327692:CGH327692 CPW327692:CQD327692 CZS327692:CZZ327692 DJO327692:DJV327692 DTK327692:DTR327692 EDG327692:EDN327692 ENC327692:ENJ327692 EWY327692:EXF327692 FGU327692:FHB327692 FQQ327692:FQX327692 GAM327692:GAT327692 GKI327692:GKP327692 GUE327692:GUL327692 HEA327692:HEH327692 HNW327692:HOD327692 HXS327692:HXZ327692 IHO327692:IHV327692 IRK327692:IRR327692 JBG327692:JBN327692 JLC327692:JLJ327692 JUY327692:JVF327692 KEU327692:KFB327692 KOQ327692:KOX327692 KYM327692:KYT327692 LII327692:LIP327692 LSE327692:LSL327692 MCA327692:MCH327692 MLW327692:MMD327692 MVS327692:MVZ327692 NFO327692:NFV327692 NPK327692:NPR327692 NZG327692:NZN327692 OJC327692:OJJ327692 OSY327692:OTF327692 PCU327692:PDB327692 PMQ327692:PMX327692 PWM327692:PWT327692 QGI327692:QGP327692 QQE327692:QQL327692 RAA327692:RAH327692 RJW327692:RKD327692 RTS327692:RTZ327692 SDO327692:SDV327692 SNK327692:SNR327692 SXG327692:SXN327692 THC327692:THJ327692 TQY327692:TRF327692 UAU327692:UBB327692 UKQ327692:UKX327692 UUM327692:UUT327692 VEI327692:VEP327692 VOE327692:VOL327692 VYA327692:VYH327692 WHW327692:WID327692 WRS327692:WRZ327692 FG393228:FN393228 PC393228:PJ393228 YY393228:ZF393228 AIU393228:AJB393228 ASQ393228:ASX393228 BCM393228:BCT393228 BMI393228:BMP393228 BWE393228:BWL393228 CGA393228:CGH393228 CPW393228:CQD393228 CZS393228:CZZ393228 DJO393228:DJV393228 DTK393228:DTR393228 EDG393228:EDN393228 ENC393228:ENJ393228 EWY393228:EXF393228 FGU393228:FHB393228 FQQ393228:FQX393228 GAM393228:GAT393228 GKI393228:GKP393228 GUE393228:GUL393228 HEA393228:HEH393228 HNW393228:HOD393228 HXS393228:HXZ393228 IHO393228:IHV393228 IRK393228:IRR393228 JBG393228:JBN393228 JLC393228:JLJ393228 JUY393228:JVF393228 KEU393228:KFB393228 KOQ393228:KOX393228 KYM393228:KYT393228 LII393228:LIP393228 LSE393228:LSL393228 MCA393228:MCH393228 MLW393228:MMD393228 MVS393228:MVZ393228 NFO393228:NFV393228 NPK393228:NPR393228 NZG393228:NZN393228 OJC393228:OJJ393228 OSY393228:OTF393228 PCU393228:PDB393228 PMQ393228:PMX393228 PWM393228:PWT393228 QGI393228:QGP393228 QQE393228:QQL393228 RAA393228:RAH393228 RJW393228:RKD393228 RTS393228:RTZ393228 SDO393228:SDV393228 SNK393228:SNR393228 SXG393228:SXN393228 THC393228:THJ393228 TQY393228:TRF393228 UAU393228:UBB393228 UKQ393228:UKX393228 UUM393228:UUT393228 VEI393228:VEP393228 VOE393228:VOL393228 VYA393228:VYH393228 WHW393228:WID393228 WRS393228:WRZ393228 FG458764:FN458764 PC458764:PJ458764 YY458764:ZF458764 AIU458764:AJB458764 ASQ458764:ASX458764 BCM458764:BCT458764 BMI458764:BMP458764 BWE458764:BWL458764 CGA458764:CGH458764 CPW458764:CQD458764 CZS458764:CZZ458764 DJO458764:DJV458764 DTK458764:DTR458764 EDG458764:EDN458764 ENC458764:ENJ458764 EWY458764:EXF458764 FGU458764:FHB458764 FQQ458764:FQX458764 GAM458764:GAT458764 GKI458764:GKP458764 GUE458764:GUL458764 HEA458764:HEH458764 HNW458764:HOD458764 HXS458764:HXZ458764 IHO458764:IHV458764 IRK458764:IRR458764 JBG458764:JBN458764 JLC458764:JLJ458764 JUY458764:JVF458764 KEU458764:KFB458764 KOQ458764:KOX458764 KYM458764:KYT458764 LII458764:LIP458764 LSE458764:LSL458764 MCA458764:MCH458764 MLW458764:MMD458764 MVS458764:MVZ458764 NFO458764:NFV458764 NPK458764:NPR458764 NZG458764:NZN458764 OJC458764:OJJ458764 OSY458764:OTF458764 PCU458764:PDB458764 PMQ458764:PMX458764 PWM458764:PWT458764 QGI458764:QGP458764 QQE458764:QQL458764 RAA458764:RAH458764 RJW458764:RKD458764 RTS458764:RTZ458764 SDO458764:SDV458764 SNK458764:SNR458764 SXG458764:SXN458764 THC458764:THJ458764 TQY458764:TRF458764 UAU458764:UBB458764 UKQ458764:UKX458764 UUM458764:UUT458764 VEI458764:VEP458764 VOE458764:VOL458764 VYA458764:VYH458764 WHW458764:WID458764 WRS458764:WRZ458764 FG524300:FN524300 PC524300:PJ524300 YY524300:ZF524300 AIU524300:AJB524300 ASQ524300:ASX524300 BCM524300:BCT524300 BMI524300:BMP524300 BWE524300:BWL524300 CGA524300:CGH524300 CPW524300:CQD524300 CZS524300:CZZ524300 DJO524300:DJV524300 DTK524300:DTR524300 EDG524300:EDN524300 ENC524300:ENJ524300 EWY524300:EXF524300 FGU524300:FHB524300 FQQ524300:FQX524300 GAM524300:GAT524300 GKI524300:GKP524300 GUE524300:GUL524300 HEA524300:HEH524300 HNW524300:HOD524300 HXS524300:HXZ524300 IHO524300:IHV524300 IRK524300:IRR524300 JBG524300:JBN524300 JLC524300:JLJ524300 JUY524300:JVF524300 KEU524300:KFB524300 KOQ524300:KOX524300 KYM524300:KYT524300 LII524300:LIP524300 LSE524300:LSL524300 MCA524300:MCH524300 MLW524300:MMD524300 MVS524300:MVZ524300 NFO524300:NFV524300 NPK524300:NPR524300 NZG524300:NZN524300 OJC524300:OJJ524300 OSY524300:OTF524300 PCU524300:PDB524300 PMQ524300:PMX524300 PWM524300:PWT524300 QGI524300:QGP524300 QQE524300:QQL524300 RAA524300:RAH524300 RJW524300:RKD524300 RTS524300:RTZ524300 SDO524300:SDV524300 SNK524300:SNR524300 SXG524300:SXN524300 THC524300:THJ524300 TQY524300:TRF524300 UAU524300:UBB524300 UKQ524300:UKX524300 UUM524300:UUT524300 VEI524300:VEP524300 VOE524300:VOL524300 VYA524300:VYH524300 WHW524300:WID524300 WRS524300:WRZ524300 FG589836:FN589836 PC589836:PJ589836 YY589836:ZF589836 AIU589836:AJB589836 ASQ589836:ASX589836 BCM589836:BCT589836 BMI589836:BMP589836 BWE589836:BWL589836 CGA589836:CGH589836 CPW589836:CQD589836 CZS589836:CZZ589836 DJO589836:DJV589836 DTK589836:DTR589836 EDG589836:EDN589836 ENC589836:ENJ589836 EWY589836:EXF589836 FGU589836:FHB589836 FQQ589836:FQX589836 GAM589836:GAT589836 GKI589836:GKP589836 GUE589836:GUL589836 HEA589836:HEH589836 HNW589836:HOD589836 HXS589836:HXZ589836 IHO589836:IHV589836 IRK589836:IRR589836 JBG589836:JBN589836 JLC589836:JLJ589836 JUY589836:JVF589836 KEU589836:KFB589836 KOQ589836:KOX589836 KYM589836:KYT589836 LII589836:LIP589836 LSE589836:LSL589836 MCA589836:MCH589836 MLW589836:MMD589836 MVS589836:MVZ589836 NFO589836:NFV589836 NPK589836:NPR589836 NZG589836:NZN589836 OJC589836:OJJ589836 OSY589836:OTF589836 PCU589836:PDB589836 PMQ589836:PMX589836 PWM589836:PWT589836 QGI589836:QGP589836 QQE589836:QQL589836 RAA589836:RAH589836 RJW589836:RKD589836 RTS589836:RTZ589836 SDO589836:SDV589836 SNK589836:SNR589836 SXG589836:SXN589836 THC589836:THJ589836 TQY589836:TRF589836 UAU589836:UBB589836 UKQ589836:UKX589836 UUM589836:UUT589836 VEI589836:VEP589836 VOE589836:VOL589836 VYA589836:VYH589836 WHW589836:WID589836 WRS589836:WRZ589836 FG655372:FN655372 PC655372:PJ655372 YY655372:ZF655372 AIU655372:AJB655372 ASQ655372:ASX655372 BCM655372:BCT655372 BMI655372:BMP655372 BWE655372:BWL655372 CGA655372:CGH655372 CPW655372:CQD655372 CZS655372:CZZ655372 DJO655372:DJV655372 DTK655372:DTR655372 EDG655372:EDN655372 ENC655372:ENJ655372 EWY655372:EXF655372 FGU655372:FHB655372 FQQ655372:FQX655372 GAM655372:GAT655372 GKI655372:GKP655372 GUE655372:GUL655372 HEA655372:HEH655372 HNW655372:HOD655372 HXS655372:HXZ655372 IHO655372:IHV655372 IRK655372:IRR655372 JBG655372:JBN655372 JLC655372:JLJ655372 JUY655372:JVF655372 KEU655372:KFB655372 KOQ655372:KOX655372 KYM655372:KYT655372 LII655372:LIP655372 LSE655372:LSL655372 MCA655372:MCH655372 MLW655372:MMD655372 MVS655372:MVZ655372 NFO655372:NFV655372 NPK655372:NPR655372 NZG655372:NZN655372 OJC655372:OJJ655372 OSY655372:OTF655372 PCU655372:PDB655372 PMQ655372:PMX655372 PWM655372:PWT655372 QGI655372:QGP655372 QQE655372:QQL655372 RAA655372:RAH655372 RJW655372:RKD655372 RTS655372:RTZ655372 SDO655372:SDV655372 SNK655372:SNR655372 SXG655372:SXN655372 THC655372:THJ655372 TQY655372:TRF655372 UAU655372:UBB655372 UKQ655372:UKX655372 UUM655372:UUT655372 VEI655372:VEP655372 VOE655372:VOL655372 VYA655372:VYH655372 WHW655372:WID655372 WRS655372:WRZ655372 FG720908:FN720908 PC720908:PJ720908 YY720908:ZF720908 AIU720908:AJB720908 ASQ720908:ASX720908 BCM720908:BCT720908 BMI720908:BMP720908 BWE720908:BWL720908 CGA720908:CGH720908 CPW720908:CQD720908 CZS720908:CZZ720908 DJO720908:DJV720908 DTK720908:DTR720908 EDG720908:EDN720908 ENC720908:ENJ720908 EWY720908:EXF720908 FGU720908:FHB720908 FQQ720908:FQX720908 GAM720908:GAT720908 GKI720908:GKP720908 GUE720908:GUL720908 HEA720908:HEH720908 HNW720908:HOD720908 HXS720908:HXZ720908 IHO720908:IHV720908 IRK720908:IRR720908 JBG720908:JBN720908 JLC720908:JLJ720908 JUY720908:JVF720908 KEU720908:KFB720908 KOQ720908:KOX720908 KYM720908:KYT720908 LII720908:LIP720908 LSE720908:LSL720908 MCA720908:MCH720908 MLW720908:MMD720908 MVS720908:MVZ720908 NFO720908:NFV720908 NPK720908:NPR720908 NZG720908:NZN720908 OJC720908:OJJ720908 OSY720908:OTF720908 PCU720908:PDB720908 PMQ720908:PMX720908 PWM720908:PWT720908 QGI720908:QGP720908 QQE720908:QQL720908 RAA720908:RAH720908 RJW720908:RKD720908 RTS720908:RTZ720908 SDO720908:SDV720908 SNK720908:SNR720908 SXG720908:SXN720908 THC720908:THJ720908 TQY720908:TRF720908 UAU720908:UBB720908 UKQ720908:UKX720908 UUM720908:UUT720908 VEI720908:VEP720908 VOE720908:VOL720908 VYA720908:VYH720908 WHW720908:WID720908 WRS720908:WRZ720908 FG786444:FN786444 PC786444:PJ786444 YY786444:ZF786444 AIU786444:AJB786444 ASQ786444:ASX786444 BCM786444:BCT786444 BMI786444:BMP786444 BWE786444:BWL786444 CGA786444:CGH786444 CPW786444:CQD786444 CZS786444:CZZ786444 DJO786444:DJV786444 DTK786444:DTR786444 EDG786444:EDN786444 ENC786444:ENJ786444 EWY786444:EXF786444 FGU786444:FHB786444 FQQ786444:FQX786444 GAM786444:GAT786444 GKI786444:GKP786444 GUE786444:GUL786444 HEA786444:HEH786444 HNW786444:HOD786444 HXS786444:HXZ786444 IHO786444:IHV786444 IRK786444:IRR786444 JBG786444:JBN786444 JLC786444:JLJ786444 JUY786444:JVF786444 KEU786444:KFB786444 KOQ786444:KOX786444 KYM786444:KYT786444 LII786444:LIP786444 LSE786444:LSL786444 MCA786444:MCH786444 MLW786444:MMD786444 MVS786444:MVZ786444 NFO786444:NFV786444 NPK786444:NPR786444 NZG786444:NZN786444 OJC786444:OJJ786444 OSY786444:OTF786444 PCU786444:PDB786444 PMQ786444:PMX786444 PWM786444:PWT786444 QGI786444:QGP786444 QQE786444:QQL786444 RAA786444:RAH786444 RJW786444:RKD786444 RTS786444:RTZ786444 SDO786444:SDV786444 SNK786444:SNR786444 SXG786444:SXN786444 THC786444:THJ786444 TQY786444:TRF786444 UAU786444:UBB786444 UKQ786444:UKX786444 UUM786444:UUT786444 VEI786444:VEP786444 VOE786444:VOL786444 VYA786444:VYH786444 WHW786444:WID786444 WRS786444:WRZ786444 FG851980:FN851980 PC851980:PJ851980 YY851980:ZF851980 AIU851980:AJB851980 ASQ851980:ASX851980 BCM851980:BCT851980 BMI851980:BMP851980 BWE851980:BWL851980 CGA851980:CGH851980 CPW851980:CQD851980 CZS851980:CZZ851980 DJO851980:DJV851980 DTK851980:DTR851980 EDG851980:EDN851980 ENC851980:ENJ851980 EWY851980:EXF851980 FGU851980:FHB851980 FQQ851980:FQX851980 GAM851980:GAT851980 GKI851980:GKP851980 GUE851980:GUL851980 HEA851980:HEH851980 HNW851980:HOD851980 HXS851980:HXZ851980 IHO851980:IHV851980 IRK851980:IRR851980 JBG851980:JBN851980 JLC851980:JLJ851980 JUY851980:JVF851980 KEU851980:KFB851980 KOQ851980:KOX851980 KYM851980:KYT851980 LII851980:LIP851980 LSE851980:LSL851980 MCA851980:MCH851980 MLW851980:MMD851980 MVS851980:MVZ851980 NFO851980:NFV851980 NPK851980:NPR851980 NZG851980:NZN851980 OJC851980:OJJ851980 OSY851980:OTF851980 PCU851980:PDB851980 PMQ851980:PMX851980 PWM851980:PWT851980 QGI851980:QGP851980 QQE851980:QQL851980 RAA851980:RAH851980 RJW851980:RKD851980 RTS851980:RTZ851980 SDO851980:SDV851980 SNK851980:SNR851980 SXG851980:SXN851980 THC851980:THJ851980 TQY851980:TRF851980 UAU851980:UBB851980 UKQ851980:UKX851980 UUM851980:UUT851980 VEI851980:VEP851980 VOE851980:VOL851980 VYA851980:VYH851980 WHW851980:WID851980 WRS851980:WRZ851980 FG917516:FN917516 PC917516:PJ917516 YY917516:ZF917516 AIU917516:AJB917516 ASQ917516:ASX917516 BCM917516:BCT917516 BMI917516:BMP917516 BWE917516:BWL917516 CGA917516:CGH917516 CPW917516:CQD917516 CZS917516:CZZ917516 DJO917516:DJV917516 DTK917516:DTR917516 EDG917516:EDN917516 ENC917516:ENJ917516 EWY917516:EXF917516 FGU917516:FHB917516 FQQ917516:FQX917516 GAM917516:GAT917516 GKI917516:GKP917516 GUE917516:GUL917516 HEA917516:HEH917516 HNW917516:HOD917516 HXS917516:HXZ917516 IHO917516:IHV917516 IRK917516:IRR917516 JBG917516:JBN917516 JLC917516:JLJ917516 JUY917516:JVF917516 KEU917516:KFB917516 KOQ917516:KOX917516 KYM917516:KYT917516 LII917516:LIP917516 LSE917516:LSL917516 MCA917516:MCH917516 MLW917516:MMD917516 MVS917516:MVZ917516 NFO917516:NFV917516 NPK917516:NPR917516 NZG917516:NZN917516 OJC917516:OJJ917516 OSY917516:OTF917516 PCU917516:PDB917516 PMQ917516:PMX917516 PWM917516:PWT917516 QGI917516:QGP917516 QQE917516:QQL917516 RAA917516:RAH917516 RJW917516:RKD917516 RTS917516:RTZ917516 SDO917516:SDV917516 SNK917516:SNR917516 SXG917516:SXN917516 THC917516:THJ917516 TQY917516:TRF917516 UAU917516:UBB917516 UKQ917516:UKX917516 UUM917516:UUT917516 VEI917516:VEP917516 VOE917516:VOL917516 VYA917516:VYH917516 WHW917516:WID917516 WRS917516:WRZ917516 FG983052:FN983052 PC983052:PJ983052 YY983052:ZF983052 AIU983052:AJB983052 ASQ983052:ASX983052 BCM983052:BCT983052 BMI983052:BMP983052 BWE983052:BWL983052 CGA983052:CGH983052 CPW983052:CQD983052 CZS983052:CZZ983052 DJO983052:DJV983052 DTK983052:DTR983052 EDG983052:EDN983052 ENC983052:ENJ983052 EWY983052:EXF983052 FGU983052:FHB983052 FQQ983052:FQX983052 GAM983052:GAT983052 GKI983052:GKP983052 GUE983052:GUL983052 HEA983052:HEH983052 HNW983052:HOD983052 HXS983052:HXZ983052 IHO983052:IHV983052 IRK983052:IRR983052 JBG983052:JBN983052 JLC983052:JLJ983052 JUY983052:JVF983052 KEU983052:KFB983052 KOQ983052:KOX983052 KYM983052:KYT983052 LII983052:LIP983052 LSE983052:LSL983052 MCA983052:MCH983052 MLW983052:MMD983052 MVS983052:MVZ983052 NFO983052:NFV983052 NPK983052:NPR983052 NZG983052:NZN983052 OJC983052:OJJ983052 OSY983052:OTF983052 PCU983052:PDB983052 PMQ983052:PMX983052 PWM983052:PWT983052 QGI983052:QGP983052 QQE983052:QQL983052 RAA983052:RAH983052 RJW983052:RKD983052 RTS983052:RTZ983052 SDO983052:SDV983052 SNK983052:SNR983052 SXG983052:SXN983052 THC983052:THJ983052 TQY983052:TRF983052 UAU983052:UBB983052 UKQ983052:UKX983052 UUM983052:UUT983052 VEI983052:VEP983052 VOE983052:VOL983052 VYA983052:VYH983052 WHW983052:WID983052 WRS983052:WRZ983052 WSB983052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8 FP65548 PL65548 ZH65548 AJD65548 ASZ65548 BCV65548 BMR65548 BWN65548 CGJ65548 CQF65548 DAB65548 DJX65548 DTT65548 EDP65548 ENL65548 EXH65548 FHD65548 FQZ65548 GAV65548 GKR65548 GUN65548 HEJ65548 HOF65548 HYB65548 IHX65548 IRT65548 JBP65548 JLL65548 JVH65548 KFD65548 KOZ65548 KYV65548 LIR65548 LSN65548 MCJ65548 MMF65548 MWB65548 NFX65548 NPT65548 NZP65548 OJL65548 OTH65548 PDD65548 PMZ65548 PWV65548 QGR65548 QQN65548 RAJ65548 RKF65548 RUB65548 SDX65548 SNT65548 SXP65548 THL65548 TRH65548 UBD65548 UKZ65548 UUV65548 VER65548 VON65548 VYJ65548 WIF65548 WSB65548 AA131084 FP131084 PL131084 ZH131084 AJD131084 ASZ131084 BCV131084 BMR131084 BWN131084 CGJ131084 CQF131084 DAB131084 DJX131084 DTT131084 EDP131084 ENL131084 EXH131084 FHD131084 FQZ131084 GAV131084 GKR131084 GUN131084 HEJ131084 HOF131084 HYB131084 IHX131084 IRT131084 JBP131084 JLL131084 JVH131084 KFD131084 KOZ131084 KYV131084 LIR131084 LSN131084 MCJ131084 MMF131084 MWB131084 NFX131084 NPT131084 NZP131084 OJL131084 OTH131084 PDD131084 PMZ131084 PWV131084 QGR131084 QQN131084 RAJ131084 RKF131084 RUB131084 SDX131084 SNT131084 SXP131084 THL131084 TRH131084 UBD131084 UKZ131084 UUV131084 VER131084 VON131084 VYJ131084 WIF131084 WSB131084 AA196620 FP196620 PL196620 ZH196620 AJD196620 ASZ196620 BCV196620 BMR196620 BWN196620 CGJ196620 CQF196620 DAB196620 DJX196620 DTT196620 EDP196620 ENL196620 EXH196620 FHD196620 FQZ196620 GAV196620 GKR196620 GUN196620 HEJ196620 HOF196620 HYB196620 IHX196620 IRT196620 JBP196620 JLL196620 JVH196620 KFD196620 KOZ196620 KYV196620 LIR196620 LSN196620 MCJ196620 MMF196620 MWB196620 NFX196620 NPT196620 NZP196620 OJL196620 OTH196620 PDD196620 PMZ196620 PWV196620 QGR196620 QQN196620 RAJ196620 RKF196620 RUB196620 SDX196620 SNT196620 SXP196620 THL196620 TRH196620 UBD196620 UKZ196620 UUV196620 VER196620 VON196620 VYJ196620 WIF196620 WSB196620 AA262156 FP262156 PL262156 ZH262156 AJD262156 ASZ262156 BCV262156 BMR262156 BWN262156 CGJ262156 CQF262156 DAB262156 DJX262156 DTT262156 EDP262156 ENL262156 EXH262156 FHD262156 FQZ262156 GAV262156 GKR262156 GUN262156 HEJ262156 HOF262156 HYB262156 IHX262156 IRT262156 JBP262156 JLL262156 JVH262156 KFD262156 KOZ262156 KYV262156 LIR262156 LSN262156 MCJ262156 MMF262156 MWB262156 NFX262156 NPT262156 NZP262156 OJL262156 OTH262156 PDD262156 PMZ262156 PWV262156 QGR262156 QQN262156 RAJ262156 RKF262156 RUB262156 SDX262156 SNT262156 SXP262156 THL262156 TRH262156 UBD262156 UKZ262156 UUV262156 VER262156 VON262156 VYJ262156 WIF262156 WSB262156 AA327692 FP327692 PL327692 ZH327692 AJD327692 ASZ327692 BCV327692 BMR327692 BWN327692 CGJ327692 CQF327692 DAB327692 DJX327692 DTT327692 EDP327692 ENL327692 EXH327692 FHD327692 FQZ327692 GAV327692 GKR327692 GUN327692 HEJ327692 HOF327692 HYB327692 IHX327692 IRT327692 JBP327692 JLL327692 JVH327692 KFD327692 KOZ327692 KYV327692 LIR327692 LSN327692 MCJ327692 MMF327692 MWB327692 NFX327692 NPT327692 NZP327692 OJL327692 OTH327692 PDD327692 PMZ327692 PWV327692 QGR327692 QQN327692 RAJ327692 RKF327692 RUB327692 SDX327692 SNT327692 SXP327692 THL327692 TRH327692 UBD327692 UKZ327692 UUV327692 VER327692 VON327692 VYJ327692 WIF327692 WSB327692 AA393228 FP393228 PL393228 ZH393228 AJD393228 ASZ393228 BCV393228 BMR393228 BWN393228 CGJ393228 CQF393228 DAB393228 DJX393228 DTT393228 EDP393228 ENL393228 EXH393228 FHD393228 FQZ393228 GAV393228 GKR393228 GUN393228 HEJ393228 HOF393228 HYB393228 IHX393228 IRT393228 JBP393228 JLL393228 JVH393228 KFD393228 KOZ393228 KYV393228 LIR393228 LSN393228 MCJ393228 MMF393228 MWB393228 NFX393228 NPT393228 NZP393228 OJL393228 OTH393228 PDD393228 PMZ393228 PWV393228 QGR393228 QQN393228 RAJ393228 RKF393228 RUB393228 SDX393228 SNT393228 SXP393228 THL393228 TRH393228 UBD393228 UKZ393228 UUV393228 VER393228 VON393228 VYJ393228 WIF393228 WSB393228 AA458764 FP458764 PL458764 ZH458764 AJD458764 ASZ458764 BCV458764 BMR458764 BWN458764 CGJ458764 CQF458764 DAB458764 DJX458764 DTT458764 EDP458764 ENL458764 EXH458764 FHD458764 FQZ458764 GAV458764 GKR458764 GUN458764 HEJ458764 HOF458764 HYB458764 IHX458764 IRT458764 JBP458764 JLL458764 JVH458764 KFD458764 KOZ458764 KYV458764 LIR458764 LSN458764 MCJ458764 MMF458764 MWB458764 NFX458764 NPT458764 NZP458764 OJL458764 OTH458764 PDD458764 PMZ458764 PWV458764 QGR458764 QQN458764 RAJ458764 RKF458764 RUB458764 SDX458764 SNT458764 SXP458764 THL458764 TRH458764 UBD458764 UKZ458764 UUV458764 VER458764 VON458764 VYJ458764 WIF458764 WSB458764 AA524300 FP524300 PL524300 ZH524300 AJD524300 ASZ524300 BCV524300 BMR524300 BWN524300 CGJ524300 CQF524300 DAB524300 DJX524300 DTT524300 EDP524300 ENL524300 EXH524300 FHD524300 FQZ524300 GAV524300 GKR524300 GUN524300 HEJ524300 HOF524300 HYB524300 IHX524300 IRT524300 JBP524300 JLL524300 JVH524300 KFD524300 KOZ524300 KYV524300 LIR524300 LSN524300 MCJ524300 MMF524300 MWB524300 NFX524300 NPT524300 NZP524300 OJL524300 OTH524300 PDD524300 PMZ524300 PWV524300 QGR524300 QQN524300 RAJ524300 RKF524300 RUB524300 SDX524300 SNT524300 SXP524300 THL524300 TRH524300 UBD524300 UKZ524300 UUV524300 VER524300 VON524300 VYJ524300 WIF524300 WSB524300 AA589836 FP589836 PL589836 ZH589836 AJD589836 ASZ589836 BCV589836 BMR589836 BWN589836 CGJ589836 CQF589836 DAB589836 DJX589836 DTT589836 EDP589836 ENL589836 EXH589836 FHD589836 FQZ589836 GAV589836 GKR589836 GUN589836 HEJ589836 HOF589836 HYB589836 IHX589836 IRT589836 JBP589836 JLL589836 JVH589836 KFD589836 KOZ589836 KYV589836 LIR589836 LSN589836 MCJ589836 MMF589836 MWB589836 NFX589836 NPT589836 NZP589836 OJL589836 OTH589836 PDD589836 PMZ589836 PWV589836 QGR589836 QQN589836 RAJ589836 RKF589836 RUB589836 SDX589836 SNT589836 SXP589836 THL589836 TRH589836 UBD589836 UKZ589836 UUV589836 VER589836 VON589836 VYJ589836 WIF589836 WSB589836 AA655372 FP655372 PL655372 ZH655372 AJD655372 ASZ655372 BCV655372 BMR655372 BWN655372 CGJ655372 CQF655372 DAB655372 DJX655372 DTT655372 EDP655372 ENL655372 EXH655372 FHD655372 FQZ655372 GAV655372 GKR655372 GUN655372 HEJ655372 HOF655372 HYB655372 IHX655372 IRT655372 JBP655372 JLL655372 JVH655372 KFD655372 KOZ655372 KYV655372 LIR655372 LSN655372 MCJ655372 MMF655372 MWB655372 NFX655372 NPT655372 NZP655372 OJL655372 OTH655372 PDD655372 PMZ655372 PWV655372 QGR655372 QQN655372 RAJ655372 RKF655372 RUB655372 SDX655372 SNT655372 SXP655372 THL655372 TRH655372 UBD655372 UKZ655372 UUV655372 VER655372 VON655372 VYJ655372 WIF655372 WSB655372 AA720908 FP720908 PL720908 ZH720908 AJD720908 ASZ720908 BCV720908 BMR720908 BWN720908 CGJ720908 CQF720908 DAB720908 DJX720908 DTT720908 EDP720908 ENL720908 EXH720908 FHD720908 FQZ720908 GAV720908 GKR720908 GUN720908 HEJ720908 HOF720908 HYB720908 IHX720908 IRT720908 JBP720908 JLL720908 JVH720908 KFD720908 KOZ720908 KYV720908 LIR720908 LSN720908 MCJ720908 MMF720908 MWB720908 NFX720908 NPT720908 NZP720908 OJL720908 OTH720908 PDD720908 PMZ720908 PWV720908 QGR720908 QQN720908 RAJ720908 RKF720908 RUB720908 SDX720908 SNT720908 SXP720908 THL720908 TRH720908 UBD720908 UKZ720908 UUV720908 VER720908 VON720908 VYJ720908 WIF720908 WSB720908 AA786444 FP786444 PL786444 ZH786444 AJD786444 ASZ786444 BCV786444 BMR786444 BWN786444 CGJ786444 CQF786444 DAB786444 DJX786444 DTT786444 EDP786444 ENL786444 EXH786444 FHD786444 FQZ786444 GAV786444 GKR786444 GUN786444 HEJ786444 HOF786444 HYB786444 IHX786444 IRT786444 JBP786444 JLL786444 JVH786444 KFD786444 KOZ786444 KYV786444 LIR786444 LSN786444 MCJ786444 MMF786444 MWB786444 NFX786444 NPT786444 NZP786444 OJL786444 OTH786444 PDD786444 PMZ786444 PWV786444 QGR786444 QQN786444 RAJ786444 RKF786444 RUB786444 SDX786444 SNT786444 SXP786444 THL786444 TRH786444 UBD786444 UKZ786444 UUV786444 VER786444 VON786444 VYJ786444 WIF786444 WSB786444 AA851980 FP851980 PL851980 ZH851980 AJD851980 ASZ851980 BCV851980 BMR851980 BWN851980 CGJ851980 CQF851980 DAB851980 DJX851980 DTT851980 EDP851980 ENL851980 EXH851980 FHD851980 FQZ851980 GAV851980 GKR851980 GUN851980 HEJ851980 HOF851980 HYB851980 IHX851980 IRT851980 JBP851980 JLL851980 JVH851980 KFD851980 KOZ851980 KYV851980 LIR851980 LSN851980 MCJ851980 MMF851980 MWB851980 NFX851980 NPT851980 NZP851980 OJL851980 OTH851980 PDD851980 PMZ851980 PWV851980 QGR851980 QQN851980 RAJ851980 RKF851980 RUB851980 SDX851980 SNT851980 SXP851980 THL851980 TRH851980 UBD851980 UKZ851980 UUV851980 VER851980 VON851980 VYJ851980 WIF851980 WSB851980 AA917516 FP917516 PL917516 ZH917516 AJD917516 ASZ917516 BCV917516 BMR917516 BWN917516 CGJ917516 CQF917516 DAB917516 DJX917516 DTT917516 EDP917516 ENL917516 EXH917516 FHD917516 FQZ917516 GAV917516 GKR917516 GUN917516 HEJ917516 HOF917516 HYB917516 IHX917516 IRT917516 JBP917516 JLL917516 JVH917516 KFD917516 KOZ917516 KYV917516 LIR917516 LSN917516 MCJ917516 MMF917516 MWB917516 NFX917516 NPT917516 NZP917516 OJL917516 OTH917516 PDD917516 PMZ917516 PWV917516 QGR917516 QQN917516 RAJ917516 RKF917516 RUB917516 SDX917516 SNT917516 SXP917516 THL917516 TRH917516 UBD917516 UKZ917516 UUV917516 VER917516 VON917516 VYJ917516 WIF917516 WSB917516 AA983052 FP983052 PL983052 ZH983052 AJD983052 ASZ983052 BCV983052 BMR983052 BWN983052 CGJ983052 CQF983052 DAB983052 DJX983052 DTT983052 EDP983052 ENL983052 EXH983052 FHD983052 FQZ983052 GAV983052 GKR983052 GUN983052 HEJ983052 HOF983052 HYB983052 IHX983052 IRT983052 JBP983052 JLL983052 JVH983052 KFD983052 KOZ983052 KYV983052 LIR983052 LSN983052 MCJ983052 MMF983052 MWB983052 NFX983052 NPT983052 NZP983052 OJL983052 OTH983052 PDD983052 PMZ983052 PWV983052 QGR983052 QQN983052 RAJ983052 RKF983052 RUB983052 SDX983052 SNT983052 SXP983052 THL983052 TRH983052 UBD983052 UKZ983052 UUV983052 VER983052 VON983052 VYJ983052 T983052:Y983052 T917516:Y917516 T851980:Y851980 T786444:Y786444 T720908:Y720908 T655372:Y655372 T589836:Y589836 T524300:Y524300 T458764:Y458764 T393228:Y393228 T327692:Y327692 T262156:Y262156 T196620:Y196620 T131084:Y131084 T65548:Y65548" xr:uid="{5DBF390A-CBC8-4128-912D-FEB9FB829324}">
      <formula1>"Ｍ３（部長）,Ｍ２（Ｍ）,Ｍ１（ＰＭ）,Ｓ２,Ｓ１,Ｒ４,Ｒ３,Ｒ２,Ｒ１"</formula1>
    </dataValidation>
    <dataValidation type="list" allowBlank="1" showInputMessage="1" showErrorMessage="1" sqref="AB1:AI1" xr:uid="{AEAC2D80-5B0C-4EBD-B2E5-2B8E9B712E9E}">
      <formula1>"Ｓ４（上席スペシャリスト）,Ｓ３（シニアスペシャリスト）,Ｓ２（スペシャリスト）,Ｓ１（ジュニアスペシャリスト）"</formula1>
    </dataValidation>
  </dataValidations>
  <pageMargins left="0.70866141732283472" right="0.31496062992125984" top="0.55118110236220474" bottom="0.35433070866141736" header="0.31496062992125984" footer="0.31496062992125984"/>
  <pageSetup paperSize="9" scale="3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FFE3C9EDD4E5D44A7D61183F50DF2FF" ma:contentTypeVersion="6" ma:contentTypeDescription="新しいドキュメントを作成します。" ma:contentTypeScope="" ma:versionID="07f0edb262cdfd2e532ac873aa47d9ac">
  <xsd:schema xmlns:xsd="http://www.w3.org/2001/XMLSchema" xmlns:xs="http://www.w3.org/2001/XMLSchema" xmlns:p="http://schemas.microsoft.com/office/2006/metadata/properties" xmlns:ns2="94223694-d6d4-4f79-ad78-674fc3ee334b" xmlns:ns3="036d3916-a9af-489d-a6a3-1cd69de3c163" targetNamespace="http://schemas.microsoft.com/office/2006/metadata/properties" ma:root="true" ma:fieldsID="7a72c4b7b87b25def41a59847e4d04b7" ns2:_="" ns3:_="">
    <xsd:import namespace="94223694-d6d4-4f79-ad78-674fc3ee334b"/>
    <xsd:import namespace="036d3916-a9af-489d-a6a3-1cd69de3c16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223694-d6d4-4f79-ad78-674fc3ee3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d3916-a9af-489d-a6a3-1cd69de3c163"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D7E3CF-4D96-449A-A0BA-2FC2A7329BB4}"/>
</file>

<file path=customXml/itemProps2.xml><?xml version="1.0" encoding="utf-8"?>
<ds:datastoreItem xmlns:ds="http://schemas.openxmlformats.org/officeDocument/2006/customXml" ds:itemID="{5D0DBB1A-5C6B-4DE6-A2C2-C645A9E6BC47}"/>
</file>

<file path=customXml/itemProps3.xml><?xml version="1.0" encoding="utf-8"?>
<ds:datastoreItem xmlns:ds="http://schemas.openxmlformats.org/officeDocument/2006/customXml" ds:itemID="{326482DF-E5EA-417A-B617-75D27117F9D6}"/>
</file>

<file path=docProps/app.xml><?xml version="1.0" encoding="utf-8"?>
<Properties xmlns="http://schemas.openxmlformats.org/officeDocument/2006/extended-properties" xmlns:vt="http://schemas.openxmlformats.org/officeDocument/2006/docPropsVTypes">
  <Application>Microsoft Excel Online</Application>
  <Manager/>
  <Company>nct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119801</dc:creator>
  <cp:keywords/>
  <dc:description/>
  <cp:lastModifiedBy>岩﨑 直人</cp:lastModifiedBy>
  <cp:revision/>
  <dcterms:created xsi:type="dcterms:W3CDTF">2012-11-20T06:34:50Z</dcterms:created>
  <dcterms:modified xsi:type="dcterms:W3CDTF">2025-06-19T07:36:54Z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0x010100AFFE3C9EDD4E5D44A7D61183F50DF2FF</vt:lpwstr>
  </property>
</Properties>
</file>