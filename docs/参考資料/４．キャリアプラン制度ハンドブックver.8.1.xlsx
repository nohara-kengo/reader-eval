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6"/>
  <workbookPr checkCompatibility="1" defaultThemeVersion="124226"/>
  <mc:AlternateContent xmlns:mc="http://schemas.openxmlformats.org/markup-compatibility/2006">
    <mc:Choice Requires="x15">
      <x15ac:absPath xmlns:x15ac="http://schemas.microsoft.com/office/spreadsheetml/2010/11/ac" url="\\Libra\管理本部\11.人事課\31_人事考課\原紙保管\202410　考課\"/>
    </mc:Choice>
  </mc:AlternateContent>
  <xr:revisionPtr revIDLastSave="0" documentId="13_ncr:1_{46CF6E17-CD7D-4AC6-9017-D04A77A10C0B}" xr6:coauthVersionLast="47" xr6:coauthVersionMax="47" xr10:uidLastSave="{00000000-0000-0000-0000-000000000000}"/>
  <bookViews>
    <workbookView xWindow="-108" yWindow="-108" windowWidth="23256" windowHeight="12576" tabRatio="907" xr2:uid="{00000000-000D-0000-FFFF-FFFF00000000}"/>
  </bookViews>
  <sheets>
    <sheet name="変更点" sheetId="7" r:id="rId1"/>
    <sheet name="表紙・目次（リンク）" sheetId="8" r:id="rId2"/>
    <sheet name="当社の理念・指針" sheetId="9" r:id="rId3"/>
    <sheet name="キャリアプラン制度解説" sheetId="10" r:id="rId4"/>
    <sheet name="職群別資格制度解説" sheetId="11" r:id="rId5"/>
    <sheet name="全社資格基準の見方" sheetId="12" r:id="rId6"/>
    <sheet name="作成方法" sheetId="13" r:id="rId7"/>
    <sheet name="目標管理・ｷｬﾘｱﾌﾟﾗﾝ (作成用)" sheetId="29" r:id="rId8"/>
    <sheet name="目標管理・ｷｬﾘｱﾌﾟﾗﾝ (S職作成用) " sheetId="30" r:id="rId9"/>
    <sheet name="目標管理・ｷｬﾘｱﾌﾟﾗﾝ (記入例)" sheetId="31" r:id="rId10"/>
    <sheet name="目標管理・ｷｬﾘｱﾌﾟﾗﾝ (S職作成用) (記入例)" sheetId="32" r:id="rId11"/>
    <sheet name="よくある質問" sheetId="14" r:id="rId12"/>
    <sheet name="全社資格基準　（営業・事務・パンチャー）" sheetId="15" r:id="rId13"/>
    <sheet name="全社資格基準　（開発・評価）" sheetId="17" r:id="rId14"/>
    <sheet name="全社資格基準　（スペシャリスト）" sheetId="26" r:id="rId15"/>
    <sheet name="全社資格基準　（運用）" sheetId="18" r:id="rId16"/>
    <sheet name="有効に使おう" sheetId="24" r:id="rId17"/>
  </sheets>
  <definedNames>
    <definedName name="_xlnm.Print_Area" localSheetId="13">'全社資格基準　（開発・評価）'!$A$1:$M$60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1" i="32" l="1"/>
  <c r="AQ38" i="32"/>
  <c r="AQ30" i="32"/>
  <c r="AQ22" i="32"/>
  <c r="AQ14" i="32"/>
  <c r="AQ41" i="32" s="1"/>
  <c r="Z33" i="31"/>
  <c r="AQ30" i="31"/>
  <c r="AQ22" i="31"/>
  <c r="AQ14" i="31"/>
  <c r="AQ33" i="31" s="1"/>
  <c r="Z41" i="30"/>
  <c r="AQ38" i="30"/>
  <c r="AQ30" i="30"/>
  <c r="AQ22" i="30"/>
  <c r="AQ14" i="30"/>
  <c r="AQ41" i="30" s="1"/>
  <c r="Z33" i="29"/>
  <c r="AQ30" i="29"/>
  <c r="AQ22" i="29"/>
  <c r="AQ14" i="29"/>
  <c r="AQ33" i="29" s="1"/>
  <c r="H1" i="11" l="1"/>
  <c r="K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Y3" authorId="0" shapeId="0" xr:uid="{80F2BC5E-2E92-4573-BBF5-5606DD6A86DB}">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B7" authorId="0" shapeId="0" xr:uid="{E55A558E-E3FC-439D-8E0E-B702708964E3}">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A05C53E8-970E-42ED-B0E7-A7995EC5EF51}">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178907F5-DEBE-4046-8F3B-D0BCF58FF6D8}">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C407B2B2-2010-4B63-A4E0-D789EF1E4947}">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L35" authorId="0" shapeId="0" xr:uid="{09B13A2C-765D-4C6D-A6C5-DCA52607D3ED}">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38" authorId="0" shapeId="0" xr:uid="{3CC99334-4C70-49E1-9190-DA1B390D4E16}">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39" authorId="0" shapeId="0" xr:uid="{B0A66ED5-8AA7-41AF-BA00-6C0E7BD5221D}">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Y3" authorId="0" shapeId="0" xr:uid="{EEB574B4-995A-4371-BF41-ACDA4DD9F0BE}">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B7" authorId="0" shapeId="0" xr:uid="{566FE266-BBE5-4700-A090-653E3A58ED04}">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E74F3438-877A-482F-A8E9-F3A2ACFFDB05}">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43018715-8A17-47FD-A118-7DFBA33056F8}">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A4021E7A-3A2E-4AA2-A335-F309B11C7C2B}">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L43" authorId="0" shapeId="0" xr:uid="{A74A2B92-B588-46CD-81EB-3B8E36C26198}">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46" authorId="0" shapeId="0" xr:uid="{A1CD7E5A-BBBD-4144-8029-655A35CEEA77}">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47" authorId="0" shapeId="0" xr:uid="{72CBBE5F-E134-4C45-A291-08763617E8DD}">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米坂 安代</author>
  </authors>
  <commentList>
    <comment ref="Y3" authorId="0" shapeId="0" xr:uid="{7E2AF226-D2F9-4AEC-B632-6F81B0469E1C}">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B7" authorId="0" shapeId="0" xr:uid="{3A6034D8-D2CD-43D9-8806-15D6CC9CA804}">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B885816C-C31F-4126-B676-AC9A63F0BDCF}">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88868E46-8586-4E80-A44C-97BD6F617812}">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FEFAD36F-6184-4177-ABA8-11482E858DDB}">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AW9" authorId="0" shapeId="0" xr:uid="{DB8D1967-6F4E-473A-A52A-A8EB07E81CB3}">
      <text>
        <r>
          <rPr>
            <b/>
            <sz val="12"/>
            <color indexed="81"/>
            <rFont val="ＭＳ Ｐゴシック"/>
            <family val="3"/>
            <charset val="128"/>
          </rPr>
          <t>・このレベル感はとても重要です
・資格相当だが努力が必要なレベルの成果が５点です。最初は設定が難しいですが、何が達成できれば事業に「資格相当に」貢献したといえるかを自分なりに考えてみましょう</t>
        </r>
        <r>
          <rPr>
            <sz val="12"/>
            <color indexed="81"/>
            <rFont val="ＭＳ Ｐゴシック"/>
            <family val="3"/>
            <charset val="128"/>
          </rPr>
          <t xml:space="preserve">
</t>
        </r>
      </text>
    </comment>
    <comment ref="AW18" authorId="0" shapeId="0" xr:uid="{B0D5DDD1-E473-4730-9988-8484478BF6BC}">
      <text>
        <r>
          <rPr>
            <b/>
            <sz val="12"/>
            <color indexed="81"/>
            <rFont val="ＭＳ Ｐゴシック"/>
            <family val="3"/>
            <charset val="128"/>
          </rPr>
          <t xml:space="preserve">・Ｒ１～Ｒ４のウェイトはすべて１です
・目標管理のウェイトが大きいＭ１以上はウェイトをかけます
</t>
        </r>
        <r>
          <rPr>
            <sz val="12"/>
            <color indexed="81"/>
            <rFont val="ＭＳ Ｐゴシック"/>
            <family val="3"/>
            <charset val="128"/>
          </rPr>
          <t xml:space="preserve">
</t>
        </r>
      </text>
    </comment>
    <comment ref="L35" authorId="0" shapeId="0" xr:uid="{3B674193-A68B-46A7-80C6-B27AA19F7109}">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38" authorId="0" shapeId="0" xr:uid="{47403101-2F3C-4E87-87ED-37E7B4D64EB3}">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39" authorId="0" shapeId="0" xr:uid="{3AD4E119-1067-4D74-A6CA-F372076170D0}">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米坂 安代</author>
    <author>紺原 英治</author>
  </authors>
  <commentList>
    <comment ref="Y3" authorId="0" shapeId="0" xr:uid="{FB33F7AC-0FEC-4B98-90D2-1237251107B3}">
      <text>
        <r>
          <rPr>
            <b/>
            <sz val="12"/>
            <color indexed="81"/>
            <rFont val="ＭＳ Ｐゴシック"/>
            <family val="3"/>
            <charset val="128"/>
          </rPr>
          <t>目標管理・キャリアプランは、計画を立てっぱなしにするのではなく、
最低でも四半期に一回は、進捗確認を行い、
　　・何をどこまで進めたのか
　　・目標達成に、何かサポートが必要か
　　・目標達成のために、プロセスの変更が必要でないか
などを確認しあう必要があります。
四半期での進捗確認を促すために、「中間での進捗確認日」と「確認者の氏名」欄を新設しました。
進捗確認の実施方法は、
　　・個人面談を実施する
　　・プロジェクトの定例会議のついでに、全員で中間報告会を実施する
　　・月間作業報告など運用中の報告書を利用し、上長からアドバイスをもらう
など、実施できそうなものを工夫してください。</t>
        </r>
      </text>
    </comment>
    <comment ref="Z6" authorId="1" shapeId="0" xr:uid="{2C50763D-8218-4704-A478-F7C38F1ED0F7}">
      <text>
        <r>
          <rPr>
            <b/>
            <sz val="18"/>
            <color indexed="81"/>
            <rFont val="ＭＳ Ｐゴシック"/>
            <family val="3"/>
            <charset val="128"/>
          </rPr>
          <t>○固定項目のウエイト
・Ｓ４、Ｓ３：</t>
        </r>
        <r>
          <rPr>
            <b/>
            <sz val="18"/>
            <color indexed="10"/>
            <rFont val="ＭＳ Ｐゴシック"/>
            <family val="3"/>
            <charset val="128"/>
          </rPr>
          <t>６</t>
        </r>
        <r>
          <rPr>
            <b/>
            <sz val="18"/>
            <color indexed="81"/>
            <rFont val="ＭＳ Ｐゴシック"/>
            <family val="3"/>
            <charset val="128"/>
          </rPr>
          <t xml:space="preserve">
・Ｓ２、Ｓ１：</t>
        </r>
        <r>
          <rPr>
            <b/>
            <sz val="18"/>
            <color indexed="10"/>
            <rFont val="ＭＳ Ｐゴシック"/>
            <family val="3"/>
            <charset val="128"/>
          </rPr>
          <t xml:space="preserve">４
</t>
        </r>
        <r>
          <rPr>
            <b/>
            <sz val="18"/>
            <color indexed="81"/>
            <rFont val="ＭＳ Ｐゴシック"/>
            <family val="3"/>
            <charset val="128"/>
          </rPr>
          <t xml:space="preserve">○任意項目
・Ｓ４、Ｓ３：20点満点になるよう設定する
・Ｓ２、Ｓ１：20点満点になるよう設定する
</t>
        </r>
      </text>
    </comment>
    <comment ref="B7" authorId="0" shapeId="0" xr:uid="{7F26CE08-8E26-429C-9AE3-785054836793}">
      <text>
        <r>
          <rPr>
            <b/>
            <sz val="12"/>
            <color indexed="81"/>
            <rFont val="ＭＳ Ｐゴシック"/>
            <family val="3"/>
            <charset val="128"/>
          </rPr>
          <t xml:space="preserve">・目標は３つ設定します
・目標は必ずV40またはR22につながる目標をたててください。
上段に「全社V40」「各部門のR22」「各部の事業計画」「各課の事業計画」のいずれかから目標を書いてください。なので別シートの上位目標シートを先に作成し
社員に配布してください。
下段にそれにリンクする自分の目標を立てます。
</t>
        </r>
        <r>
          <rPr>
            <sz val="12"/>
            <color indexed="81"/>
            <rFont val="ＭＳ Ｐゴシック"/>
            <family val="3"/>
            <charset val="128"/>
          </rPr>
          <t xml:space="preserve">
</t>
        </r>
      </text>
    </comment>
    <comment ref="H7" authorId="0" shapeId="0" xr:uid="{4F3403A6-EDA9-417B-ABAA-EAFD5E0B7221}">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 ref="Q7" authorId="0" shapeId="0" xr:uid="{38C81A15-7B1A-41E7-86BE-FC88434D2853}">
      <text>
        <r>
          <rPr>
            <b/>
            <sz val="12"/>
            <color indexed="81"/>
            <rFont val="ＭＳ Ｐゴシック"/>
            <family val="3"/>
            <charset val="128"/>
          </rPr>
          <t xml:space="preserve">・何がどれだけできれば何点かをあらかじめ自分で設定しておきます
・実績を見て考課者が確実に評価点がつけられるような設定をしてください
</t>
        </r>
        <r>
          <rPr>
            <sz val="12"/>
            <color indexed="81"/>
            <rFont val="ＭＳ Ｐゴシック"/>
            <family val="3"/>
            <charset val="128"/>
          </rPr>
          <t xml:space="preserve">
</t>
        </r>
      </text>
    </comment>
    <comment ref="AQ9" authorId="0" shapeId="0" xr:uid="{2B558C7F-F8DE-4E8A-AC0E-491CD5956E42}">
      <text>
        <r>
          <rPr>
            <b/>
            <sz val="12"/>
            <color indexed="81"/>
            <rFont val="ＭＳ Ｐゴシック"/>
            <family val="3"/>
            <charset val="128"/>
          </rPr>
          <t xml:space="preserve">・一次考課者が記入します
</t>
        </r>
        <r>
          <rPr>
            <sz val="12"/>
            <color indexed="81"/>
            <rFont val="ＭＳ Ｐゴシック"/>
            <family val="3"/>
            <charset val="128"/>
          </rPr>
          <t xml:space="preserve">
</t>
        </r>
      </text>
    </comment>
    <comment ref="AV9" authorId="0" shapeId="0" xr:uid="{68D3C247-46AB-4B26-B130-E5D6CDA99710}">
      <text>
        <r>
          <rPr>
            <b/>
            <sz val="12"/>
            <color indexed="81"/>
            <rFont val="ＭＳ Ｐゴシック"/>
            <family val="3"/>
            <charset val="128"/>
          </rPr>
          <t xml:space="preserve">・このレベル感はとても重要です
・資格相当だが努力が必要なレベルの成果が５点です。最初は設定が難しいですが、何が達成できれば事業に「資格相当に」貢献したといえるかを自分なりに考えてみましょう
</t>
        </r>
        <r>
          <rPr>
            <sz val="12"/>
            <color indexed="81"/>
            <rFont val="ＭＳ Ｐゴシック"/>
            <family val="3"/>
            <charset val="128"/>
          </rPr>
          <t xml:space="preserve">
・「達成水準のレベル感」と「ウェイトの掛け方」は、印刷されません
</t>
        </r>
      </text>
    </comment>
    <comment ref="L43" authorId="0" shapeId="0" xr:uid="{F94993E7-97EF-48E2-BA58-CAE5139A331D}">
      <text>
        <r>
          <rPr>
            <b/>
            <sz val="12"/>
            <color indexed="81"/>
            <rFont val="MS P ゴシック"/>
            <family val="3"/>
            <charset val="128"/>
          </rPr>
          <t>●●に強みのあるスペシャリストを目指す
●●領域に強みのあるコンサルタントを目指す
●名を率いたリーダーになりたい
●名規模のマネージメントができるＰＭになりたい
など、上長が支援できるよう進みたい方向性を書く</t>
        </r>
      </text>
    </comment>
    <comment ref="L46" authorId="0" shapeId="0" xr:uid="{61F6C22A-41DC-4E9F-9D8A-D96E47587AF4}">
      <text>
        <r>
          <rPr>
            <b/>
            <sz val="12"/>
            <color indexed="81"/>
            <rFont val="ＭＳ Ｐゴシック"/>
            <family val="3"/>
            <charset val="128"/>
          </rPr>
          <t>インプット（研修受講・読書・サークル活動等）した知識は、アウトプット（レポート・研修講師・部門フィードバック・部門検討会）しなければ、「いい話を聞いた」で終わってしまいます。
必ず、「どのようなアウトプットをして、知識定着や行動改善を確認するか」まで考えましょう。</t>
        </r>
        <r>
          <rPr>
            <sz val="12"/>
            <color indexed="81"/>
            <rFont val="ＭＳ Ｐゴシック"/>
            <family val="3"/>
            <charset val="128"/>
          </rPr>
          <t xml:space="preserve">
</t>
        </r>
      </text>
    </comment>
    <comment ref="L47" authorId="0" shapeId="0" xr:uid="{45C238C5-9E40-4853-9949-00F7F5B1A721}">
      <text>
        <r>
          <rPr>
            <b/>
            <sz val="12"/>
            <color indexed="81"/>
            <rFont val="ＭＳ Ｐゴシック"/>
            <family val="3"/>
            <charset val="128"/>
          </rPr>
          <t>・達成プロセスを具体化しておくと、進捗確認がやりやすく、うまく行かなくなった場合の軌道修正が可能です
・具体的でないと、達成できそうなのか、うまくいっているのかどうかがわかりにくく、期間終了後に結局未達成という事態を招きます</t>
        </r>
        <r>
          <rPr>
            <sz val="12"/>
            <color indexed="81"/>
            <rFont val="ＭＳ Ｐゴシック"/>
            <family val="3"/>
            <charset val="128"/>
          </rPr>
          <t xml:space="preserve">
</t>
        </r>
      </text>
    </comment>
  </commentList>
</comments>
</file>

<file path=xl/sharedStrings.xml><?xml version="1.0" encoding="utf-8"?>
<sst xmlns="http://schemas.openxmlformats.org/spreadsheetml/2006/main" count="1230" uniqueCount="726">
  <si>
    <t>Ver6.0 (2017/10 キャリアプラン本運用開始時点)から、Ver6.1への変更点</t>
    <rPh sb="23" eb="24">
      <t>ホン</t>
    </rPh>
    <rPh sb="24" eb="26">
      <t>ウンヨウ</t>
    </rPh>
    <rPh sb="26" eb="28">
      <t>カイシ</t>
    </rPh>
    <rPh sb="28" eb="30">
      <t>ジテン</t>
    </rPh>
    <rPh sb="42" eb="45">
      <t>ヘンコウテン</t>
    </rPh>
    <phoneticPr fontId="3"/>
  </si>
  <si>
    <t>◆「キャリアプラン」の課題の内、一つは目標管理の課題（評価の対象）とすることになりました。</t>
    <rPh sb="11" eb="13">
      <t>カダイ</t>
    </rPh>
    <rPh sb="14" eb="15">
      <t>ウチ</t>
    </rPh>
    <rPh sb="16" eb="17">
      <t>ヒト</t>
    </rPh>
    <rPh sb="19" eb="21">
      <t>モクヒョウ</t>
    </rPh>
    <rPh sb="21" eb="23">
      <t>カンリ</t>
    </rPh>
    <rPh sb="24" eb="26">
      <t>カダイ</t>
    </rPh>
    <rPh sb="27" eb="29">
      <t>ヒョウカ</t>
    </rPh>
    <rPh sb="30" eb="32">
      <t>タイショウ</t>
    </rPh>
    <phoneticPr fontId="3"/>
  </si>
  <si>
    <t>【変更したシート】</t>
    <rPh sb="1" eb="3">
      <t>ヘンコウ</t>
    </rPh>
    <phoneticPr fontId="3"/>
  </si>
  <si>
    <t>目標管理・ｷｬﾘｱﾌﾟﾗﾝ (記入例)</t>
    <phoneticPr fontId="3"/>
  </si>
  <si>
    <t>作成方法</t>
    <phoneticPr fontId="3"/>
  </si>
  <si>
    <t>よくある質問</t>
    <phoneticPr fontId="3"/>
  </si>
  <si>
    <t>Ver6.2の変更点</t>
    <rPh sb="7" eb="10">
      <t>ヘンコウテン</t>
    </rPh>
    <phoneticPr fontId="3"/>
  </si>
  <si>
    <t>◆社員の資格を選択できるリストに、「Ｍ３（次長）」を追加しました。</t>
    <rPh sb="1" eb="3">
      <t>シャイン</t>
    </rPh>
    <rPh sb="4" eb="6">
      <t>シカク</t>
    </rPh>
    <rPh sb="7" eb="9">
      <t>センタク</t>
    </rPh>
    <rPh sb="21" eb="23">
      <t>ジチョウ</t>
    </rPh>
    <rPh sb="26" eb="28">
      <t>ツイカ</t>
    </rPh>
    <phoneticPr fontId="3"/>
  </si>
  <si>
    <t>目標管理・ｷｬﾘｱﾌﾟﾗﾝ (作成用)</t>
    <phoneticPr fontId="3"/>
  </si>
  <si>
    <t>Ver6.3の変更点</t>
    <rPh sb="7" eb="10">
      <t>ヘンコウテン</t>
    </rPh>
    <phoneticPr fontId="3"/>
  </si>
  <si>
    <t>◆キャリアプランの進捗確認の記録を残すよう、「確認者」「確認日」欄を追加しました。</t>
    <rPh sb="9" eb="11">
      <t>シンチョク</t>
    </rPh>
    <rPh sb="11" eb="13">
      <t>カクニン</t>
    </rPh>
    <rPh sb="14" eb="16">
      <t>キロク</t>
    </rPh>
    <rPh sb="17" eb="18">
      <t>ノコ</t>
    </rPh>
    <rPh sb="23" eb="25">
      <t>カクニン</t>
    </rPh>
    <rPh sb="25" eb="26">
      <t>シャ</t>
    </rPh>
    <rPh sb="28" eb="30">
      <t>カクニン</t>
    </rPh>
    <rPh sb="30" eb="31">
      <t>ビ</t>
    </rPh>
    <rPh sb="32" eb="33">
      <t>ラン</t>
    </rPh>
    <rPh sb="34" eb="36">
      <t>ツイカ</t>
    </rPh>
    <phoneticPr fontId="3"/>
  </si>
  <si>
    <t>目標管理・ｷｬﾘｱﾌﾟﾗﾝ (記入例)</t>
    <phoneticPr fontId="2"/>
  </si>
  <si>
    <t>Ver7.0の変更点</t>
    <rPh sb="7" eb="10">
      <t>ヘンコウテン</t>
    </rPh>
    <phoneticPr fontId="3"/>
  </si>
  <si>
    <t>◆2021/4から運用開始する「スペシャリスト職」を追加しました。</t>
    <rPh sb="9" eb="11">
      <t>ウンヨウ</t>
    </rPh>
    <rPh sb="11" eb="13">
      <t>カイシ</t>
    </rPh>
    <rPh sb="23" eb="24">
      <t>ショク</t>
    </rPh>
    <rPh sb="26" eb="28">
      <t>ツイカ</t>
    </rPh>
    <phoneticPr fontId="3"/>
  </si>
  <si>
    <t>職群別資格制度解説</t>
    <phoneticPr fontId="3"/>
  </si>
  <si>
    <t>目標管理・ｷｬﾘｱﾌﾟﾗﾝ (S職作成用)</t>
  </si>
  <si>
    <t>目標管理・ｷｬﾘｱﾌﾟﾗﾝ (S職作成用) (記入例)</t>
  </si>
  <si>
    <t>Ver8.0の変更点</t>
    <rPh sb="7" eb="10">
      <t>ヘンコウテン</t>
    </rPh>
    <phoneticPr fontId="3"/>
  </si>
  <si>
    <t>◆５年後のキャリア目標を設定する欄を追加しました。</t>
    <rPh sb="2" eb="4">
      <t>ネンゴ</t>
    </rPh>
    <rPh sb="9" eb="11">
      <t>モクヒョウ</t>
    </rPh>
    <rPh sb="12" eb="14">
      <t>セッテイ</t>
    </rPh>
    <rPh sb="16" eb="17">
      <t>ラン</t>
    </rPh>
    <rPh sb="18" eb="20">
      <t>ツイカ</t>
    </rPh>
    <phoneticPr fontId="3"/>
  </si>
  <si>
    <t>キャリアプラン制度解説</t>
    <phoneticPr fontId="3"/>
  </si>
  <si>
    <t>作成方法</t>
  </si>
  <si>
    <t>よくある質問</t>
  </si>
  <si>
    <t>目標管理・ｷｬﾘｱﾌﾟﾗﾝ (作成用)</t>
  </si>
  <si>
    <t>Ver8.1の変更点</t>
    <rPh sb="7" eb="10">
      <t>ヘンコウテン</t>
    </rPh>
    <phoneticPr fontId="3"/>
  </si>
  <si>
    <t>◆M職とS職の役割を明確にするため、「職群定義」を再定義しました</t>
    <rPh sb="2" eb="3">
      <t>ショク</t>
    </rPh>
    <rPh sb="5" eb="6">
      <t>ショク</t>
    </rPh>
    <rPh sb="7" eb="9">
      <t>ヤクワリ</t>
    </rPh>
    <rPh sb="10" eb="12">
      <t>メイカク</t>
    </rPh>
    <rPh sb="19" eb="23">
      <t>ショクグンテイギ</t>
    </rPh>
    <rPh sb="25" eb="28">
      <t>サイテイギ</t>
    </rPh>
    <phoneticPr fontId="3"/>
  </si>
  <si>
    <t>◆職群別資格制度の編成表に「ランク」を追加しました</t>
    <rPh sb="1" eb="2">
      <t>ショク</t>
    </rPh>
    <rPh sb="2" eb="3">
      <t>グン</t>
    </rPh>
    <rPh sb="3" eb="4">
      <t>ベツ</t>
    </rPh>
    <rPh sb="4" eb="6">
      <t>シカク</t>
    </rPh>
    <rPh sb="6" eb="8">
      <t>セイド</t>
    </rPh>
    <rPh sb="9" eb="11">
      <t>ヘンセイ</t>
    </rPh>
    <rPh sb="11" eb="12">
      <t>ヒョウ</t>
    </rPh>
    <rPh sb="19" eb="21">
      <t>ツイカ</t>
    </rPh>
    <phoneticPr fontId="3"/>
  </si>
  <si>
    <t>　日本コムシンクが求める人材像（期待行動）を明確にする</t>
    <phoneticPr fontId="2"/>
  </si>
  <si>
    <t>2021年度版</t>
    <rPh sb="4" eb="6">
      <t>ネンド</t>
    </rPh>
    <rPh sb="6" eb="7">
      <t>バ</t>
    </rPh>
    <phoneticPr fontId="3"/>
  </si>
  <si>
    <t>目次（リンク）</t>
    <rPh sb="0" eb="2">
      <t>モクジ</t>
    </rPh>
    <phoneticPr fontId="3"/>
  </si>
  <si>
    <t>人事システム構築指針</t>
  </si>
  <si>
    <t>キャリアプラン制度　解説</t>
    <rPh sb="7" eb="9">
      <t>セイド</t>
    </rPh>
    <rPh sb="10" eb="12">
      <t>カイセツ</t>
    </rPh>
    <phoneticPr fontId="3"/>
  </si>
  <si>
    <t>職群資格制度の解説</t>
    <rPh sb="7" eb="9">
      <t>カイセツ</t>
    </rPh>
    <phoneticPr fontId="3"/>
  </si>
  <si>
    <t>全社資格基準の見方</t>
    <rPh sb="0" eb="2">
      <t>ゼンシャ</t>
    </rPh>
    <rPh sb="2" eb="4">
      <t>シカク</t>
    </rPh>
    <rPh sb="4" eb="6">
      <t>キジュン</t>
    </rPh>
    <rPh sb="7" eb="9">
      <t>ミカタ</t>
    </rPh>
    <phoneticPr fontId="3"/>
  </si>
  <si>
    <t>キャリアプランの作成方法</t>
    <rPh sb="8" eb="10">
      <t>サクセイ</t>
    </rPh>
    <rPh sb="10" eb="12">
      <t>ホウホウ</t>
    </rPh>
    <phoneticPr fontId="3"/>
  </si>
  <si>
    <t>よくある質問</t>
    <rPh sb="4" eb="6">
      <t>シツモン</t>
    </rPh>
    <phoneticPr fontId="3"/>
  </si>
  <si>
    <t>目標管理・キャリアプランシート（作成用）</t>
    <rPh sb="0" eb="2">
      <t>モクヒョウ</t>
    </rPh>
    <rPh sb="2" eb="4">
      <t>カンリ</t>
    </rPh>
    <rPh sb="16" eb="19">
      <t>サクセイヨウ</t>
    </rPh>
    <phoneticPr fontId="2"/>
  </si>
  <si>
    <t>目標管理・キャリアプランシート（記入例）</t>
    <rPh sb="0" eb="2">
      <t>モクヒョウ</t>
    </rPh>
    <rPh sb="2" eb="4">
      <t>カンリ</t>
    </rPh>
    <rPh sb="16" eb="18">
      <t>キニュウ</t>
    </rPh>
    <rPh sb="18" eb="19">
      <t>レイ</t>
    </rPh>
    <phoneticPr fontId="2"/>
  </si>
  <si>
    <t>全社資格基準　経営職／営業・事務・パンチャー</t>
    <rPh sb="0" eb="2">
      <t>ゼンシャ</t>
    </rPh>
    <rPh sb="2" eb="4">
      <t>シカク</t>
    </rPh>
    <rPh sb="4" eb="6">
      <t>キジュン</t>
    </rPh>
    <rPh sb="7" eb="9">
      <t>ケイエイ</t>
    </rPh>
    <rPh sb="9" eb="10">
      <t>ショク</t>
    </rPh>
    <rPh sb="11" eb="13">
      <t>エイギョウ</t>
    </rPh>
    <rPh sb="14" eb="16">
      <t>ジム</t>
    </rPh>
    <phoneticPr fontId="3"/>
  </si>
  <si>
    <t>全社資格基準　開発・評価（T～R～M2）</t>
    <rPh sb="0" eb="2">
      <t>ゼンシャ</t>
    </rPh>
    <rPh sb="2" eb="6">
      <t>シカク</t>
    </rPh>
    <rPh sb="7" eb="9">
      <t>カイハツ</t>
    </rPh>
    <rPh sb="10" eb="12">
      <t>ヒョウカ</t>
    </rPh>
    <phoneticPr fontId="3"/>
  </si>
  <si>
    <t>全社資格基準　スペシャリスト職</t>
    <rPh sb="0" eb="2">
      <t>ゼンシャ</t>
    </rPh>
    <rPh sb="2" eb="4">
      <t>シカク</t>
    </rPh>
    <rPh sb="4" eb="6">
      <t>キジュン</t>
    </rPh>
    <rPh sb="14" eb="15">
      <t>ショク</t>
    </rPh>
    <phoneticPr fontId="3"/>
  </si>
  <si>
    <t>全社資格基準　運用（T～R～M2）</t>
    <rPh sb="0" eb="2">
      <t>ゼンシャ</t>
    </rPh>
    <rPh sb="2" eb="6">
      <t>シ</t>
    </rPh>
    <rPh sb="7" eb="9">
      <t>ウンヨウ</t>
    </rPh>
    <phoneticPr fontId="3"/>
  </si>
  <si>
    <t>キャリアプランを有効に使おう</t>
    <rPh sb="8" eb="10">
      <t>ユウコウ</t>
    </rPh>
    <rPh sb="11" eb="12">
      <t>ツカ</t>
    </rPh>
    <phoneticPr fontId="2"/>
  </si>
  <si>
    <r>
      <t>2021年9月</t>
    </r>
    <r>
      <rPr>
        <sz val="10"/>
        <color theme="1"/>
        <rFont val="ＭＳ Ｐゴシック"/>
        <family val="3"/>
        <charset val="128"/>
      </rPr>
      <t>1</t>
    </r>
    <r>
      <rPr>
        <sz val="10"/>
        <rFont val="ＭＳ Ｐゴシック"/>
        <family val="3"/>
        <charset val="128"/>
      </rPr>
      <t>日 ver.8.0</t>
    </r>
    <rPh sb="4" eb="5">
      <t>ネン</t>
    </rPh>
    <rPh sb="6" eb="7">
      <t>ガツ</t>
    </rPh>
    <rPh sb="8" eb="9">
      <t>ニチ</t>
    </rPh>
    <phoneticPr fontId="3"/>
  </si>
  <si>
    <r>
      <t>人事システム構築指針</t>
    </r>
    <r>
      <rPr>
        <b/>
        <sz val="10.5"/>
        <rFont val="ＭＳ Ｐゴシック"/>
        <family val="3"/>
        <charset val="128"/>
      </rPr>
      <t>（2011年4月18日・取締役会承認）</t>
    </r>
    <rPh sb="22" eb="25">
      <t>トリシマリヤク</t>
    </rPh>
    <phoneticPr fontId="3"/>
  </si>
  <si>
    <t>【企業理念】</t>
  </si>
  <si>
    <t>　　　ＩＴ技術者集団として成長を続け、顧客・社会に貢献する。</t>
    <phoneticPr fontId="3"/>
  </si>
  <si>
    <t>　　　お客様本位のサービスを提供する。</t>
  </si>
  <si>
    <t>　　　顧客に満足されるシステムを高品質・適正価格・納期厳守で提供する。</t>
    <phoneticPr fontId="3"/>
  </si>
  <si>
    <t>　　　常に新しい技術を探求し続け、最適な技術を提供する。</t>
  </si>
  <si>
    <t>　　　株主・会社・社員・顧客に利益をもたらす。</t>
  </si>
  <si>
    <t>　　　法令を遵守し健全な経営を行う。</t>
  </si>
  <si>
    <t>　　　社員が働きやすい職場を目指す。</t>
  </si>
  <si>
    <t>　　　</t>
  </si>
  <si>
    <t>【人材育成指針】</t>
  </si>
  <si>
    <t>　　　社員のスキルアップを考え、社員の能力を高める環境を構築する。</t>
  </si>
  <si>
    <t>　　　社員の能力を高めるため先を見据えた目標設定をし、目標意識・啓発意欲を高める。</t>
    <phoneticPr fontId="3"/>
  </si>
  <si>
    <t>【社員のあるべき姿】</t>
  </si>
  <si>
    <t>　　　会社の成長に貢献でき、会社の成長と共に自己成長できる社員。</t>
    <phoneticPr fontId="3"/>
  </si>
  <si>
    <t>　　　常に向上心を持って人間形成に努め、自己啓発に努める社員。</t>
    <phoneticPr fontId="3"/>
  </si>
  <si>
    <t>　　　企業目標達成のために自ら考え行動できる社員。</t>
    <phoneticPr fontId="3"/>
  </si>
  <si>
    <t>　　　何事にも失敗を恐れず勇気を持って行動出来る社員。</t>
    <phoneticPr fontId="3"/>
  </si>
  <si>
    <t>　　　自分に与えられた仕事はどの様なことでも根気強く最後までやり抜く社員。</t>
    <phoneticPr fontId="3"/>
  </si>
  <si>
    <t>　　　日々健康で活気のある社員。</t>
    <phoneticPr fontId="3"/>
  </si>
  <si>
    <t>【経営陣の使命】</t>
  </si>
  <si>
    <t>　　　会社の方向性を定め、従業員の働きやすい環境・仕組みを作り、売上高・利益だけ</t>
    <phoneticPr fontId="3"/>
  </si>
  <si>
    <t>　　ではなく、資金調達や投資計画などを考え、会社の進むべき姿を考える。</t>
    <phoneticPr fontId="3"/>
  </si>
  <si>
    <t>　　　「顧客から見て価値ある企業を作ること」</t>
    <phoneticPr fontId="3"/>
  </si>
  <si>
    <t>　　　「事業を数字で管理し利益を上げること」</t>
    <phoneticPr fontId="3"/>
  </si>
  <si>
    <t>　　　「社員の能力を高める仕組みを作ること」</t>
    <phoneticPr fontId="3"/>
  </si>
  <si>
    <t>【管理職の使命】</t>
  </si>
  <si>
    <t>　　　任せられた部門を取りまとめ、経営資源を活用し目標を達成させる。</t>
    <phoneticPr fontId="3"/>
  </si>
  <si>
    <t>　　　「組織マネジメント・リスクマネジメントがしっかり行える」</t>
  </si>
  <si>
    <t>　　　「部下を育てる・正しい評価が行える」</t>
  </si>
  <si>
    <t>　　　「目標達成の方法を考え実施出来る」</t>
  </si>
  <si>
    <t>　　　「コミュニケーションをとり良好な人間関係と働きやすい環境を作る」</t>
  </si>
  <si>
    <t>《経営信条》　　　　　　　　　　　　　《三気の精神》</t>
  </si>
  <si>
    <t>　　　「調和と創造」　　　　　　　　　　　　「勇気」</t>
  </si>
  <si>
    <t>　　　「人格向上」　　　　　　　　　　　　　「根気」</t>
  </si>
  <si>
    <t>　　　「技術練磨」　　　　　　　　　　　　　「活気」</t>
  </si>
  <si>
    <t>　　　「四者共益」</t>
  </si>
  <si>
    <t>　　　「社会に貢献」</t>
  </si>
  <si>
    <t>Ⅰ.キャリアプラン制度の目的</t>
    <rPh sb="9" eb="11">
      <t>セイド</t>
    </rPh>
    <rPh sb="12" eb="14">
      <t>モクテキ</t>
    </rPh>
    <phoneticPr fontId="3"/>
  </si>
  <si>
    <t xml:space="preserve">　当社の企業理念は、『ＩＴ技術者集団として成長を続け、顧客・社会に貢献する』ことです。この理念を社員に浸透させ、社員一人一人がキャリア目標を掲げて自主的に取り組み、自己成長できるようキャリアプラン制度を導入します。
　キャリアは事業環境の変化に影響を受けざるを得ないので、身につけたスキルの賞味期限がいつまでかは誰にもわかりません。また、働ける期間が相対的に長くなったことで、生涯学び続ける必要性も出てきました。
　生き残るためには一人ひとりが自身の専門領域を大事にしつつ、周辺領域の知識・技術や経営について学ぶなどして視野を広げ、「これからどうなりたいか」を自律的に考えることが重要です。
　そのためには、複数の分野をカバーしたり、分野と分野の境界を狙ったりするなど、積極的にキャリアの幅を広げていくべきです。忙しい業務の中でも自己啓発を続けている方と、何も手を打たない方では数年後の差は明らかです。
　５年・１０年先にどのような能力・技術領域が重要視されるのかは予測できません。「今すぐこれを身につけたい」という具体的な目標の見当がつけられない場合は、自己啓発を「特定の能力・技術を身に着けるＨｏｗＴｏ」と考えるのではなく、いつでも変化に対応できる柔軟な思考と、学習能力をキープするために実行すると考えてみてください。
　能力・技術領域が変化した時に慌てて修得しようとしても、そもそも「学ぶ力」が衰えていると、修得の困難さが増します。新しい技術や業務の手法はいくらでも登場してきます。それらを知ることを楽しんで、興味をもって取り組んでください。
</t>
    <rPh sb="4" eb="6">
      <t>キギョウ</t>
    </rPh>
    <rPh sb="70" eb="71">
      <t>カカ</t>
    </rPh>
    <rPh sb="241" eb="243">
      <t>リョウイキ</t>
    </rPh>
    <rPh sb="358" eb="359">
      <t>イソガ</t>
    </rPh>
    <rPh sb="361" eb="363">
      <t>ギョウム</t>
    </rPh>
    <rPh sb="364" eb="365">
      <t>ナカ</t>
    </rPh>
    <rPh sb="419" eb="421">
      <t>ノウリョク</t>
    </rPh>
    <rPh sb="490" eb="492">
      <t>ノウリョク</t>
    </rPh>
    <rPh sb="567" eb="569">
      <t>ノウリョク</t>
    </rPh>
    <rPh sb="662" eb="664">
      <t>キョウミ</t>
    </rPh>
    <phoneticPr fontId="2"/>
  </si>
  <si>
    <t>Ⅱ.キャリアプラン制度の運用</t>
    <rPh sb="9" eb="11">
      <t>セイド</t>
    </rPh>
    <rPh sb="12" eb="14">
      <t>ウンヨウ</t>
    </rPh>
    <phoneticPr fontId="3"/>
  </si>
  <si>
    <t xml:space="preserve">　キャリアプラン制度では、半年ごとにキャリアプランを作成します。自身の課題や獲得したい業務スキルや知識・技術をよく考え、上長のサポートも受けながら、キャリア目標と行動施策を立ててください。
１．「キャリアプラン」は、上期開始(9～10月)、下期開始(4～5月)に各自作成します。
　　・作成についてわからないときは、「キャリアプランの作成方法」ページを確認してください。
　　・何を目標にするか、どの程度のレベルを目指すかに迷ったら、該当職種の「全社資格基準一覧表」も確
　　　認してください。
２．「キャリアプラン」では、インプット（研修受講・書籍を読む等）計画だけでなく、学んだことをどうやってアウ
　　トプットするかも計画してください。
　　・学んだことはチーム内で情報共有したり、レポートを作成して考えをまとめたり、といったアウトプット行動
　　　を通して定着します。
　　・研修受講や書籍で学んだ瞬間は、「いい研修だった」「ためになった」と感じても、業務に戻れば同じこと
　　　の繰り返しに戻ってしまいます。
　　・学んだことを使って、新しい方法に取り組むためには、「新しい方法の良さをチーム内に理解してもらう」
　　　「新しい業務の仕組みを作り直す」など、高い壁があり、一人で変化を起こすのは並大抵のことではあり
　　　ません。しかしせっかく学んだことを放置して、同じやり方を繰り返していては、自分にも周囲にも変化は
　　　起きません。
３．キャリアプランができあがったら、上司に提出し、チェックしてもらいます。
４．「キャリアプラン」は、各自で毎月見直し、進捗状況を確認をします。
　　・書いたまま書きっぱなしで、見直しや進捗確認を忘れないようにしてください。
５．「キャリアプラン」は、上司のかかわりも重要です。
　　・必ず四半期の途中経過も確認し、計画がとん挫していないか、サポートは必要ないかを確認してください。
　　・考課面談をするタイミングに、半年間の「キャリアプラン」行動実績を確認します。
６．キャリアプラン制度は、自分を成長させるために、自律的に取り組む仕組みです。
　　・上司の支援を積極的に求め、キャリア目標を達成してください。
</t>
    <rPh sb="26" eb="28">
      <t>サクセイ</t>
    </rPh>
    <rPh sb="60" eb="62">
      <t>ジョウチョウ</t>
    </rPh>
    <rPh sb="68" eb="69">
      <t>ウ</t>
    </rPh>
    <rPh sb="78" eb="80">
      <t>モクヒョウ</t>
    </rPh>
    <rPh sb="81" eb="83">
      <t>コウドウ</t>
    </rPh>
    <rPh sb="83" eb="85">
      <t>シサク</t>
    </rPh>
    <rPh sb="86" eb="87">
      <t>タ</t>
    </rPh>
    <rPh sb="178" eb="180">
      <t>カクニン</t>
    </rPh>
    <rPh sb="191" eb="192">
      <t>ナニ</t>
    </rPh>
    <rPh sb="193" eb="195">
      <t>モクヒョウ</t>
    </rPh>
    <rPh sb="202" eb="204">
      <t>テイド</t>
    </rPh>
    <rPh sb="209" eb="211">
      <t>メザ</t>
    </rPh>
    <rPh sb="214" eb="215">
      <t>マヨ</t>
    </rPh>
    <rPh sb="219" eb="221">
      <t>ガイトウ</t>
    </rPh>
    <rPh sb="221" eb="223">
      <t>ショクシュ</t>
    </rPh>
    <rPh sb="225" eb="227">
      <t>ゼンシャ</t>
    </rPh>
    <rPh sb="227" eb="229">
      <t>シカク</t>
    </rPh>
    <rPh sb="229" eb="231">
      <t>キジュン</t>
    </rPh>
    <rPh sb="231" eb="233">
      <t>イチラン</t>
    </rPh>
    <rPh sb="233" eb="234">
      <t>ヒョウ</t>
    </rPh>
    <rPh sb="271" eb="273">
      <t>ケンシュウ</t>
    </rPh>
    <rPh sb="273" eb="275">
      <t>ジュコウ</t>
    </rPh>
    <rPh sb="276" eb="278">
      <t>ショセキ</t>
    </rPh>
    <rPh sb="279" eb="280">
      <t>ヨ</t>
    </rPh>
    <rPh sb="281" eb="282">
      <t>ナド</t>
    </rPh>
    <rPh sb="283" eb="285">
      <t>ケイカク</t>
    </rPh>
    <rPh sb="291" eb="292">
      <t>マナ</t>
    </rPh>
    <rPh sb="315" eb="317">
      <t>ケイカク</t>
    </rPh>
    <rPh sb="382" eb="383">
      <t>トオ</t>
    </rPh>
    <rPh sb="385" eb="387">
      <t>テイチャク</t>
    </rPh>
    <rPh sb="606" eb="608">
      <t>ジブン</t>
    </rPh>
    <rPh sb="610" eb="612">
      <t>シュウイ</t>
    </rPh>
    <rPh sb="621" eb="622">
      <t>オ</t>
    </rPh>
    <rPh sb="681" eb="683">
      <t>カクジ</t>
    </rPh>
    <rPh sb="692" eb="694">
      <t>ジョウキョウ</t>
    </rPh>
    <rPh sb="765" eb="767">
      <t>ジュウヨウ</t>
    </rPh>
    <rPh sb="774" eb="775">
      <t>カナラ</t>
    </rPh>
    <rPh sb="776" eb="779">
      <t>シハンキ</t>
    </rPh>
    <rPh sb="813" eb="815">
      <t>カクニン</t>
    </rPh>
    <rPh sb="840" eb="843">
      <t>ハントシカン</t>
    </rPh>
    <rPh sb="853" eb="855">
      <t>コウドウ</t>
    </rPh>
    <rPh sb="855" eb="857">
      <t>ジッセキ</t>
    </rPh>
    <phoneticPr fontId="2"/>
  </si>
  <si>
    <t>職群別資格制度　解説</t>
    <rPh sb="0" eb="1">
      <t>ショク</t>
    </rPh>
    <rPh sb="1" eb="2">
      <t>グン</t>
    </rPh>
    <rPh sb="2" eb="3">
      <t>ベツ</t>
    </rPh>
    <rPh sb="3" eb="7">
      <t>シカクセイド</t>
    </rPh>
    <rPh sb="8" eb="10">
      <t>カイセツ</t>
    </rPh>
    <phoneticPr fontId="3"/>
  </si>
  <si>
    <t>職群資格制度の趣旨</t>
    <rPh sb="0" eb="1">
      <t>ショク</t>
    </rPh>
    <rPh sb="1" eb="2">
      <t>グン</t>
    </rPh>
    <rPh sb="2" eb="4">
      <t>シカク</t>
    </rPh>
    <rPh sb="4" eb="6">
      <t>セイド</t>
    </rPh>
    <rPh sb="7" eb="9">
      <t>シュシ</t>
    </rPh>
    <phoneticPr fontId="3"/>
  </si>
  <si>
    <t xml:space="preserve">　「資格に期待される職務遂行内容は何か」「何ができれば上位の資格に上がれるか」が明確になれば、やる気やモチベーションが高まります。
  会社の中の職務を四つの職群に分けて、その役割を「職群定義」としました。さらに、各職群をレベル別に分け、「職群別資格制度」と格付けしました。この格付けを「資格」と呼びます。
　また、会社が社員に何を求めているかを明確にするために、各資格の定義を具体的に記述しています。これが後述する「全社資格基準一覧表」です。
　自分の資格を確認し、「全社資格基準一覧表」を読んで、期待される役割・ミッションを理解し、求められる資格定義に基づく行動がとれるようにしましょう。
</t>
    <rPh sb="30" eb="32">
      <t>シカク</t>
    </rPh>
    <phoneticPr fontId="2"/>
  </si>
  <si>
    <t>職群定義</t>
    <rPh sb="2" eb="4">
      <t>テイギ</t>
    </rPh>
    <phoneticPr fontId="3"/>
  </si>
  <si>
    <t>職群区分
資格名称</t>
    <rPh sb="5" eb="7">
      <t>シカク</t>
    </rPh>
    <rPh sb="7" eb="9">
      <t>メイショウ</t>
    </rPh>
    <phoneticPr fontId="3"/>
  </si>
  <si>
    <t>定　　　　義</t>
  </si>
  <si>
    <t>経営職群
M４・M3</t>
    <phoneticPr fontId="3"/>
  </si>
  <si>
    <t>経営幹部として事業計画策定・新規事業発案・経営管理業務を担うとともに、自らもライン業務の推進にあたり、責任部署の目標達成に責任を負う。</t>
    <rPh sb="0" eb="4">
      <t>ケイエイカンブ</t>
    </rPh>
    <rPh sb="7" eb="13">
      <t>ジギョウケイカクサクテイ</t>
    </rPh>
    <rPh sb="14" eb="18">
      <t>シンキジギョウ</t>
    </rPh>
    <rPh sb="18" eb="20">
      <t>ハツアン</t>
    </rPh>
    <phoneticPr fontId="2"/>
  </si>
  <si>
    <t>管理職群
M２・M１</t>
    <rPh sb="0" eb="2">
      <t>カンリ</t>
    </rPh>
    <phoneticPr fontId="3"/>
  </si>
  <si>
    <r>
      <t>担当組織(課単位)の事業計画策定・企画立案、対外折衝など組織マネジメントの役割発揮と、</t>
    </r>
    <r>
      <rPr>
        <b/>
        <sz val="10.5"/>
        <color rgb="FFFF0000"/>
        <rFont val="ＭＳ Ｐゴシック"/>
        <family val="3"/>
        <charset val="128"/>
      </rPr>
      <t>組織目標達成責任</t>
    </r>
    <r>
      <rPr>
        <sz val="10.5"/>
        <color rgb="FFFF0000"/>
        <rFont val="ＭＳ Ｐゴシック"/>
        <family val="3"/>
        <charset val="128"/>
      </rPr>
      <t>を負う。
課員の長期育成(モチベーションマネジメント・キャリアプラン・考課等)・労務管理の責任を負う。</t>
    </r>
    <rPh sb="0" eb="2">
      <t>タントウ</t>
    </rPh>
    <rPh sb="2" eb="4">
      <t>ソシキ</t>
    </rPh>
    <rPh sb="5" eb="6">
      <t>カ</t>
    </rPh>
    <rPh sb="6" eb="8">
      <t>タンイ</t>
    </rPh>
    <rPh sb="10" eb="12">
      <t>ジギョウ</t>
    </rPh>
    <rPh sb="12" eb="14">
      <t>ケイカク</t>
    </rPh>
    <rPh sb="14" eb="16">
      <t>サクテイ</t>
    </rPh>
    <rPh sb="17" eb="19">
      <t>キカク</t>
    </rPh>
    <rPh sb="28" eb="30">
      <t>ソシキ</t>
    </rPh>
    <rPh sb="37" eb="39">
      <t>ヤクワリ</t>
    </rPh>
    <rPh sb="43" eb="45">
      <t>ソシキ</t>
    </rPh>
    <rPh sb="56" eb="58">
      <t>カイン</t>
    </rPh>
    <rPh sb="59" eb="61">
      <t>チョウキ</t>
    </rPh>
    <rPh sb="61" eb="63">
      <t>イクセイ</t>
    </rPh>
    <rPh sb="86" eb="88">
      <t>コウカ</t>
    </rPh>
    <rPh sb="88" eb="89">
      <t>ナド</t>
    </rPh>
    <rPh sb="91" eb="95">
      <t>ロウムカンリ</t>
    </rPh>
    <rPh sb="96" eb="98">
      <t>セキニン</t>
    </rPh>
    <rPh sb="99" eb="100">
      <t>オ</t>
    </rPh>
    <phoneticPr fontId="2"/>
  </si>
  <si>
    <t>一般職群
R4～R1</t>
    <phoneticPr fontId="3"/>
  </si>
  <si>
    <t>管理職群・スペシャリスト職群の指示を受け、担当業務の中での役割発揮と自身の目標達成責任を負う。</t>
    <rPh sb="0" eb="4">
      <t>カンリショクグン</t>
    </rPh>
    <rPh sb="12" eb="14">
      <t>ショクグン</t>
    </rPh>
    <rPh sb="15" eb="17">
      <t>シジ</t>
    </rPh>
    <rPh sb="18" eb="19">
      <t>ウ</t>
    </rPh>
    <rPh sb="23" eb="25">
      <t>ギョウム</t>
    </rPh>
    <rPh sb="26" eb="27">
      <t>ナカ</t>
    </rPh>
    <phoneticPr fontId="3"/>
  </si>
  <si>
    <t>スペシャリスト職群
S4～S1</t>
    <rPh sb="7" eb="8">
      <t>ショク</t>
    </rPh>
    <phoneticPr fontId="3"/>
  </si>
  <si>
    <r>
      <t>高度広範な専門知識と技能を持ち、自らの役割発揮と</t>
    </r>
    <r>
      <rPr>
        <b/>
        <sz val="10.5"/>
        <color rgb="FFFF0000"/>
        <rFont val="ＭＳ Ｐゴシック"/>
        <family val="3"/>
        <charset val="128"/>
      </rPr>
      <t>プロジェクトを成功裏に完遂する達成責任</t>
    </r>
    <r>
      <rPr>
        <sz val="10.5"/>
        <color rgb="FFFF0000"/>
        <rFont val="ＭＳ Ｐゴシック"/>
        <family val="3"/>
        <charset val="128"/>
      </rPr>
      <t>を負う。
プロジェクトメンバのタスク配分を行い、プロジェクト成功に必要なスキルを身につけさせるための育成・日々の指導も行う。
管理職群と業務の日常評価情報を提供共有する。</t>
    </r>
    <rPh sb="31" eb="34">
      <t>セイコウリ</t>
    </rPh>
    <rPh sb="35" eb="37">
      <t>カンスイ</t>
    </rPh>
    <rPh sb="64" eb="65">
      <t>オコナ</t>
    </rPh>
    <rPh sb="76" eb="78">
      <t>ヒツヨウ</t>
    </rPh>
    <rPh sb="93" eb="95">
      <t>イクセイ</t>
    </rPh>
    <rPh sb="96" eb="98">
      <t>ヒビ</t>
    </rPh>
    <rPh sb="102" eb="103">
      <t>オコナ</t>
    </rPh>
    <rPh sb="106" eb="110">
      <t>カンリショクグン</t>
    </rPh>
    <rPh sb="111" eb="113">
      <t>ギョウム</t>
    </rPh>
    <rPh sb="114" eb="118">
      <t>ニチジョウヒョウカ</t>
    </rPh>
    <rPh sb="118" eb="120">
      <t>ジョウホウ</t>
    </rPh>
    <rPh sb="121" eb="123">
      <t>テイキョウ</t>
    </rPh>
    <rPh sb="123" eb="125">
      <t>キョウユウ</t>
    </rPh>
    <phoneticPr fontId="7"/>
  </si>
  <si>
    <t>職群別資格制度の編成　　  　　　　　　　　昇格・昇進　　　　　　　職群異動</t>
    <rPh sb="3" eb="5">
      <t>シカク</t>
    </rPh>
    <rPh sb="22" eb="24">
      <t>ショウカク</t>
    </rPh>
    <rPh sb="25" eb="27">
      <t>ショウシン</t>
    </rPh>
    <rPh sb="34" eb="35">
      <t>ショク</t>
    </rPh>
    <rPh sb="35" eb="36">
      <t>グン</t>
    </rPh>
    <rPh sb="36" eb="38">
      <t>イドウ</t>
    </rPh>
    <phoneticPr fontId="3"/>
  </si>
  <si>
    <t>役職呼称</t>
    <rPh sb="0" eb="2">
      <t>ヤクショク</t>
    </rPh>
    <rPh sb="2" eb="4">
      <t>コショウ</t>
    </rPh>
    <phoneticPr fontId="7"/>
  </si>
  <si>
    <t>ランク</t>
    <phoneticPr fontId="2"/>
  </si>
  <si>
    <t>経営職群</t>
    <rPh sb="0" eb="2">
      <t>ケイエイ</t>
    </rPh>
    <rPh sb="2" eb="3">
      <t>ショク</t>
    </rPh>
    <rPh sb="3" eb="4">
      <t>グン</t>
    </rPh>
    <phoneticPr fontId="7"/>
  </si>
  <si>
    <t>管理職群</t>
    <rPh sb="0" eb="2">
      <t>カンリ</t>
    </rPh>
    <rPh sb="2" eb="3">
      <t>ショク</t>
    </rPh>
    <rPh sb="3" eb="4">
      <t>グン</t>
    </rPh>
    <phoneticPr fontId="7"/>
  </si>
  <si>
    <t>一般職群</t>
    <rPh sb="0" eb="2">
      <t>イッパン</t>
    </rPh>
    <rPh sb="2" eb="3">
      <t>ショク</t>
    </rPh>
    <rPh sb="3" eb="4">
      <t>グン</t>
    </rPh>
    <phoneticPr fontId="7"/>
  </si>
  <si>
    <t>ｽﾍﾟｼｬﾘｽﾄ職群</t>
    <rPh sb="8" eb="9">
      <t>グン</t>
    </rPh>
    <rPh sb="9" eb="10">
      <t>グン</t>
    </rPh>
    <phoneticPr fontId="7"/>
  </si>
  <si>
    <t>執行役員
事業部長</t>
    <rPh sb="0" eb="2">
      <t>シッコウ</t>
    </rPh>
    <rPh sb="2" eb="4">
      <t>ヤクイン</t>
    </rPh>
    <rPh sb="5" eb="7">
      <t>ジギョウ</t>
    </rPh>
    <rPh sb="7" eb="8">
      <t>ブ</t>
    </rPh>
    <rPh sb="8" eb="9">
      <t>チョウ</t>
    </rPh>
    <phoneticPr fontId="7"/>
  </si>
  <si>
    <t>‐</t>
    <phoneticPr fontId="2"/>
  </si>
  <si>
    <t>Ｍ４</t>
    <phoneticPr fontId="7"/>
  </si>
  <si>
    <t>Ｓ４</t>
    <phoneticPr fontId="2"/>
  </si>
  <si>
    <t>上席
スペシャリスト</t>
    <rPh sb="1" eb="2">
      <t>セキ</t>
    </rPh>
    <phoneticPr fontId="7"/>
  </si>
  <si>
    <t>部 長</t>
    <rPh sb="0" eb="1">
      <t>ブ</t>
    </rPh>
    <rPh sb="2" eb="3">
      <t>チョウ</t>
    </rPh>
    <phoneticPr fontId="7"/>
  </si>
  <si>
    <t>Ｍ３</t>
    <phoneticPr fontId="7"/>
  </si>
  <si>
    <t>Ｓ３</t>
  </si>
  <si>
    <t>シニア
スペシャリスト</t>
  </si>
  <si>
    <t>次長</t>
    <rPh sb="0" eb="2">
      <t>ジチョウ</t>
    </rPh>
    <phoneticPr fontId="2"/>
  </si>
  <si>
    <t>Ｍ
課 長
専門上級ＳＥ
専門上級技師</t>
    <rPh sb="2" eb="3">
      <t>カ</t>
    </rPh>
    <rPh sb="4" eb="5">
      <t>チョウ</t>
    </rPh>
    <rPh sb="8" eb="9">
      <t>ウエ</t>
    </rPh>
    <phoneticPr fontId="7"/>
  </si>
  <si>
    <t>Ｍ２</t>
    <phoneticPr fontId="7"/>
  </si>
  <si>
    <t>Ｓ２</t>
    <phoneticPr fontId="7"/>
  </si>
  <si>
    <t>スペシャリスト</t>
    <phoneticPr fontId="7"/>
  </si>
  <si>
    <t>AＭ
課長代理
専門中級ＳＥ
専門中級技師</t>
    <rPh sb="3" eb="5">
      <t>カチョウ</t>
    </rPh>
    <rPh sb="5" eb="7">
      <t>ダイリ</t>
    </rPh>
    <rPh sb="8" eb="10">
      <t>センモン</t>
    </rPh>
    <rPh sb="10" eb="11">
      <t>チュウ</t>
    </rPh>
    <rPh sb="11" eb="12">
      <t>キュウ</t>
    </rPh>
    <rPh sb="15" eb="17">
      <t>センモン</t>
    </rPh>
    <rPh sb="17" eb="19">
      <t>チュウキュウ</t>
    </rPh>
    <rPh sb="19" eb="21">
      <t>ギシ</t>
    </rPh>
    <phoneticPr fontId="7"/>
  </si>
  <si>
    <t>Ｍ１</t>
    <phoneticPr fontId="7"/>
  </si>
  <si>
    <t>Ｓ１</t>
    <phoneticPr fontId="7"/>
  </si>
  <si>
    <t>ジュニア
スペシャリスト</t>
  </si>
  <si>
    <t>上級ＳＥ
上級技師
上級運用技師
上級営業
上級事務</t>
    <rPh sb="0" eb="2">
      <t>ジョウキュウ</t>
    </rPh>
    <rPh sb="5" eb="7">
      <t>ジョウキュウ</t>
    </rPh>
    <rPh sb="7" eb="9">
      <t>ギシ</t>
    </rPh>
    <rPh sb="17" eb="19">
      <t>ジョウキュウ</t>
    </rPh>
    <rPh sb="19" eb="21">
      <t>エイギョウ</t>
    </rPh>
    <rPh sb="22" eb="24">
      <t>ジョウキュウ</t>
    </rPh>
    <rPh sb="24" eb="26">
      <t>ジム</t>
    </rPh>
    <phoneticPr fontId="7"/>
  </si>
  <si>
    <t>Ｒ４</t>
    <phoneticPr fontId="7"/>
  </si>
  <si>
    <t>中級Ｓ Ｅ
中級技師
中級運用技師
中級営業
中級事務</t>
    <rPh sb="6" eb="8">
      <t>チュウキュウ</t>
    </rPh>
    <rPh sb="8" eb="10">
      <t>ギシ</t>
    </rPh>
    <rPh sb="11" eb="13">
      <t>チュウキュウ</t>
    </rPh>
    <rPh sb="18" eb="20">
      <t>チュウキュウ</t>
    </rPh>
    <rPh sb="20" eb="22">
      <t>エイギョウ</t>
    </rPh>
    <rPh sb="23" eb="25">
      <t>チュウキュウ</t>
    </rPh>
    <rPh sb="25" eb="27">
      <t>ジム</t>
    </rPh>
    <phoneticPr fontId="7"/>
  </si>
  <si>
    <t>Ｒ３</t>
    <phoneticPr fontId="7"/>
  </si>
  <si>
    <t>初級Ｓ Ｅ
初級技師
初級運用技師
初級営業
初級事務</t>
    <rPh sb="6" eb="8">
      <t>ショキュウ</t>
    </rPh>
    <rPh sb="8" eb="10">
      <t>ギシ</t>
    </rPh>
    <rPh sb="18" eb="20">
      <t>ショキュウ</t>
    </rPh>
    <rPh sb="20" eb="22">
      <t>エイギョウ</t>
    </rPh>
    <rPh sb="23" eb="25">
      <t>ショキュウ</t>
    </rPh>
    <rPh sb="25" eb="27">
      <t>ジム</t>
    </rPh>
    <phoneticPr fontId="7"/>
  </si>
  <si>
    <t>Ｒ２</t>
    <phoneticPr fontId="7"/>
  </si>
  <si>
    <t>Ｐ Ｇ
担当技師
担当運用技師
営業補助
事務補助</t>
    <rPh sb="4" eb="6">
      <t>タントウ</t>
    </rPh>
    <rPh sb="6" eb="8">
      <t>ギシ</t>
    </rPh>
    <rPh sb="9" eb="11">
      <t>タントウ</t>
    </rPh>
    <rPh sb="16" eb="18">
      <t>エイギョウ</t>
    </rPh>
    <rPh sb="18" eb="20">
      <t>ホジョ</t>
    </rPh>
    <rPh sb="21" eb="23">
      <t>ジム</t>
    </rPh>
    <rPh sb="23" eb="25">
      <t>ホジョ</t>
    </rPh>
    <phoneticPr fontId="7"/>
  </si>
  <si>
    <t>Ｒ１</t>
    <phoneticPr fontId="7"/>
  </si>
  <si>
    <t>ﾄﾚｰﾆﾝｸﾞ</t>
    <phoneticPr fontId="3"/>
  </si>
  <si>
    <t>Ｔ</t>
    <phoneticPr fontId="7"/>
  </si>
  <si>
    <t>Ｍ：manager  Ｓ：specialist  Ｒ：regular  Ｅ：engineer　Ｔ：training</t>
    <phoneticPr fontId="7"/>
  </si>
  <si>
    <t>※管理職群もしくは専門職群に昇進したものが職群異動を希望する場合、一資格降格して異動します。</t>
    <phoneticPr fontId="3"/>
  </si>
  <si>
    <t>※新卒入社１年めは、トレーニング期間と考えてＴに格付けされます。２年めの４月に自動的にＲ１に</t>
    <phoneticPr fontId="2"/>
  </si>
  <si>
    <t>　　格付けされます。</t>
    <phoneticPr fontId="2"/>
  </si>
  <si>
    <t>全社資格基準一覧表の見方</t>
    <rPh sb="0" eb="2">
      <t>ゼンシャ</t>
    </rPh>
    <rPh sb="2" eb="4">
      <t>シカク</t>
    </rPh>
    <rPh sb="4" eb="6">
      <t>キジュン</t>
    </rPh>
    <rPh sb="6" eb="8">
      <t>イチラン</t>
    </rPh>
    <rPh sb="8" eb="9">
      <t>ヒョウ</t>
    </rPh>
    <rPh sb="10" eb="12">
      <t>ミカタ</t>
    </rPh>
    <phoneticPr fontId="3"/>
  </si>
  <si>
    <t>能力要件の見方へジャンプ</t>
    <rPh sb="0" eb="2">
      <t>ノウリョク</t>
    </rPh>
    <rPh sb="2" eb="4">
      <t>ヨウケン</t>
    </rPh>
    <rPh sb="5" eb="7">
      <t>ミカタ</t>
    </rPh>
    <phoneticPr fontId="3"/>
  </si>
  <si>
    <t>能力要件の見方</t>
    <rPh sb="0" eb="2">
      <t>ノウリョク</t>
    </rPh>
    <rPh sb="2" eb="4">
      <t>ヨウケン</t>
    </rPh>
    <rPh sb="5" eb="7">
      <t>ミカタ</t>
    </rPh>
    <phoneticPr fontId="3"/>
  </si>
  <si>
    <t>キャリアプランの作成（記入例）</t>
    <rPh sb="11" eb="13">
      <t>キニュウ</t>
    </rPh>
    <rPh sb="13" eb="14">
      <t>レイ</t>
    </rPh>
    <phoneticPr fontId="3"/>
  </si>
  <si>
    <t>１.　5年後のキャリア目標を立てます。</t>
    <rPh sb="4" eb="6">
      <t>ネンゴ</t>
    </rPh>
    <rPh sb="11" eb="13">
      <t>モクヒョウ</t>
    </rPh>
    <rPh sb="14" eb="15">
      <t>タ</t>
    </rPh>
    <phoneticPr fontId="3"/>
  </si>
  <si>
    <t>　　　　・キャリアの方向性を明確にするために、５年後の目標を考えます。途中で変更しても構いません。</t>
    <rPh sb="10" eb="13">
      <t>ホウコウセイ</t>
    </rPh>
    <rPh sb="14" eb="16">
      <t>メイカク</t>
    </rPh>
    <rPh sb="24" eb="26">
      <t>ネンゴ</t>
    </rPh>
    <rPh sb="27" eb="29">
      <t>モクヒョウ</t>
    </rPh>
    <rPh sb="30" eb="31">
      <t>カンガ</t>
    </rPh>
    <rPh sb="35" eb="37">
      <t>トチュウ</t>
    </rPh>
    <rPh sb="38" eb="40">
      <t>ヘンコウ</t>
    </rPh>
    <rPh sb="43" eb="44">
      <t>カマ</t>
    </rPh>
    <phoneticPr fontId="2"/>
  </si>
  <si>
    <t>　　　　・キャリアの方向性を考える習慣が身に付きますし、どのような支援を必要としているのか上長と共有できます。</t>
    <rPh sb="10" eb="13">
      <t>ホウコウセイ</t>
    </rPh>
    <rPh sb="14" eb="15">
      <t>カンガ</t>
    </rPh>
    <rPh sb="17" eb="19">
      <t>シュウカン</t>
    </rPh>
    <rPh sb="20" eb="21">
      <t>ミ</t>
    </rPh>
    <rPh sb="22" eb="23">
      <t>ツ</t>
    </rPh>
    <rPh sb="33" eb="35">
      <t>シエン</t>
    </rPh>
    <rPh sb="36" eb="38">
      <t>ヒツヨウ</t>
    </rPh>
    <rPh sb="45" eb="47">
      <t>ジョウチョウ</t>
    </rPh>
    <rPh sb="48" eb="50">
      <t>キョウユウ</t>
    </rPh>
    <phoneticPr fontId="2"/>
  </si>
  <si>
    <t>２.　自己啓発目標は次の視点で２つ考えます。</t>
    <rPh sb="3" eb="5">
      <t>ジコ</t>
    </rPh>
    <rPh sb="5" eb="7">
      <t>ケイハツ</t>
    </rPh>
    <rPh sb="7" eb="9">
      <t>モクヒョウ</t>
    </rPh>
    <rPh sb="10" eb="11">
      <t>ツギ</t>
    </rPh>
    <rPh sb="12" eb="14">
      <t>シテン</t>
    </rPh>
    <rPh sb="17" eb="18">
      <t>カンガ</t>
    </rPh>
    <phoneticPr fontId="3"/>
  </si>
  <si>
    <t>　　　　・仕事の幅を広げるために、スキルの幅を広げる取組み　　⇒　複数技術の獲得など、技術領域を広げるための目標</t>
    <rPh sb="5" eb="7">
      <t>シゴト</t>
    </rPh>
    <rPh sb="8" eb="9">
      <t>ハバ</t>
    </rPh>
    <rPh sb="10" eb="11">
      <t>ヒロ</t>
    </rPh>
    <rPh sb="21" eb="22">
      <t>ハバ</t>
    </rPh>
    <rPh sb="23" eb="24">
      <t>ヒロ</t>
    </rPh>
    <rPh sb="26" eb="28">
      <t>トリク</t>
    </rPh>
    <rPh sb="33" eb="35">
      <t>フクスウ</t>
    </rPh>
    <rPh sb="35" eb="37">
      <t>ギジュツ</t>
    </rPh>
    <rPh sb="38" eb="40">
      <t>カクトク</t>
    </rPh>
    <rPh sb="54" eb="56">
      <t>モクヒョウ</t>
    </rPh>
    <phoneticPr fontId="2"/>
  </si>
  <si>
    <t>　　　　・上位の役割・責任を引き受けるための取組み　　　　　　　　⇒　人間力・仕事力を鍛えるための目標</t>
    <rPh sb="5" eb="7">
      <t>ジョウイ</t>
    </rPh>
    <rPh sb="8" eb="10">
      <t>ヤクワリ</t>
    </rPh>
    <rPh sb="11" eb="13">
      <t>セキニン</t>
    </rPh>
    <rPh sb="14" eb="15">
      <t>ヒ</t>
    </rPh>
    <rPh sb="16" eb="17">
      <t>ウ</t>
    </rPh>
    <rPh sb="22" eb="24">
      <t>トリク</t>
    </rPh>
    <rPh sb="49" eb="51">
      <t>モクヒョウ</t>
    </rPh>
    <phoneticPr fontId="2"/>
  </si>
  <si>
    <t>３.　目標に到達するための「方法・プロセス」を考えます。</t>
    <rPh sb="3" eb="5">
      <t>モクヒョウ</t>
    </rPh>
    <rPh sb="6" eb="8">
      <t>トウタツ</t>
    </rPh>
    <rPh sb="14" eb="16">
      <t>ホウホウ</t>
    </rPh>
    <rPh sb="23" eb="24">
      <t>カンガ</t>
    </rPh>
    <phoneticPr fontId="3"/>
  </si>
  <si>
    <t>　　　　・「方法・プロセス」を具体化しておくと、進捗確認がやりやすく、うまく行かなくなった場合の軌道修正が可能です。</t>
    <rPh sb="6" eb="8">
      <t>ホウホウ</t>
    </rPh>
    <phoneticPr fontId="2"/>
  </si>
  <si>
    <t>　　　　　具体的でないと、達成できそうなのか、うまくいっているのかがわかりにくく、期間終了後に結局未達成という事態を招きます。</t>
    <phoneticPr fontId="2"/>
  </si>
  <si>
    <t>　　　　・「方法・プロセス」には、インプットした知識をアウトプットする計画まであわせて考えます。</t>
    <rPh sb="6" eb="8">
      <t>ホウホウ</t>
    </rPh>
    <rPh sb="24" eb="26">
      <t>チシキ</t>
    </rPh>
    <rPh sb="35" eb="37">
      <t>ケイカク</t>
    </rPh>
    <rPh sb="43" eb="44">
      <t>カンガ</t>
    </rPh>
    <phoneticPr fontId="2"/>
  </si>
  <si>
    <t>　　　　　アウトプットとは、「資格を取得する」「チーム内にフィードバックする」「レポートを作成する」「行動計画を立てる」「研修講師を</t>
    <rPh sb="15" eb="17">
      <t>シカク</t>
    </rPh>
    <rPh sb="18" eb="20">
      <t>シュトク</t>
    </rPh>
    <rPh sb="51" eb="53">
      <t>コウドウ</t>
    </rPh>
    <rPh sb="53" eb="55">
      <t>ケイカク</t>
    </rPh>
    <rPh sb="56" eb="57">
      <t>タ</t>
    </rPh>
    <rPh sb="61" eb="63">
      <t>ケンシュウ</t>
    </rPh>
    <rPh sb="63" eb="65">
      <t>コウシ</t>
    </rPh>
    <phoneticPr fontId="2"/>
  </si>
  <si>
    <t>　　　　　担当する」「部門で業務改善活動を行う」といった行動を指します。アウトプット計画が必要な理由は、「キャリアプラン制度の</t>
    <rPh sb="28" eb="30">
      <t>コウドウ</t>
    </rPh>
    <rPh sb="31" eb="32">
      <t>サ</t>
    </rPh>
    <rPh sb="42" eb="44">
      <t>ケイカク</t>
    </rPh>
    <rPh sb="45" eb="47">
      <t>ヒツヨウ</t>
    </rPh>
    <rPh sb="48" eb="50">
      <t>リユウ</t>
    </rPh>
    <phoneticPr fontId="2"/>
  </si>
  <si>
    <t>　　　　　運用」の項番２も確認してください。</t>
    <rPh sb="9" eb="11">
      <t>コウバン</t>
    </rPh>
    <rPh sb="13" eb="15">
      <t>カクニン</t>
    </rPh>
    <phoneticPr fontId="2"/>
  </si>
  <si>
    <t>４.　半期で達成できない目標を立てる場合は、「最終目標と期限」「半期で到達したい中間目標」を書いてください。</t>
    <rPh sb="3" eb="4">
      <t>ハン</t>
    </rPh>
    <rPh sb="4" eb="5">
      <t>キ</t>
    </rPh>
    <rPh sb="6" eb="8">
      <t>タッセイ</t>
    </rPh>
    <rPh sb="12" eb="14">
      <t>モクヒョウ</t>
    </rPh>
    <rPh sb="15" eb="16">
      <t>タ</t>
    </rPh>
    <rPh sb="18" eb="20">
      <t>バアイ</t>
    </rPh>
    <rPh sb="23" eb="25">
      <t>サイシュウ</t>
    </rPh>
    <rPh sb="25" eb="27">
      <t>モクヒョウ</t>
    </rPh>
    <rPh sb="28" eb="30">
      <t>キゲン</t>
    </rPh>
    <rPh sb="32" eb="34">
      <t>ハンキ</t>
    </rPh>
    <rPh sb="35" eb="37">
      <t>トウタツ</t>
    </rPh>
    <rPh sb="40" eb="42">
      <t>チュウカン</t>
    </rPh>
    <rPh sb="42" eb="44">
      <t>モクヒョウ</t>
    </rPh>
    <rPh sb="46" eb="47">
      <t>カ</t>
    </rPh>
    <phoneticPr fontId="3"/>
  </si>
  <si>
    <t>　　　　　例）　２年後にＪａｖａ　Ｇｏｌｄを取得する</t>
    <rPh sb="5" eb="6">
      <t>レイ</t>
    </rPh>
    <rPh sb="9" eb="11">
      <t>ネンゴ</t>
    </rPh>
    <rPh sb="22" eb="24">
      <t>シュトク</t>
    </rPh>
    <phoneticPr fontId="2"/>
  </si>
  <si>
    <t>　　　　　　　　半期目標は、Ｊａｖａ　Ｓｉｌｖｅｒ受験に必要な知識を修得する</t>
    <rPh sb="8" eb="10">
      <t>ハンキ</t>
    </rPh>
    <rPh sb="10" eb="12">
      <t>モクヒョウ</t>
    </rPh>
    <rPh sb="25" eb="27">
      <t>ジュケン</t>
    </rPh>
    <rPh sb="28" eb="30">
      <t>ヒツヨウ</t>
    </rPh>
    <rPh sb="31" eb="33">
      <t>チシキ</t>
    </rPh>
    <rPh sb="34" eb="36">
      <t>シュウトク</t>
    </rPh>
    <phoneticPr fontId="2"/>
  </si>
  <si>
    <t>５.　「行動した実績」は、半期を振り返るタイミングで記入しますが、行動実績や自己啓発の成果を上長が判断できるように書いて</t>
    <rPh sb="4" eb="6">
      <t>コウドウ</t>
    </rPh>
    <rPh sb="8" eb="10">
      <t>ジッセキ</t>
    </rPh>
    <rPh sb="13" eb="15">
      <t>ハンキ</t>
    </rPh>
    <rPh sb="16" eb="17">
      <t>フ</t>
    </rPh>
    <rPh sb="18" eb="19">
      <t>カエ</t>
    </rPh>
    <rPh sb="26" eb="28">
      <t>キニュウ</t>
    </rPh>
    <rPh sb="33" eb="35">
      <t>コウドウ</t>
    </rPh>
    <rPh sb="35" eb="37">
      <t>ジッセキ</t>
    </rPh>
    <rPh sb="38" eb="40">
      <t>ジコ</t>
    </rPh>
    <rPh sb="40" eb="42">
      <t>ケイハツ</t>
    </rPh>
    <rPh sb="43" eb="45">
      <t>セイカ</t>
    </rPh>
    <rPh sb="46" eb="48">
      <t>ジョウチョウ</t>
    </rPh>
    <rPh sb="49" eb="51">
      <t>ハンダン</t>
    </rPh>
    <rPh sb="57" eb="58">
      <t>カ</t>
    </rPh>
    <phoneticPr fontId="3"/>
  </si>
  <si>
    <t>　　　ください。</t>
    <phoneticPr fontId="2"/>
  </si>
  <si>
    <t>６.　課題は、「今できていること」「今の業務」から選択するのではなく、「ワンランク上の仕事ができるようになるために」</t>
    <rPh sb="3" eb="5">
      <t>カダイ</t>
    </rPh>
    <rPh sb="8" eb="9">
      <t>イマ</t>
    </rPh>
    <rPh sb="18" eb="19">
      <t>イマ</t>
    </rPh>
    <rPh sb="20" eb="22">
      <t>ギョウム</t>
    </rPh>
    <rPh sb="25" eb="27">
      <t>センタク</t>
    </rPh>
    <rPh sb="41" eb="42">
      <t>ウエ</t>
    </rPh>
    <rPh sb="43" eb="45">
      <t>シゴト</t>
    </rPh>
    <phoneticPr fontId="3"/>
  </si>
  <si>
    <t>　　「技術の幅を広げるために」どのようにスキルを伸ばしていくかを考えて、課題を設定してください。</t>
    <rPh sb="3" eb="5">
      <t>ギジュツ</t>
    </rPh>
    <rPh sb="6" eb="7">
      <t>ハバ</t>
    </rPh>
    <rPh sb="8" eb="9">
      <t>ヒロ</t>
    </rPh>
    <rPh sb="24" eb="25">
      <t>ノ</t>
    </rPh>
    <rPh sb="32" eb="33">
      <t>カンガ</t>
    </rPh>
    <rPh sb="36" eb="38">
      <t>カダイ</t>
    </rPh>
    <rPh sb="39" eb="41">
      <t>セッテイ</t>
    </rPh>
    <phoneticPr fontId="2"/>
  </si>
  <si>
    <t>キャリアプランは、必ず上司にチェックしてもらいましょう。</t>
    <rPh sb="9" eb="10">
      <t>カナラ</t>
    </rPh>
    <rPh sb="11" eb="13">
      <t>ジョウシ</t>
    </rPh>
    <phoneticPr fontId="3"/>
  </si>
  <si>
    <t>目標管理・キャリアプランシート</t>
    <rPh sb="0" eb="2">
      <t>モクヒョウ</t>
    </rPh>
    <rPh sb="2" eb="4">
      <t>カンリ</t>
    </rPh>
    <phoneticPr fontId="7"/>
  </si>
  <si>
    <t>資　格：</t>
    <rPh sb="0" eb="1">
      <t>シ</t>
    </rPh>
    <rPh sb="2" eb="3">
      <t>カク</t>
    </rPh>
    <phoneticPr fontId="7"/>
  </si>
  <si>
    <t>Ｒ１</t>
    <phoneticPr fontId="3"/>
  </si>
  <si>
    <t>対象期間：</t>
    <rPh sb="0" eb="2">
      <t>タイショウ</t>
    </rPh>
    <rPh sb="2" eb="4">
      <t>キカン</t>
    </rPh>
    <phoneticPr fontId="7"/>
  </si>
  <si>
    <t>2022/10/1　～　2023/3/31</t>
    <phoneticPr fontId="7"/>
  </si>
  <si>
    <t>所　属：</t>
    <phoneticPr fontId="7"/>
  </si>
  <si>
    <t>氏　名：</t>
    <phoneticPr fontId="7"/>
  </si>
  <si>
    <t>中間進捗確認日：</t>
    <rPh sb="0" eb="2">
      <t>チュウカン</t>
    </rPh>
    <rPh sb="2" eb="4">
      <t>シンチョク</t>
    </rPh>
    <rPh sb="4" eb="6">
      <t>カクニン</t>
    </rPh>
    <rPh sb="6" eb="7">
      <t>：</t>
    </rPh>
    <phoneticPr fontId="7"/>
  </si>
  <si>
    <t>確認者氏名：</t>
    <rPh sb="0" eb="2">
      <t>カクニン</t>
    </rPh>
    <rPh sb="2" eb="3">
      <t>シャ</t>
    </rPh>
    <rPh sb="3" eb="5">
      <t>シメイ</t>
    </rPh>
    <phoneticPr fontId="7"/>
  </si>
  <si>
    <t>◆目標管理</t>
    <rPh sb="1" eb="3">
      <t>モクヒョウ</t>
    </rPh>
    <rPh sb="3" eb="5">
      <t>カンリ</t>
    </rPh>
    <phoneticPr fontId="2"/>
  </si>
  <si>
    <t>計画時に本人が記入</t>
    <rPh sb="0" eb="2">
      <t>ケイカク</t>
    </rPh>
    <rPh sb="2" eb="3">
      <t>ジ</t>
    </rPh>
    <rPh sb="4" eb="6">
      <t>ホンニン</t>
    </rPh>
    <rPh sb="7" eb="9">
      <t>キニュウ</t>
    </rPh>
    <phoneticPr fontId="7"/>
  </si>
  <si>
    <t>中間進捗確認時に本人が記入</t>
    <rPh sb="0" eb="2">
      <t>チュウカン</t>
    </rPh>
    <rPh sb="2" eb="4">
      <t>シンチョク</t>
    </rPh>
    <rPh sb="4" eb="6">
      <t>カクニン</t>
    </rPh>
    <rPh sb="6" eb="7">
      <t>ジ</t>
    </rPh>
    <rPh sb="8" eb="10">
      <t>ホンニン</t>
    </rPh>
    <rPh sb="11" eb="13">
      <t>キニュウ</t>
    </rPh>
    <phoneticPr fontId="3"/>
  </si>
  <si>
    <t>評価時に本人が記入</t>
    <rPh sb="0" eb="2">
      <t>ヒョウカ</t>
    </rPh>
    <rPh sb="2" eb="3">
      <t>ジ</t>
    </rPh>
    <rPh sb="4" eb="6">
      <t>ホンニン</t>
    </rPh>
    <rPh sb="7" eb="9">
      <t>キニュウ</t>
    </rPh>
    <phoneticPr fontId="7"/>
  </si>
  <si>
    <t>一次
考課者
評定</t>
    <rPh sb="0" eb="2">
      <t>イチジ</t>
    </rPh>
    <rPh sb="3" eb="5">
      <t>コウカ</t>
    </rPh>
    <rPh sb="5" eb="6">
      <t>シャ</t>
    </rPh>
    <rPh sb="7" eb="8">
      <t>ヒョウ</t>
    </rPh>
    <rPh sb="8" eb="9">
      <t>サダム</t>
    </rPh>
    <phoneticPr fontId="7"/>
  </si>
  <si>
    <t>No</t>
    <phoneticPr fontId="7"/>
  </si>
  <si>
    <t>課題</t>
    <rPh sb="0" eb="2">
      <t>カダイ</t>
    </rPh>
    <phoneticPr fontId="7"/>
  </si>
  <si>
    <t>方法・プロセス</t>
    <phoneticPr fontId="7"/>
  </si>
  <si>
    <t>目標とする「達成水準」</t>
    <rPh sb="0" eb="2">
      <t>モクヒョウ</t>
    </rPh>
    <rPh sb="6" eb="8">
      <t>タッセイ</t>
    </rPh>
    <rPh sb="8" eb="9">
      <t>ミズ</t>
    </rPh>
    <rPh sb="9" eb="10">
      <t>ジュン</t>
    </rPh>
    <phoneticPr fontId="7"/>
  </si>
  <si>
    <t>ウェイト</t>
    <phoneticPr fontId="7"/>
  </si>
  <si>
    <t>四半期の進捗</t>
    <rPh sb="0" eb="3">
      <t>シハンキ</t>
    </rPh>
    <rPh sb="4" eb="6">
      <t>シンチョク</t>
    </rPh>
    <phoneticPr fontId="3"/>
  </si>
  <si>
    <t>実　績</t>
    <rPh sb="0" eb="1">
      <t>ジツ</t>
    </rPh>
    <rPh sb="2" eb="3">
      <t>ツムギ</t>
    </rPh>
    <phoneticPr fontId="7"/>
  </si>
  <si>
    <t>どのような成果をあげるか
どのように貢献するか</t>
    <phoneticPr fontId="7"/>
  </si>
  <si>
    <t>どんなやり方・計画で実行するか</t>
    <phoneticPr fontId="7"/>
  </si>
  <si>
    <t>どれだけやるか・どのレベルまでやるか</t>
    <phoneticPr fontId="7"/>
  </si>
  <si>
    <t>半期で達成するための改善点なども</t>
    <rPh sb="0" eb="2">
      <t>ハンキ</t>
    </rPh>
    <rPh sb="3" eb="5">
      <t>タッセイ</t>
    </rPh>
    <rPh sb="10" eb="13">
      <t>カイゼンテン</t>
    </rPh>
    <phoneticPr fontId="3"/>
  </si>
  <si>
    <t>※特に定性目標に対する実績は、考課者が達成水準を判断できる詳細さで記入する</t>
    <rPh sb="1" eb="2">
      <t>トク</t>
    </rPh>
    <rPh sb="15" eb="17">
      <t>コウカ</t>
    </rPh>
    <rPh sb="17" eb="18">
      <t>シャ</t>
    </rPh>
    <phoneticPr fontId="7"/>
  </si>
  <si>
    <t>【上位目標】</t>
    <rPh sb="1" eb="3">
      <t>ジョウイ</t>
    </rPh>
    <rPh sb="3" eb="5">
      <t>モクヒョウ</t>
    </rPh>
    <phoneticPr fontId="3"/>
  </si>
  <si>
    <t>５：</t>
    <phoneticPr fontId="7"/>
  </si>
  <si>
    <t>達成水準</t>
    <rPh sb="0" eb="2">
      <t>タッセイ</t>
    </rPh>
    <rPh sb="2" eb="4">
      <t>スイジュン</t>
    </rPh>
    <phoneticPr fontId="7"/>
  </si>
  <si>
    <t>４：</t>
    <phoneticPr fontId="7"/>
  </si>
  <si>
    <t>３：</t>
  </si>
  <si>
    <t>２：</t>
  </si>
  <si>
    <t>【個人目標】</t>
    <rPh sb="1" eb="3">
      <t>コジン</t>
    </rPh>
    <rPh sb="3" eb="5">
      <t>モクヒョウ</t>
    </rPh>
    <phoneticPr fontId="3"/>
  </si>
  <si>
    <t>１：</t>
  </si>
  <si>
    <t>評価点</t>
    <rPh sb="0" eb="2">
      <t>ヒョウカ</t>
    </rPh>
    <rPh sb="2" eb="3">
      <t>テン</t>
    </rPh>
    <phoneticPr fontId="7"/>
  </si>
  <si>
    <t>０：</t>
  </si>
  <si>
    <t>◆キャリアプラン</t>
    <phoneticPr fontId="2"/>
  </si>
  <si>
    <t>5年後のキャリア目標：</t>
    <rPh sb="1" eb="3">
      <t>ネンゴ</t>
    </rPh>
    <rPh sb="8" eb="10">
      <t>モクヒョウ</t>
    </rPh>
    <phoneticPr fontId="3"/>
  </si>
  <si>
    <t>中間進捗確認時に本人が記入</t>
    <phoneticPr fontId="3"/>
  </si>
  <si>
    <t>実行完了時に本人が記入</t>
    <rPh sb="0" eb="2">
      <t>ジッコウ</t>
    </rPh>
    <rPh sb="2" eb="4">
      <t>カンリョウ</t>
    </rPh>
    <rPh sb="4" eb="5">
      <t>ジ</t>
    </rPh>
    <rPh sb="6" eb="8">
      <t>ホンニン</t>
    </rPh>
    <rPh sb="9" eb="11">
      <t>キニュウ</t>
    </rPh>
    <phoneticPr fontId="7"/>
  </si>
  <si>
    <t>自己啓発目標</t>
    <rPh sb="0" eb="2">
      <t>ジコ</t>
    </rPh>
    <rPh sb="2" eb="4">
      <t>ケイハツ</t>
    </rPh>
    <rPh sb="4" eb="6">
      <t>モクヒョウ</t>
    </rPh>
    <phoneticPr fontId="7"/>
  </si>
  <si>
    <t>行動した実績</t>
    <rPh sb="0" eb="2">
      <t>コウドウ</t>
    </rPh>
    <rPh sb="4" eb="5">
      <t>ジツ</t>
    </rPh>
    <rPh sb="5" eb="6">
      <t>ツムギ</t>
    </rPh>
    <phoneticPr fontId="7"/>
  </si>
  <si>
    <t>どんなやり方・計画で実行するか／どれだけやるか・どのレベルまでやるか</t>
    <phoneticPr fontId="7"/>
  </si>
  <si>
    <t>半期で達成するための改善点なども</t>
    <phoneticPr fontId="3"/>
  </si>
  <si>
    <t>※上長が行動実績や育成による変化を判断できる詳細さで記入する</t>
    <rPh sb="1" eb="3">
      <t>ジョウチョウ</t>
    </rPh>
    <rPh sb="4" eb="6">
      <t>コウドウ</t>
    </rPh>
    <rPh sb="6" eb="8">
      <t>ジッセキ</t>
    </rPh>
    <rPh sb="9" eb="11">
      <t>イクセイ</t>
    </rPh>
    <rPh sb="14" eb="16">
      <t>ヘンカ</t>
    </rPh>
    <phoneticPr fontId="7"/>
  </si>
  <si>
    <t>仕事の幅を広げるために、スキルの幅を広げる取組み</t>
    <phoneticPr fontId="2"/>
  </si>
  <si>
    <t>上位の役割・責任を引き受けるための取組み</t>
    <phoneticPr fontId="2"/>
  </si>
  <si>
    <t>Ｓ１（ジュニアスペシャリスト）</t>
  </si>
  <si>
    <t>達成水準</t>
  </si>
  <si>
    <t>【上位目標】　</t>
    <rPh sb="1" eb="3">
      <t>ジョウイ</t>
    </rPh>
    <rPh sb="3" eb="5">
      <t>モクヒョウ</t>
    </rPh>
    <phoneticPr fontId="3"/>
  </si>
  <si>
    <t>Ｒ４</t>
  </si>
  <si>
    <t>●●部●●課</t>
    <rPh sb="2" eb="3">
      <t>ブ</t>
    </rPh>
    <rPh sb="5" eb="6">
      <t>カ</t>
    </rPh>
    <phoneticPr fontId="3"/>
  </si>
  <si>
    <t>田中　新之助</t>
    <rPh sb="0" eb="2">
      <t>タナカ</t>
    </rPh>
    <rPh sb="3" eb="6">
      <t>シンノスケ</t>
    </rPh>
    <phoneticPr fontId="3"/>
  </si>
  <si>
    <t>山田　太郎</t>
    <rPh sb="0" eb="2">
      <t>ヤマダ</t>
    </rPh>
    <rPh sb="3" eb="5">
      <t>タロウ</t>
    </rPh>
    <phoneticPr fontId="3"/>
  </si>
  <si>
    <t>◆目標管理の参考情報</t>
    <rPh sb="1" eb="3">
      <t>モクヒョウ</t>
    </rPh>
    <rPh sb="3" eb="5">
      <t>カンリ</t>
    </rPh>
    <rPh sb="6" eb="8">
      <t>サンコウ</t>
    </rPh>
    <rPh sb="8" eb="10">
      <t>ジョウホウ</t>
    </rPh>
    <phoneticPr fontId="7"/>
  </si>
  <si>
    <t>達成水準のレベル感</t>
    <rPh sb="0" eb="2">
      <t>タッセイ</t>
    </rPh>
    <rPh sb="2" eb="4">
      <t>スイジュン</t>
    </rPh>
    <rPh sb="8" eb="9">
      <t>カン</t>
    </rPh>
    <phoneticPr fontId="7"/>
  </si>
  <si>
    <t>目標の目安</t>
    <phoneticPr fontId="7"/>
  </si>
  <si>
    <t>①WBS作成ができるようにする
②メンバの進捗確認ができるようにする
③見積もり作業の補助ができるようにする
④リーダーとして顧客と調整できるようにする
⑤チームの品質維持計画が立てられる</t>
    <rPh sb="4" eb="6">
      <t>サクセイ</t>
    </rPh>
    <rPh sb="21" eb="23">
      <t>シンチョク</t>
    </rPh>
    <rPh sb="23" eb="25">
      <t>カクニン</t>
    </rPh>
    <rPh sb="36" eb="38">
      <t>ミツ</t>
    </rPh>
    <rPh sb="40" eb="42">
      <t>サギョウ</t>
    </rPh>
    <rPh sb="43" eb="45">
      <t>ホジョ</t>
    </rPh>
    <rPh sb="63" eb="65">
      <t>コキャク</t>
    </rPh>
    <rPh sb="66" eb="68">
      <t>チョウセイ</t>
    </rPh>
    <rPh sb="86" eb="88">
      <t>ケイカク</t>
    </rPh>
    <rPh sb="89" eb="90">
      <t>タ</t>
    </rPh>
    <phoneticPr fontId="3"/>
  </si>
  <si>
    <t>リーダーとして顧客のクレームに対応できる</t>
    <rPh sb="7" eb="9">
      <t>コキャク</t>
    </rPh>
    <rPh sb="15" eb="17">
      <t>タイオウ</t>
    </rPh>
    <phoneticPr fontId="3"/>
  </si>
  <si>
    <t xml:space="preserve">12/15時点で品質計画策定までは指導できた
見積もり作業はマニュアル化を先に行ってからと考えているので、その期間にクレーム対応研修を受講してもらう予定
</t>
    <rPh sb="5" eb="7">
      <t>ジテン</t>
    </rPh>
    <rPh sb="24" eb="26">
      <t>ミツ</t>
    </rPh>
    <rPh sb="28" eb="30">
      <t>サギョウ</t>
    </rPh>
    <rPh sb="36" eb="37">
      <t>カ</t>
    </rPh>
    <rPh sb="38" eb="39">
      <t>サキ</t>
    </rPh>
    <rPh sb="40" eb="41">
      <t>オコナ</t>
    </rPh>
    <rPh sb="46" eb="47">
      <t>カンガ</t>
    </rPh>
    <rPh sb="56" eb="58">
      <t>キカン</t>
    </rPh>
    <rPh sb="63" eb="65">
      <t>タイオウ</t>
    </rPh>
    <rPh sb="65" eb="67">
      <t>ケンシュウ</t>
    </rPh>
    <rPh sb="68" eb="70">
      <t>ジュコウ</t>
    </rPh>
    <rPh sb="75" eb="77">
      <t>ヨテイ</t>
    </rPh>
    <phoneticPr fontId="3"/>
  </si>
  <si>
    <t>見積もり作業は２件のＰＪで補助する実績ができた
顧客調整とクレーム対応は研修受講で終わってしまったため、実績なし</t>
    <rPh sb="0" eb="2">
      <t>ミツ</t>
    </rPh>
    <rPh sb="4" eb="6">
      <t>サギョウ</t>
    </rPh>
    <rPh sb="8" eb="9">
      <t>ケン</t>
    </rPh>
    <rPh sb="13" eb="15">
      <t>ホジョ</t>
    </rPh>
    <rPh sb="17" eb="19">
      <t>ジッセキ</t>
    </rPh>
    <rPh sb="25" eb="27">
      <t>コキャク</t>
    </rPh>
    <rPh sb="27" eb="29">
      <t>チョウセイ</t>
    </rPh>
    <rPh sb="34" eb="36">
      <t>タイオウ</t>
    </rPh>
    <rPh sb="37" eb="39">
      <t>ケンシュウ</t>
    </rPh>
    <rPh sb="39" eb="41">
      <t>ジュコウ</t>
    </rPh>
    <rPh sb="42" eb="43">
      <t>オ</t>
    </rPh>
    <rPh sb="53" eb="55">
      <t>ジッセキ</t>
    </rPh>
    <phoneticPr fontId="3"/>
  </si>
  <si>
    <t>水準</t>
    <rPh sb="0" eb="2">
      <t>スイジュン</t>
    </rPh>
    <phoneticPr fontId="7"/>
  </si>
  <si>
    <t>実行結果</t>
    <rPh sb="0" eb="2">
      <t>ジッコウ</t>
    </rPh>
    <rPh sb="2" eb="4">
      <t>ケッカ</t>
    </rPh>
    <phoneticPr fontId="7"/>
  </si>
  <si>
    <t>業績</t>
    <rPh sb="0" eb="2">
      <t>ギョウセキ</t>
    </rPh>
    <phoneticPr fontId="7"/>
  </si>
  <si>
    <t>残業</t>
    <rPh sb="0" eb="2">
      <t>ザンギョウ</t>
    </rPh>
    <phoneticPr fontId="7"/>
  </si>
  <si>
    <t>改善/育成</t>
    <rPh sb="0" eb="2">
      <t>カイゼン</t>
    </rPh>
    <rPh sb="3" eb="5">
      <t>イクセイ</t>
    </rPh>
    <phoneticPr fontId="7"/>
  </si>
  <si>
    <t>受託案件獲得のためリーダー人材の育成</t>
    <rPh sb="0" eb="2">
      <t>ジュタク</t>
    </rPh>
    <rPh sb="2" eb="4">
      <t>アンケン</t>
    </rPh>
    <rPh sb="4" eb="6">
      <t>カクトク</t>
    </rPh>
    <rPh sb="13" eb="15">
      <t>ジンザイ</t>
    </rPh>
    <rPh sb="16" eb="18">
      <t>イクセイ</t>
    </rPh>
    <phoneticPr fontId="3"/>
  </si>
  <si>
    <t>リーダーとして顧客と調整できる</t>
    <rPh sb="7" eb="9">
      <t>コキャク</t>
    </rPh>
    <rPh sb="10" eb="12">
      <t>チョウセイ</t>
    </rPh>
    <phoneticPr fontId="3"/>
  </si>
  <si>
    <t>努力目標を達成し、十分な成果を出した</t>
    <rPh sb="0" eb="2">
      <t>ドリョク</t>
    </rPh>
    <rPh sb="2" eb="4">
      <t>モクヒョウ</t>
    </rPh>
    <rPh sb="5" eb="7">
      <t>タッセイ</t>
    </rPh>
    <rPh sb="9" eb="11">
      <t>ジュウブン</t>
    </rPh>
    <rPh sb="12" eb="14">
      <t>セイカ</t>
    </rPh>
    <rPh sb="15" eb="16">
      <t>ダ</t>
    </rPh>
    <phoneticPr fontId="7"/>
  </si>
  <si>
    <t>105%以上</t>
    <rPh sb="4" eb="6">
      <t>イジョウ</t>
    </rPh>
    <phoneticPr fontId="7"/>
  </si>
  <si>
    <t>100%以上</t>
    <rPh sb="4" eb="6">
      <t>イジョウ</t>
    </rPh>
    <phoneticPr fontId="7"/>
  </si>
  <si>
    <t>⇒ここが資格相当の</t>
    <rPh sb="4" eb="6">
      <t>シカク</t>
    </rPh>
    <rPh sb="6" eb="8">
      <t>ソウトウ</t>
    </rPh>
    <phoneticPr fontId="7"/>
  </si>
  <si>
    <t>見積もり作業の補助ができる</t>
    <rPh sb="0" eb="2">
      <t>ミツ</t>
    </rPh>
    <rPh sb="4" eb="6">
      <t>サギョウ</t>
    </rPh>
    <rPh sb="7" eb="9">
      <t>ホジョ</t>
    </rPh>
    <phoneticPr fontId="3"/>
  </si>
  <si>
    <t>達成目標に到達し、成果を出した</t>
    <rPh sb="0" eb="2">
      <t>タッセイ</t>
    </rPh>
    <rPh sb="2" eb="4">
      <t>モクヒョウ</t>
    </rPh>
    <rPh sb="5" eb="7">
      <t>トウタツ</t>
    </rPh>
    <rPh sb="9" eb="11">
      <t>セイカ</t>
    </rPh>
    <rPh sb="12" eb="13">
      <t>ダ</t>
    </rPh>
    <phoneticPr fontId="7"/>
  </si>
  <si>
    <t>90%以上</t>
    <rPh sb="3" eb="5">
      <t>イジョウ</t>
    </rPh>
    <phoneticPr fontId="7"/>
  </si>
  <si>
    <t>　　目標の到達点</t>
    <phoneticPr fontId="7"/>
  </si>
  <si>
    <t>チームの品質維持計画が立てられる</t>
    <rPh sb="4" eb="6">
      <t>ヒンシツ</t>
    </rPh>
    <rPh sb="6" eb="8">
      <t>イジ</t>
    </rPh>
    <rPh sb="8" eb="10">
      <t>ケイカク</t>
    </rPh>
    <rPh sb="11" eb="12">
      <t>タ</t>
    </rPh>
    <phoneticPr fontId="3"/>
  </si>
  <si>
    <t>ほぼ実行したが、達成目標に一歩届かなかった</t>
    <rPh sb="2" eb="4">
      <t>ジッコウ</t>
    </rPh>
    <rPh sb="13" eb="15">
      <t>イッポ</t>
    </rPh>
    <rPh sb="15" eb="16">
      <t>トド</t>
    </rPh>
    <phoneticPr fontId="7"/>
  </si>
  <si>
    <t>95%以上</t>
    <rPh sb="3" eb="5">
      <t>イジョウ</t>
    </rPh>
    <phoneticPr fontId="7"/>
  </si>
  <si>
    <t>80%以上</t>
    <rPh sb="3" eb="5">
      <t>イジョウ</t>
    </rPh>
    <phoneticPr fontId="7"/>
  </si>
  <si>
    <t>WBS作成ができる</t>
    <rPh sb="3" eb="5">
      <t>サクセイ</t>
    </rPh>
    <phoneticPr fontId="3"/>
  </si>
  <si>
    <t>ほぼ実行したが、貢献は不十分だった</t>
    <rPh sb="2" eb="4">
      <t>ジッコウ</t>
    </rPh>
    <phoneticPr fontId="7"/>
  </si>
  <si>
    <t>70%以上</t>
    <rPh sb="3" eb="5">
      <t>イジョウ</t>
    </rPh>
    <phoneticPr fontId="7"/>
  </si>
  <si>
    <t>社員Ａさんの育成</t>
    <phoneticPr fontId="3"/>
  </si>
  <si>
    <t>メンバの進捗確認ができる</t>
    <rPh sb="4" eb="6">
      <t>シンチョク</t>
    </rPh>
    <rPh sb="6" eb="8">
      <t>カクニン</t>
    </rPh>
    <phoneticPr fontId="3"/>
  </si>
  <si>
    <t>半分は実行したが、貢献は不十分だった</t>
    <rPh sb="0" eb="2">
      <t>ハンブン</t>
    </rPh>
    <rPh sb="3" eb="5">
      <t>ジッコウ</t>
    </rPh>
    <rPh sb="9" eb="11">
      <t>コウケン</t>
    </rPh>
    <rPh sb="12" eb="15">
      <t>フジュウブン</t>
    </rPh>
    <phoneticPr fontId="7"/>
  </si>
  <si>
    <t>85%以上</t>
    <rPh sb="3" eb="5">
      <t>イジョウ</t>
    </rPh>
    <phoneticPr fontId="7"/>
  </si>
  <si>
    <t>60%以上</t>
    <rPh sb="3" eb="5">
      <t>イジョウ</t>
    </rPh>
    <phoneticPr fontId="7"/>
  </si>
  <si>
    <t>70%未満</t>
    <rPh sb="3" eb="5">
      <t>ミマン</t>
    </rPh>
    <phoneticPr fontId="7"/>
  </si>
  <si>
    <t>実行の程度は半分以下で、貢献は不十分だった</t>
    <phoneticPr fontId="7"/>
  </si>
  <si>
    <t>85%未満</t>
    <rPh sb="3" eb="5">
      <t>ミマン</t>
    </rPh>
    <phoneticPr fontId="7"/>
  </si>
  <si>
    <t>60%未満</t>
    <rPh sb="3" eb="5">
      <t>ミマン</t>
    </rPh>
    <phoneticPr fontId="7"/>
  </si>
  <si>
    <t>未着手</t>
    <rPh sb="0" eb="3">
      <t>ミチャクシュ</t>
    </rPh>
    <phoneticPr fontId="7"/>
  </si>
  <si>
    <t>ウェイトの掛け方</t>
    <rPh sb="5" eb="6">
      <t>カ</t>
    </rPh>
    <rPh sb="7" eb="8">
      <t>カタ</t>
    </rPh>
    <phoneticPr fontId="7"/>
  </si>
  <si>
    <t>資格</t>
    <rPh sb="0" eb="2">
      <t>シカク</t>
    </rPh>
    <phoneticPr fontId="7"/>
  </si>
  <si>
    <t>ウェイトの合計</t>
    <rPh sb="5" eb="7">
      <t>ゴウケイ</t>
    </rPh>
    <phoneticPr fontId="7"/>
  </si>
  <si>
    <t>Ｒ１～４</t>
    <phoneticPr fontId="7"/>
  </si>
  <si>
    <t>ウェイトはかけない</t>
    <phoneticPr fontId="7"/>
  </si>
  <si>
    <t>評価点を計算するため、ウェイトは１と入力する(合計は3になる)</t>
    <rPh sb="18" eb="20">
      <t>ニュウリョク</t>
    </rPh>
    <rPh sb="23" eb="25">
      <t>ゴウケイ</t>
    </rPh>
    <phoneticPr fontId="7"/>
  </si>
  <si>
    <t>Ｍ１～２</t>
    <phoneticPr fontId="7"/>
  </si>
  <si>
    <t>３つの目標のウェイト合計が８になるよう設定する</t>
    <phoneticPr fontId="7"/>
  </si>
  <si>
    <t>最低２、最高４のウェイトがかけられる</t>
    <phoneticPr fontId="7"/>
  </si>
  <si>
    <t>３つの目標のウェイト合計が１２になるよう設定する</t>
    <phoneticPr fontId="7"/>
  </si>
  <si>
    <t>最低３、最高６のウェイトがかけられる</t>
    <phoneticPr fontId="7"/>
  </si>
  <si>
    <t>※評価点は、「達成水準」と「ウェイト」を乗算して算出します。</t>
    <rPh sb="1" eb="3">
      <t>ヒョウカ</t>
    </rPh>
    <rPh sb="3" eb="4">
      <t>テン</t>
    </rPh>
    <rPh sb="7" eb="9">
      <t>タッセイ</t>
    </rPh>
    <rPh sb="9" eb="11">
      <t>スイジュン</t>
    </rPh>
    <rPh sb="20" eb="22">
      <t>ジョウザン</t>
    </rPh>
    <rPh sb="24" eb="26">
      <t>サンシュツ</t>
    </rPh>
    <phoneticPr fontId="7"/>
  </si>
  <si>
    <t>データベースに強みのあるスペシャリストを目指す</t>
    <rPh sb="7" eb="8">
      <t>ツヨ</t>
    </rPh>
    <rPh sb="20" eb="22">
      <t>メザ</t>
    </rPh>
    <phoneticPr fontId="3"/>
  </si>
  <si>
    <t>◆キャリアプランの参考情報</t>
    <rPh sb="9" eb="11">
      <t>サンコウ</t>
    </rPh>
    <rPh sb="11" eb="13">
      <t>ジョウホウ</t>
    </rPh>
    <phoneticPr fontId="7"/>
  </si>
  <si>
    <t>キャリアプランの目的　⇒　「５年後の飯のタネ」のための種まき活動をする</t>
    <phoneticPr fontId="7"/>
  </si>
  <si>
    <t>未来は予想できないので、変化に対応できる柔軟な自分をキープすることが必要</t>
    <phoneticPr fontId="7"/>
  </si>
  <si>
    <t>いつも学び、挑戦する／好奇心を持つ／多様性を受け入れる／目と心をオープンにする</t>
    <phoneticPr fontId="7"/>
  </si>
  <si>
    <t>自己啓発の手段</t>
    <phoneticPr fontId="7"/>
  </si>
  <si>
    <t>研修を受講する／本を読む　⇒　レポートにまとめる／行動計画を立てる／人前で発表する</t>
    <rPh sb="25" eb="27">
      <t>コウドウ</t>
    </rPh>
    <rPh sb="27" eb="29">
      <t>ケイカク</t>
    </rPh>
    <rPh sb="30" eb="31">
      <t>タ</t>
    </rPh>
    <rPh sb="34" eb="36">
      <t>ヒトマエ</t>
    </rPh>
    <rPh sb="37" eb="39">
      <t>ハッピョウ</t>
    </rPh>
    <phoneticPr fontId="7"/>
  </si>
  <si>
    <t>社内外の勉強会やｻｰｸﾙに参加する／知人を増やす／上司の仕事を奪う／人を手伝う・ﾌｫﾛｰする</t>
    <phoneticPr fontId="7"/>
  </si>
  <si>
    <t>目標設定のための参考キーワード</t>
    <phoneticPr fontId="7"/>
  </si>
  <si>
    <t>①仕事の幅を広げるために、スキルの幅を広げる取組み</t>
    <rPh sb="1" eb="3">
      <t>シゴト</t>
    </rPh>
    <rPh sb="4" eb="5">
      <t>ハバ</t>
    </rPh>
    <rPh sb="6" eb="7">
      <t>ヒロ</t>
    </rPh>
    <rPh sb="17" eb="18">
      <t>ハバ</t>
    </rPh>
    <rPh sb="19" eb="20">
      <t>ヒロ</t>
    </rPh>
    <rPh sb="22" eb="24">
      <t>トリク</t>
    </rPh>
    <phoneticPr fontId="7"/>
  </si>
  <si>
    <t>複数技術・複数スキルの獲得／知見を広げる／専門性を磨く／資格取得</t>
    <phoneticPr fontId="7"/>
  </si>
  <si>
    <t>②上位の役割・責任を引き受けるための取組み</t>
    <phoneticPr fontId="7"/>
  </si>
  <si>
    <t>伝える力／プレゼン力／交渉力／育成スキル／対人力／共感力／課題設定力／解決スキル</t>
    <phoneticPr fontId="7"/>
  </si>
  <si>
    <t>Ｓ２（スペシャリスト）</t>
  </si>
  <si>
    <t>◆目標管理の参考情報</t>
    <rPh sb="1" eb="3">
      <t>モクヒョウ</t>
    </rPh>
    <rPh sb="3" eb="5">
      <t>カンリ</t>
    </rPh>
    <rPh sb="6" eb="8">
      <t>サンコウ</t>
    </rPh>
    <rPh sb="8" eb="10">
      <t>ジョウホウ</t>
    </rPh>
    <phoneticPr fontId="2"/>
  </si>
  <si>
    <t>半期売上計画：\\,\\\万円
　○顧客への体制提案
　　　・チーム体制
　　　・要員調達</t>
    <phoneticPr fontId="3"/>
  </si>
  <si>
    <t>半期計画売上\\\％達成（\\,\\\万）</t>
    <rPh sb="0" eb="2">
      <t>ハンキ</t>
    </rPh>
    <rPh sb="2" eb="4">
      <t>ケイカク</t>
    </rPh>
    <rPh sb="4" eb="6">
      <t>ウリアゲ</t>
    </rPh>
    <rPh sb="10" eb="12">
      <t>タッセイ</t>
    </rPh>
    <rPh sb="19" eb="20">
      <t>マン</t>
    </rPh>
    <phoneticPr fontId="7"/>
  </si>
  <si>
    <t>半期計画売上\\\％達成（\\,\\\万）</t>
  </si>
  <si>
    <t>半期計画売上\\％（\\,\\\万）</t>
  </si>
  <si>
    <t>半期計画売上\\％達成（\\,\\\万）</t>
  </si>
  <si>
    <t>〇固定項目全員共通（具体数値）
売上計画達成</t>
    <phoneticPr fontId="3"/>
  </si>
  <si>
    <t>半期計画売上\\％未達（\\,\\\万未満）</t>
    <rPh sb="9" eb="11">
      <t>ミタツ</t>
    </rPh>
    <rPh sb="19" eb="21">
      <t>ミマン</t>
    </rPh>
    <phoneticPr fontId="7"/>
  </si>
  <si>
    <t>半期粗利益計画：\\，\\\万円
　○コスト管理
　　　・作業の効率化
　　　・品質確保</t>
    <phoneticPr fontId="3"/>
  </si>
  <si>
    <t>半期計画粗利益\\\％達成（\\,\\\万円）</t>
    <rPh sb="0" eb="2">
      <t>ハンキ</t>
    </rPh>
    <rPh sb="2" eb="4">
      <t>ケイカク</t>
    </rPh>
    <rPh sb="11" eb="13">
      <t>タッセイ</t>
    </rPh>
    <rPh sb="20" eb="22">
      <t>マンエン</t>
    </rPh>
    <phoneticPr fontId="7"/>
  </si>
  <si>
    <t>半期計画粗利益\\％達成（\\,\\\万円）</t>
    <rPh sb="0" eb="2">
      <t>ハンキ</t>
    </rPh>
    <rPh sb="2" eb="4">
      <t>ケイカク</t>
    </rPh>
    <rPh sb="10" eb="12">
      <t>タッセイ</t>
    </rPh>
    <rPh sb="19" eb="21">
      <t>マンエン</t>
    </rPh>
    <phoneticPr fontId="7"/>
  </si>
  <si>
    <t>Ｓ１～２</t>
    <phoneticPr fontId="7"/>
  </si>
  <si>
    <t>３～4つの目標のウェイト合計が12になるよう設定する</t>
    <phoneticPr fontId="7"/>
  </si>
  <si>
    <t>最低2、最高4のウェイトがかけられる</t>
    <phoneticPr fontId="7"/>
  </si>
  <si>
    <t>S3～S4</t>
    <phoneticPr fontId="7"/>
  </si>
  <si>
    <t>３～４つの目標のウェイト合計が16になるよう設定する</t>
    <phoneticPr fontId="7"/>
  </si>
  <si>
    <t>最低2、最高6のウェイトがかけられる</t>
    <phoneticPr fontId="7"/>
  </si>
  <si>
    <t>〇固定項目全員共通（具体数値）
利益計画達成</t>
    <phoneticPr fontId="3"/>
  </si>
  <si>
    <t>半期計画粗利益\\％未満達成（\\,\\\万円未満）</t>
    <rPh sb="0" eb="2">
      <t>ハンキ</t>
    </rPh>
    <rPh sb="2" eb="4">
      <t>ケイカク</t>
    </rPh>
    <rPh sb="10" eb="12">
      <t>ミマン</t>
    </rPh>
    <rPh sb="12" eb="14">
      <t>タッセイ</t>
    </rPh>
    <rPh sb="21" eb="23">
      <t>マンエン</t>
    </rPh>
    <rPh sb="23" eb="25">
      <t>ミマン</t>
    </rPh>
    <phoneticPr fontId="7"/>
  </si>
  <si>
    <t>他案件への参画
　　　・複数案件の参画</t>
    <phoneticPr fontId="3"/>
  </si>
  <si>
    <t>３案件以上の参画（管理含む）</t>
    <rPh sb="1" eb="3">
      <t>アンケン</t>
    </rPh>
    <rPh sb="3" eb="5">
      <t>イジョウ</t>
    </rPh>
    <rPh sb="6" eb="8">
      <t>サンカク</t>
    </rPh>
    <rPh sb="9" eb="11">
      <t>カンリ</t>
    </rPh>
    <rPh sb="11" eb="12">
      <t>フク</t>
    </rPh>
    <phoneticPr fontId="7"/>
  </si>
  <si>
    <t>他案件の参画</t>
    <rPh sb="0" eb="1">
      <t>タ</t>
    </rPh>
    <phoneticPr fontId="7"/>
  </si>
  <si>
    <t>他案件の参画（管理のみ）</t>
    <rPh sb="0" eb="1">
      <t>タ</t>
    </rPh>
    <phoneticPr fontId="7"/>
  </si>
  <si>
    <t>◆キャリアプランの参考情報</t>
    <rPh sb="9" eb="11">
      <t>サンコウ</t>
    </rPh>
    <rPh sb="11" eb="13">
      <t>ジョウホウ</t>
    </rPh>
    <phoneticPr fontId="2"/>
  </si>
  <si>
    <t>他案件への支援（貢献できた）</t>
    <rPh sb="0" eb="1">
      <t>タ</t>
    </rPh>
    <rPh sb="1" eb="3">
      <t>アンケン</t>
    </rPh>
    <rPh sb="5" eb="7">
      <t>シエン</t>
    </rPh>
    <rPh sb="8" eb="10">
      <t>コウケン</t>
    </rPh>
    <phoneticPr fontId="7"/>
  </si>
  <si>
    <t>他案件への支援（貢献が十分でなかった</t>
    <rPh sb="0" eb="1">
      <t>タ</t>
    </rPh>
    <rPh sb="1" eb="3">
      <t>アンケン</t>
    </rPh>
    <rPh sb="5" eb="7">
      <t>シエン</t>
    </rPh>
    <rPh sb="8" eb="10">
      <t>コウケン</t>
    </rPh>
    <rPh sb="11" eb="13">
      <t>ジュウブン</t>
    </rPh>
    <phoneticPr fontId="7"/>
  </si>
  <si>
    <t>キャリアプランの目的　⇒　「５年後の飯のタネ」のための種まき活動をする</t>
    <phoneticPr fontId="2"/>
  </si>
  <si>
    <t>〇任意項目※
他案件への支援活動</t>
    <phoneticPr fontId="3"/>
  </si>
  <si>
    <t>行動なし</t>
    <rPh sb="0" eb="2">
      <t>コウドウ</t>
    </rPh>
    <phoneticPr fontId="7"/>
  </si>
  <si>
    <t>未来は予想できないので、変化に対応できる柔軟な自分をキープすることが必要</t>
    <phoneticPr fontId="2"/>
  </si>
  <si>
    <t>いつも学び、挑戦する／好奇心を持つ／多様性を受け入れる／目と心をオープンにする</t>
    <phoneticPr fontId="2"/>
  </si>
  <si>
    <t>・ＩＴ業界の動向、生保業界の動向の調査
・ニーズの把握
・必要技術の分析
・必要な人材の確保
・新規プロジェクトの立ち上げ</t>
    <phoneticPr fontId="3"/>
  </si>
  <si>
    <t>新規プロジェクトの立ち上げを実現</t>
    <rPh sb="0" eb="2">
      <t>シンキ</t>
    </rPh>
    <rPh sb="9" eb="10">
      <t>タ</t>
    </rPh>
    <rPh sb="11" eb="12">
      <t>ア</t>
    </rPh>
    <rPh sb="14" eb="16">
      <t>ジツゲン</t>
    </rPh>
    <phoneticPr fontId="7"/>
  </si>
  <si>
    <t>必要な人材の確保まで実現</t>
    <rPh sb="0" eb="2">
      <t>ヒツヨウ</t>
    </rPh>
    <rPh sb="3" eb="5">
      <t>ジンザイ</t>
    </rPh>
    <rPh sb="6" eb="8">
      <t>カクホ</t>
    </rPh>
    <rPh sb="10" eb="12">
      <t>ジツゲン</t>
    </rPh>
    <phoneticPr fontId="7"/>
  </si>
  <si>
    <t>自己啓発の手段</t>
  </si>
  <si>
    <t>必要な人材を確保する具体的な準備まで実施</t>
    <rPh sb="0" eb="2">
      <t>ヒツヨウ</t>
    </rPh>
    <rPh sb="3" eb="5">
      <t>ジンザイ</t>
    </rPh>
    <rPh sb="6" eb="8">
      <t>カクホ</t>
    </rPh>
    <rPh sb="10" eb="13">
      <t>グタイテキ</t>
    </rPh>
    <rPh sb="14" eb="16">
      <t>ジュンビ</t>
    </rPh>
    <rPh sb="18" eb="20">
      <t>ジッシ</t>
    </rPh>
    <phoneticPr fontId="7"/>
  </si>
  <si>
    <t>研修を受講する／本を読む　⇒　レポートにまとめる／行動計画を立てる／人前で発表する</t>
    <rPh sb="25" eb="27">
      <t>コウドウ</t>
    </rPh>
    <rPh sb="27" eb="29">
      <t>ケイカク</t>
    </rPh>
    <rPh sb="30" eb="31">
      <t>タ</t>
    </rPh>
    <rPh sb="34" eb="36">
      <t>ヒトマエ</t>
    </rPh>
    <rPh sb="37" eb="39">
      <t>ハッピョウ</t>
    </rPh>
    <phoneticPr fontId="2"/>
  </si>
  <si>
    <t>調査・分析まで実施</t>
    <rPh sb="0" eb="2">
      <t>チョウサ</t>
    </rPh>
    <rPh sb="3" eb="5">
      <t>ブンセキ</t>
    </rPh>
    <rPh sb="7" eb="9">
      <t>ジッシ</t>
    </rPh>
    <phoneticPr fontId="7"/>
  </si>
  <si>
    <t>調査のみ実施</t>
    <rPh sb="0" eb="2">
      <t>チョウサ</t>
    </rPh>
    <rPh sb="4" eb="6">
      <t>ジッシ</t>
    </rPh>
    <phoneticPr fontId="7"/>
  </si>
  <si>
    <t>〇任意項目※
新規プロジェクトの立ち上げ提案</t>
    <phoneticPr fontId="3"/>
  </si>
  <si>
    <t>目標設定のための参考キーワード</t>
    <phoneticPr fontId="2"/>
  </si>
  <si>
    <t>①仕事の幅を広げるために、スキルの幅を広げる取組み</t>
    <rPh sb="1" eb="3">
      <t>シゴト</t>
    </rPh>
    <rPh sb="4" eb="5">
      <t>ハバ</t>
    </rPh>
    <rPh sb="6" eb="7">
      <t>ヒロ</t>
    </rPh>
    <rPh sb="17" eb="18">
      <t>ハバ</t>
    </rPh>
    <rPh sb="19" eb="20">
      <t>ヒロ</t>
    </rPh>
    <rPh sb="22" eb="24">
      <t>トリク</t>
    </rPh>
    <phoneticPr fontId="2"/>
  </si>
  <si>
    <t>複数技術・複数スキルの獲得／知見を広げる／専門性を磨く／資格取得</t>
    <phoneticPr fontId="2"/>
  </si>
  <si>
    <t>②上位の役割・責任を引き受けるための取組み</t>
    <phoneticPr fontId="2"/>
  </si>
  <si>
    <t>キャリアプランについて、よくある質問をまとめています。</t>
    <rPh sb="16" eb="18">
      <t>シツモン</t>
    </rPh>
    <phoneticPr fontId="3"/>
  </si>
  <si>
    <t>【キャリアプラン制度について】</t>
    <phoneticPr fontId="3"/>
  </si>
  <si>
    <t>Ｑ：　現在の資格要件を半分ぐらいしか満たしていません。それでも、「上位の役割・責任を引き受けるための取組み」目標を設定しないとだめですか？
Ａ：　まずは現在資格を十分に果たせるよう取組み目標を設定してください。</t>
    <rPh sb="3" eb="5">
      <t>ゲンザイ</t>
    </rPh>
    <rPh sb="6" eb="8">
      <t>シカク</t>
    </rPh>
    <rPh sb="8" eb="10">
      <t>ヨウケン</t>
    </rPh>
    <rPh sb="11" eb="13">
      <t>ハンブン</t>
    </rPh>
    <rPh sb="18" eb="19">
      <t>ミ</t>
    </rPh>
    <rPh sb="33" eb="35">
      <t>ジョウイ</t>
    </rPh>
    <rPh sb="36" eb="38">
      <t>ヤクワリ</t>
    </rPh>
    <rPh sb="39" eb="41">
      <t>セキニン</t>
    </rPh>
    <rPh sb="42" eb="43">
      <t>ヒ</t>
    </rPh>
    <rPh sb="44" eb="45">
      <t>ウ</t>
    </rPh>
    <rPh sb="50" eb="52">
      <t>トリク</t>
    </rPh>
    <rPh sb="54" eb="56">
      <t>モクヒョウ</t>
    </rPh>
    <rPh sb="57" eb="59">
      <t>セッテイ</t>
    </rPh>
    <rPh sb="77" eb="79">
      <t>ゲンザイ</t>
    </rPh>
    <rPh sb="79" eb="81">
      <t>シカク</t>
    </rPh>
    <rPh sb="82" eb="84">
      <t>ジュウブン</t>
    </rPh>
    <rPh sb="85" eb="86">
      <t>ハ</t>
    </rPh>
    <rPh sb="91" eb="93">
      <t>トリク</t>
    </rPh>
    <rPh sb="94" eb="96">
      <t>モクヒョウ</t>
    </rPh>
    <rPh sb="97" eb="99">
      <t>セッテイ</t>
    </rPh>
    <phoneticPr fontId="3"/>
  </si>
  <si>
    <t>Ｑ：　一般職ですが、将来、スペシャリスト職をめざしています。専門的な知識やスキルを中心にキャリアプランを作成していいですか？
Ａ：　スペシャリスト職に必要なスキルを獲得することだけをキャリア目標にすると、スペシャリスト職群に到達する手前の、一般職群の昇格ができません。　あくまでも、現在資格や上位資格に求められる資格要件を満たしてください。　　※ただし、昇格は所定の人事考課を通して行います。</t>
    <rPh sb="3" eb="5">
      <t>イッパン</t>
    </rPh>
    <rPh sb="5" eb="6">
      <t>ショク</t>
    </rPh>
    <rPh sb="10" eb="12">
      <t>ショウライ</t>
    </rPh>
    <rPh sb="20" eb="21">
      <t>ショク</t>
    </rPh>
    <rPh sb="30" eb="33">
      <t>センモンテキ</t>
    </rPh>
    <rPh sb="34" eb="36">
      <t>チシキ</t>
    </rPh>
    <rPh sb="41" eb="43">
      <t>チュウシン</t>
    </rPh>
    <rPh sb="52" eb="54">
      <t>サクセイ</t>
    </rPh>
    <rPh sb="74" eb="75">
      <t>ショク</t>
    </rPh>
    <rPh sb="76" eb="78">
      <t>ヒツヨウ</t>
    </rPh>
    <rPh sb="83" eb="85">
      <t>カクトク</t>
    </rPh>
    <rPh sb="96" eb="98">
      <t>モクヒョウ</t>
    </rPh>
    <rPh sb="113" eb="115">
      <t>トウタツ</t>
    </rPh>
    <rPh sb="117" eb="118">
      <t>テ</t>
    </rPh>
    <rPh sb="118" eb="119">
      <t>マエ</t>
    </rPh>
    <rPh sb="142" eb="144">
      <t>ゲンザイ</t>
    </rPh>
    <rPh sb="144" eb="146">
      <t>シカク</t>
    </rPh>
    <rPh sb="147" eb="149">
      <t>ジョウイ</t>
    </rPh>
    <rPh sb="149" eb="151">
      <t>シカク</t>
    </rPh>
    <rPh sb="152" eb="153">
      <t>モト</t>
    </rPh>
    <rPh sb="157" eb="159">
      <t>シカク</t>
    </rPh>
    <rPh sb="159" eb="161">
      <t>ヨウケン</t>
    </rPh>
    <rPh sb="162" eb="163">
      <t>ミ</t>
    </rPh>
    <rPh sb="178" eb="180">
      <t>ショウカク</t>
    </rPh>
    <rPh sb="181" eb="183">
      <t>ショテイ</t>
    </rPh>
    <rPh sb="184" eb="186">
      <t>ジンジ</t>
    </rPh>
    <rPh sb="186" eb="188">
      <t>コウカ</t>
    </rPh>
    <rPh sb="189" eb="190">
      <t>トオ</t>
    </rPh>
    <rPh sb="192" eb="193">
      <t>オコナ</t>
    </rPh>
    <phoneticPr fontId="3"/>
  </si>
  <si>
    <t>Ｑ：　キャリアプランと目標管理が同じ内容になります。キャリアプランの取組みは書かなくてもいいですか？
Ａ：　目標管理とキャリアプランの両方の目標を設定してください。目標管理は事業計画の達成に貢献できる職務目標を、キャリアプランはスキルアップや自己啓発の目標を記入するため、目的が異なります。どうしても同じ内容になってしまうという場合は、上司や人事部門に相談してください。また、「キャリアプランを有効に使おう」ページも確認し、目標管理とキャリアプランの違いを再確認してください。</t>
    <rPh sb="34" eb="36">
      <t>トリク</t>
    </rPh>
    <rPh sb="38" eb="39">
      <t>カ</t>
    </rPh>
    <rPh sb="55" eb="57">
      <t>モクヒョウ</t>
    </rPh>
    <rPh sb="57" eb="59">
      <t>カンリ</t>
    </rPh>
    <rPh sb="68" eb="70">
      <t>リョウホウ</t>
    </rPh>
    <rPh sb="71" eb="73">
      <t>モクヒョウ</t>
    </rPh>
    <rPh sb="74" eb="76">
      <t>セッテイ</t>
    </rPh>
    <rPh sb="83" eb="85">
      <t>モクヒョウ</t>
    </rPh>
    <rPh sb="85" eb="87">
      <t>カンリ</t>
    </rPh>
    <rPh sb="88" eb="90">
      <t>ジギョウ</t>
    </rPh>
    <rPh sb="90" eb="92">
      <t>ケイカク</t>
    </rPh>
    <rPh sb="93" eb="95">
      <t>タッセイ</t>
    </rPh>
    <rPh sb="96" eb="98">
      <t>コウケン</t>
    </rPh>
    <rPh sb="101" eb="102">
      <t>ショク</t>
    </rPh>
    <rPh sb="102" eb="103">
      <t>ム</t>
    </rPh>
    <rPh sb="103" eb="105">
      <t>モクヒョウ</t>
    </rPh>
    <rPh sb="122" eb="124">
      <t>ジコ</t>
    </rPh>
    <rPh sb="124" eb="126">
      <t>ケイハツ</t>
    </rPh>
    <rPh sb="127" eb="129">
      <t>モクヒョウ</t>
    </rPh>
    <rPh sb="130" eb="132">
      <t>キニュウ</t>
    </rPh>
    <rPh sb="137" eb="139">
      <t>モクテキ</t>
    </rPh>
    <rPh sb="140" eb="141">
      <t>コト</t>
    </rPh>
    <rPh sb="151" eb="152">
      <t>オナ</t>
    </rPh>
    <rPh sb="153" eb="155">
      <t>ナイヨウ</t>
    </rPh>
    <rPh sb="165" eb="167">
      <t>バアイ</t>
    </rPh>
    <rPh sb="169" eb="171">
      <t>ジョウシ</t>
    </rPh>
    <rPh sb="172" eb="174">
      <t>ジンジ</t>
    </rPh>
    <rPh sb="174" eb="176">
      <t>ブモン</t>
    </rPh>
    <rPh sb="177" eb="179">
      <t>ソウダン</t>
    </rPh>
    <rPh sb="209" eb="211">
      <t>カクニン</t>
    </rPh>
    <rPh sb="213" eb="215">
      <t>モクヒョウ</t>
    </rPh>
    <rPh sb="215" eb="217">
      <t>カンリ</t>
    </rPh>
    <rPh sb="226" eb="227">
      <t>チガ</t>
    </rPh>
    <rPh sb="229" eb="232">
      <t>サイカクニン</t>
    </rPh>
    <phoneticPr fontId="3"/>
  </si>
  <si>
    <t>Ｑ：　キャリアプランは人事評価の対象になりますか？
Ａ：　人事評価の対象となるのは、事業計画達成に貢献する「目標管理」だけです。</t>
    <rPh sb="11" eb="13">
      <t>ジンジ</t>
    </rPh>
    <rPh sb="13" eb="15">
      <t>ヒョウカ</t>
    </rPh>
    <rPh sb="16" eb="18">
      <t>タイショウ</t>
    </rPh>
    <rPh sb="30" eb="32">
      <t>ジンジ</t>
    </rPh>
    <rPh sb="32" eb="34">
      <t>ヒョウカ</t>
    </rPh>
    <rPh sb="35" eb="37">
      <t>タイショウ</t>
    </rPh>
    <rPh sb="43" eb="45">
      <t>ジギョウ</t>
    </rPh>
    <rPh sb="45" eb="47">
      <t>ケイカク</t>
    </rPh>
    <rPh sb="47" eb="49">
      <t>タッセイ</t>
    </rPh>
    <rPh sb="50" eb="52">
      <t>コウケン</t>
    </rPh>
    <rPh sb="55" eb="57">
      <t>モクヒョウ</t>
    </rPh>
    <rPh sb="57" eb="59">
      <t>カンリ</t>
    </rPh>
    <phoneticPr fontId="3"/>
  </si>
  <si>
    <t>【職群別資格制度について】</t>
    <rPh sb="1" eb="2">
      <t>ショク</t>
    </rPh>
    <rPh sb="2" eb="3">
      <t>グン</t>
    </rPh>
    <rPh sb="3" eb="4">
      <t>ベツ</t>
    </rPh>
    <rPh sb="4" eb="6">
      <t>シカク</t>
    </rPh>
    <rPh sb="6" eb="8">
      <t>セイド</t>
    </rPh>
    <phoneticPr fontId="3"/>
  </si>
  <si>
    <t>Ｑ：　スペシャリスト職群へ昇格するには、どのような資格が条件ですか？
Ａ：　スペシャリスト職群S1の資格要件をある程度満たしていることが重要です。従って、公的な資格だけではなく、S1の資格要件をある程度満たしていれば昇格の可能性が高まります。　※ただし、昇格はキャリアプランではなく所定の人事考課を通して行います。</t>
    <rPh sb="10" eb="11">
      <t>ショク</t>
    </rPh>
    <rPh sb="11" eb="12">
      <t>グン</t>
    </rPh>
    <rPh sb="13" eb="15">
      <t>ショウカク</t>
    </rPh>
    <rPh sb="25" eb="27">
      <t>シカク</t>
    </rPh>
    <rPh sb="28" eb="30">
      <t>ジョウケン</t>
    </rPh>
    <rPh sb="46" eb="47">
      <t>ショク</t>
    </rPh>
    <rPh sb="47" eb="48">
      <t>グン</t>
    </rPh>
    <rPh sb="51" eb="53">
      <t>シカク</t>
    </rPh>
    <rPh sb="53" eb="55">
      <t>ヨウケン</t>
    </rPh>
    <rPh sb="58" eb="60">
      <t>テイド</t>
    </rPh>
    <rPh sb="60" eb="61">
      <t>ミ</t>
    </rPh>
    <rPh sb="69" eb="71">
      <t>ジュウヨウ</t>
    </rPh>
    <rPh sb="74" eb="75">
      <t>シタガ</t>
    </rPh>
    <rPh sb="78" eb="80">
      <t>コウテキ</t>
    </rPh>
    <rPh sb="81" eb="83">
      <t>シカク</t>
    </rPh>
    <rPh sb="93" eb="95">
      <t>シカク</t>
    </rPh>
    <rPh sb="95" eb="97">
      <t>ヨウケン</t>
    </rPh>
    <rPh sb="100" eb="102">
      <t>テイド</t>
    </rPh>
    <rPh sb="102" eb="103">
      <t>ミ</t>
    </rPh>
    <rPh sb="109" eb="111">
      <t>ショウカク</t>
    </rPh>
    <rPh sb="112" eb="115">
      <t>カノウセイ</t>
    </rPh>
    <rPh sb="116" eb="117">
      <t>タカ</t>
    </rPh>
    <phoneticPr fontId="3"/>
  </si>
  <si>
    <t>Ｑ：　Ｍ１もしくはＳ１への昇格は誰が進路を決めるのですか？　また一旦、決まったコースは変更できないのですか？
Ａ：　マネジメント職もしくはスペシャリスト職への昇格は、本人の意思で選択することが可能です。ただし、スペシャリスト職の運用が安定するまでは、スペシャリスト職へは上司・役員の推薦が必要とします。</t>
    <rPh sb="65" eb="66">
      <t>ショク</t>
    </rPh>
    <rPh sb="77" eb="78">
      <t>ショク</t>
    </rPh>
    <rPh sb="80" eb="82">
      <t>ショウカク</t>
    </rPh>
    <rPh sb="84" eb="86">
      <t>ホンニン</t>
    </rPh>
    <rPh sb="113" eb="114">
      <t>ショク</t>
    </rPh>
    <rPh sb="115" eb="117">
      <t>ウンヨウ</t>
    </rPh>
    <rPh sb="118" eb="120">
      <t>アンテイ</t>
    </rPh>
    <rPh sb="133" eb="134">
      <t>ショク</t>
    </rPh>
    <rPh sb="136" eb="138">
      <t>ジョウシ</t>
    </rPh>
    <rPh sb="139" eb="141">
      <t>ヤクイン</t>
    </rPh>
    <rPh sb="142" eb="144">
      <t>スイセン</t>
    </rPh>
    <rPh sb="145" eb="147">
      <t>ヒツヨウ</t>
    </rPh>
    <phoneticPr fontId="3"/>
  </si>
  <si>
    <t>Ｑ：　キャリアプランで目標達成し、キャリアアップして資格要件を満たすことができればすぐに昇格できますか？
Ａ：　通常の人事評価をへて昇格することになります。</t>
    <rPh sb="11" eb="13">
      <t>モクヒョウ</t>
    </rPh>
    <rPh sb="13" eb="15">
      <t>タッセイ</t>
    </rPh>
    <rPh sb="26" eb="28">
      <t>シカク</t>
    </rPh>
    <rPh sb="28" eb="30">
      <t>ヨウケン</t>
    </rPh>
    <rPh sb="31" eb="32">
      <t>ミ</t>
    </rPh>
    <rPh sb="44" eb="46">
      <t>ショウカク</t>
    </rPh>
    <rPh sb="57" eb="59">
      <t>ツウジョウ</t>
    </rPh>
    <rPh sb="60" eb="62">
      <t>ジンジ</t>
    </rPh>
    <rPh sb="62" eb="64">
      <t>ヒョウカ</t>
    </rPh>
    <rPh sb="67" eb="69">
      <t>ショウカク</t>
    </rPh>
    <phoneticPr fontId="3"/>
  </si>
  <si>
    <t>Ｑ：　一般職群に必要な公的資格をすべて取得しましたが、社内の資格R2のままですか？
Ａ：　キャリアプラン制度・職群別資格制度は、公的な資格を取得するためだけに、運用していません。公的な資格を業務遂行に活かし、成果をあげることが重要です。上位資格R3の職務遂行ができれば、所定の人事考課で評価し、昇格対象となります。</t>
    <rPh sb="3" eb="5">
      <t>イッパン</t>
    </rPh>
    <rPh sb="5" eb="6">
      <t>ショク</t>
    </rPh>
    <rPh sb="6" eb="7">
      <t>グン</t>
    </rPh>
    <rPh sb="8" eb="10">
      <t>ヒツヨウ</t>
    </rPh>
    <rPh sb="11" eb="13">
      <t>コウテキ</t>
    </rPh>
    <rPh sb="13" eb="15">
      <t>シカク</t>
    </rPh>
    <rPh sb="19" eb="21">
      <t>シュトク</t>
    </rPh>
    <rPh sb="27" eb="29">
      <t>シャナイ</t>
    </rPh>
    <rPh sb="30" eb="32">
      <t>シカク</t>
    </rPh>
    <rPh sb="56" eb="63">
      <t>ショクグ</t>
    </rPh>
    <rPh sb="65" eb="67">
      <t>コウテキ</t>
    </rPh>
    <rPh sb="68" eb="70">
      <t>シカク</t>
    </rPh>
    <rPh sb="71" eb="73">
      <t>シュトク</t>
    </rPh>
    <rPh sb="81" eb="83">
      <t>ウンヨウ</t>
    </rPh>
    <rPh sb="90" eb="92">
      <t>コウテキ</t>
    </rPh>
    <rPh sb="93" eb="95">
      <t>シカク</t>
    </rPh>
    <rPh sb="96" eb="98">
      <t>ギョウム</t>
    </rPh>
    <rPh sb="98" eb="100">
      <t>スイコウ</t>
    </rPh>
    <rPh sb="101" eb="102">
      <t>イ</t>
    </rPh>
    <rPh sb="105" eb="107">
      <t>セイカ</t>
    </rPh>
    <rPh sb="114" eb="116">
      <t>ジュウヨウ</t>
    </rPh>
    <rPh sb="119" eb="121">
      <t>ジョウイ</t>
    </rPh>
    <rPh sb="121" eb="123">
      <t>シカク</t>
    </rPh>
    <rPh sb="126" eb="128">
      <t>ショクム</t>
    </rPh>
    <rPh sb="128" eb="130">
      <t>スイコウ</t>
    </rPh>
    <rPh sb="136" eb="138">
      <t>ショテイ</t>
    </rPh>
    <rPh sb="139" eb="141">
      <t>ジンジ</t>
    </rPh>
    <rPh sb="141" eb="143">
      <t>コウカ</t>
    </rPh>
    <rPh sb="144" eb="146">
      <t>ヒョウカ</t>
    </rPh>
    <rPh sb="148" eb="150">
      <t>ショウカク</t>
    </rPh>
    <rPh sb="150" eb="152">
      <t>タイショウ</t>
    </rPh>
    <phoneticPr fontId="3"/>
  </si>
  <si>
    <t>Ｑ：　スペシャリスト職群と管理職群の間で、異動を希望した場合、異動できますか？
Ａ：　管理職群もしくはスペシャリスト職群に昇進したものが職群異動を希望する場合は、一資格降格して異動することを原則とします。例えば、Ｓ１からＭ群への異動を希望する場合は、一旦、Ｒ４になるということです。</t>
    <rPh sb="96" eb="98">
      <t>ゲンソク</t>
    </rPh>
    <rPh sb="103" eb="104">
      <t>タト</t>
    </rPh>
    <rPh sb="112" eb="113">
      <t>グン</t>
    </rPh>
    <rPh sb="115" eb="117">
      <t>イドウ</t>
    </rPh>
    <rPh sb="118" eb="120">
      <t>キボウ</t>
    </rPh>
    <rPh sb="122" eb="124">
      <t>バアイ</t>
    </rPh>
    <rPh sb="126" eb="128">
      <t>イッタン</t>
    </rPh>
    <phoneticPr fontId="3"/>
  </si>
  <si>
    <t>Ｑ：　経営職群からスペシャリスト職群への異動はできますか？
Ａ：　役員会決裁が必要ですが、異動は可能です。</t>
    <rPh sb="3" eb="5">
      <t>ケイエイ</t>
    </rPh>
    <rPh sb="5" eb="6">
      <t>ショク</t>
    </rPh>
    <rPh sb="6" eb="7">
      <t>グン</t>
    </rPh>
    <rPh sb="16" eb="18">
      <t>ショクグン</t>
    </rPh>
    <rPh sb="20" eb="22">
      <t>イドウ</t>
    </rPh>
    <rPh sb="34" eb="37">
      <t>ヤクインカイ</t>
    </rPh>
    <rPh sb="37" eb="39">
      <t>ケッサイ</t>
    </rPh>
    <rPh sb="40" eb="42">
      <t>ヒツヨウ</t>
    </rPh>
    <rPh sb="46" eb="48">
      <t>イドウ</t>
    </rPh>
    <rPh sb="49" eb="51">
      <t>カノウ</t>
    </rPh>
    <phoneticPr fontId="3"/>
  </si>
  <si>
    <t>全　社　資　格　基　準　一　覧　表（経営職／営業・事務・パンチャー）　　1/4</t>
    <rPh sb="4" eb="5">
      <t>シ</t>
    </rPh>
    <rPh sb="6" eb="7">
      <t>カク</t>
    </rPh>
    <rPh sb="18" eb="20">
      <t>ケイエイ</t>
    </rPh>
    <rPh sb="20" eb="21">
      <t>ショク</t>
    </rPh>
    <rPh sb="22" eb="24">
      <t>エイギョウ</t>
    </rPh>
    <rPh sb="25" eb="27">
      <t>ジム</t>
    </rPh>
    <phoneticPr fontId="7"/>
  </si>
  <si>
    <t>職能</t>
  </si>
  <si>
    <t>資格</t>
  </si>
  <si>
    <t>役職・役割</t>
    <phoneticPr fontId="23"/>
  </si>
  <si>
    <t>期待する</t>
    <phoneticPr fontId="23"/>
  </si>
  <si>
    <t>期待する業務遂行レベル（あるべき姿・求める業務成果）</t>
    <phoneticPr fontId="3"/>
  </si>
  <si>
    <t>能力要件（行動記述・取得資格・技術等）</t>
    <phoneticPr fontId="7"/>
  </si>
  <si>
    <t>区分</t>
  </si>
  <si>
    <t>呼称</t>
  </si>
  <si>
    <t>業務水準</t>
    <phoneticPr fontId="23"/>
  </si>
  <si>
    <t>計画(Plan)</t>
    <phoneticPr fontId="3"/>
  </si>
  <si>
    <t>実行(Do)</t>
    <phoneticPr fontId="3"/>
  </si>
  <si>
    <t>評価(Check)/改善(Action)</t>
    <phoneticPr fontId="3"/>
  </si>
  <si>
    <t>知識・技能</t>
    <phoneticPr fontId="3"/>
  </si>
  <si>
    <t>企画力</t>
    <phoneticPr fontId="3"/>
  </si>
  <si>
    <t>決断・判断</t>
    <phoneticPr fontId="3"/>
  </si>
  <si>
    <t>渉外・折衝</t>
    <phoneticPr fontId="3"/>
  </si>
  <si>
    <t>指導・育成・統率力</t>
  </si>
  <si>
    <t>資格・技術</t>
    <rPh sb="0" eb="2">
      <t>シカク</t>
    </rPh>
    <rPh sb="3" eb="5">
      <t>ギジュツ</t>
    </rPh>
    <phoneticPr fontId="3"/>
  </si>
  <si>
    <t>経　　営　　職</t>
    <rPh sb="0" eb="1">
      <t>キョウ</t>
    </rPh>
    <rPh sb="3" eb="4">
      <t>エイ</t>
    </rPh>
    <rPh sb="6" eb="7">
      <t>ショク</t>
    </rPh>
    <phoneticPr fontId="3"/>
  </si>
  <si>
    <t>経営統率
業務</t>
    <phoneticPr fontId="3"/>
  </si>
  <si>
    <t>旺盛な企業家精神、全社戦略の策定と推進の旗振り</t>
    <phoneticPr fontId="7"/>
  </si>
  <si>
    <t xml:space="preserve">業界、社会経済の高度広範な知識を持つ
経営管理に関する高度な知識と実務経験を持つ
</t>
    <phoneticPr fontId="3"/>
  </si>
  <si>
    <t xml:space="preserve">種々の制約の中で、全社的観点から最も効果的な計画企画を立案できる
</t>
    <phoneticPr fontId="3"/>
  </si>
  <si>
    <t xml:space="preserve">経営上重要な問題の解決方向を的確に示すことができる
</t>
    <phoneticPr fontId="3"/>
  </si>
  <si>
    <t xml:space="preserve">経営上重要な業務について社外関係者と交渉し、会社方針に沿って解決できる
</t>
    <phoneticPr fontId="3"/>
  </si>
  <si>
    <t xml:space="preserve">会社全体を目標に向かって結束できる
</t>
    <rPh sb="0" eb="2">
      <t>カイシャ</t>
    </rPh>
    <rPh sb="2" eb="4">
      <t>ゼンタイ</t>
    </rPh>
    <phoneticPr fontId="3"/>
  </si>
  <si>
    <t>①中長期的視点で、中長期戦略の策定、提言をする
②新たなビジネスチャンスを創造する
③事業化計画を作成する
④戦略推進のための組織化を実行する</t>
    <rPh sb="67" eb="69">
      <t>ジッコウ</t>
    </rPh>
    <phoneticPr fontId="3"/>
  </si>
  <si>
    <t>①特命プロジェクトを推進する
②外部ネットワークを活用する
③リスクを引受ける
④重要事項のGo and Stopを判断する</t>
    <rPh sb="41" eb="43">
      <t>ジュウヨウ</t>
    </rPh>
    <rPh sb="43" eb="45">
      <t>ジコウ</t>
    </rPh>
    <phoneticPr fontId="3"/>
  </si>
  <si>
    <t>①事業計画／実績対比分析を行い、課題の原因追求と対策立案をする
②投資経済性の評価を行う
③事業継続、軌道修正の判断をする
④組織変更、重要人事の判断をする</t>
    <rPh sb="42" eb="43">
      <t>オコナ</t>
    </rPh>
    <phoneticPr fontId="3"/>
  </si>
  <si>
    <t>執行役員</t>
    <rPh sb="0" eb="2">
      <t>シッコウ</t>
    </rPh>
    <rPh sb="2" eb="3">
      <t>ヤク</t>
    </rPh>
    <rPh sb="3" eb="4">
      <t>イン</t>
    </rPh>
    <phoneticPr fontId="7"/>
  </si>
  <si>
    <t>事業部長</t>
    <rPh sb="0" eb="2">
      <t>ジギョウ</t>
    </rPh>
    <rPh sb="2" eb="4">
      <t>ブチョウ</t>
    </rPh>
    <phoneticPr fontId="7"/>
  </si>
  <si>
    <t>部　長</t>
    <rPh sb="0" eb="1">
      <t>ブ</t>
    </rPh>
    <rPh sb="2" eb="3">
      <t>チョウ</t>
    </rPh>
    <phoneticPr fontId="3"/>
  </si>
  <si>
    <t>部レベル
統率業務</t>
    <phoneticPr fontId="7"/>
  </si>
  <si>
    <t>部門の方向づけと組織化、指揮、重点施策の先行管理</t>
    <phoneticPr fontId="7"/>
  </si>
  <si>
    <t>部門全体を目標に向かって結束できる
下位役職者に適切な助言・指導ができる</t>
    <rPh sb="19" eb="21">
      <t>カイ</t>
    </rPh>
    <rPh sb="21" eb="24">
      <t>ヤクショクシャ</t>
    </rPh>
    <rPh sb="25" eb="27">
      <t>テキセツ</t>
    </rPh>
    <rPh sb="28" eb="30">
      <t>ジョゲン</t>
    </rPh>
    <rPh sb="31" eb="33">
      <t>シドウ</t>
    </rPh>
    <phoneticPr fontId="3"/>
  </si>
  <si>
    <t>①部門戦略、事業計画の立案をする
②重点施策を自ら具体化する
③内外の広範な情報収集をする
④部門組織、役割の設計をする</t>
    <rPh sb="6" eb="8">
      <t>ジギョウ</t>
    </rPh>
    <rPh sb="32" eb="34">
      <t>ナイガイ</t>
    </rPh>
    <rPh sb="35" eb="37">
      <t>コウハン</t>
    </rPh>
    <rPh sb="38" eb="40">
      <t>ジョウホウ</t>
    </rPh>
    <rPh sb="40" eb="42">
      <t>シュウシュウ</t>
    </rPh>
    <phoneticPr fontId="3"/>
  </si>
  <si>
    <t>①部門計画を実行し、先行管理をする
②全社横断プロジェクトに参画する
③的確な判断と対処、指示をする
④幹部に対する指導育成をする
⑤重要事項のトップ報告、献策をする</t>
    <rPh sb="6" eb="8">
      <t>ジッコウ</t>
    </rPh>
    <rPh sb="19" eb="21">
      <t>ゼンシャ</t>
    </rPh>
    <rPh sb="21" eb="23">
      <t>オウダン</t>
    </rPh>
    <rPh sb="30" eb="32">
      <t>サンカク</t>
    </rPh>
    <phoneticPr fontId="3"/>
  </si>
  <si>
    <t>①部門計画／実績差異分析を行い、課題の原因追求と対策立案をする
②部門運営状況を関連部署へフィードバックする
③下位役職者の評価を行う
④人材育成状況の評価から課題を発見する</t>
    <rPh sb="13" eb="14">
      <t>オコナ</t>
    </rPh>
    <rPh sb="16" eb="18">
      <t>カダイ</t>
    </rPh>
    <rPh sb="33" eb="35">
      <t>ブモン</t>
    </rPh>
    <rPh sb="35" eb="37">
      <t>ウンエイ</t>
    </rPh>
    <rPh sb="37" eb="39">
      <t>ジョウキョウ</t>
    </rPh>
    <rPh sb="65" eb="66">
      <t>オコナ</t>
    </rPh>
    <rPh sb="80" eb="82">
      <t>カダイ</t>
    </rPh>
    <rPh sb="83" eb="85">
      <t>ハッケン</t>
    </rPh>
    <phoneticPr fontId="3"/>
  </si>
  <si>
    <t>管　　理　　職</t>
    <rPh sb="0" eb="1">
      <t>カン</t>
    </rPh>
    <rPh sb="3" eb="4">
      <t>リ</t>
    </rPh>
    <rPh sb="6" eb="7">
      <t>ショク</t>
    </rPh>
    <phoneticPr fontId="3"/>
  </si>
  <si>
    <r>
      <t>課</t>
    </r>
    <r>
      <rPr>
        <sz val="11"/>
        <color theme="1"/>
        <rFont val="ＭＳ Ｐゴシック"/>
        <family val="3"/>
        <charset val="128"/>
      </rPr>
      <t>レベル
統率業務</t>
    </r>
    <rPh sb="0" eb="1">
      <t>カ</t>
    </rPh>
    <phoneticPr fontId="7"/>
  </si>
  <si>
    <t>課戦略の実務展開を指揮、率先垂範と課員の動機づけを行う</t>
    <rPh sb="0" eb="1">
      <t>カ</t>
    </rPh>
    <rPh sb="17" eb="19">
      <t>カイン</t>
    </rPh>
    <rPh sb="25" eb="26">
      <t>オコナ</t>
    </rPh>
    <phoneticPr fontId="7"/>
  </si>
  <si>
    <t xml:space="preserve">課の組織運営に関する高度広範な知識・技能を持つ
</t>
    <phoneticPr fontId="3"/>
  </si>
  <si>
    <t xml:space="preserve">部の方針に基づく課レベルの適切な運営計画の立案ができる
</t>
    <rPh sb="16" eb="18">
      <t>ウンエイ</t>
    </rPh>
    <phoneticPr fontId="3"/>
  </si>
  <si>
    <t xml:space="preserve">不確定かつ複雑な諸問題を分析し、適切な判断を示すことができる
</t>
    <phoneticPr fontId="3"/>
  </si>
  <si>
    <t>困難な状況でも対外交渉を有利に導くことができる
顧客との契約内容を熟知し、自社に有益となる働きかけができる</t>
    <rPh sb="3" eb="5">
      <t>ジョウキョウ</t>
    </rPh>
    <rPh sb="25" eb="27">
      <t>コキャク</t>
    </rPh>
    <rPh sb="29" eb="31">
      <t>ケイヤク</t>
    </rPh>
    <rPh sb="31" eb="33">
      <t>ナイヨウ</t>
    </rPh>
    <rPh sb="34" eb="36">
      <t>ジュクチ</t>
    </rPh>
    <rPh sb="38" eb="40">
      <t>ジシャ</t>
    </rPh>
    <rPh sb="41" eb="43">
      <t>ユウエキ</t>
    </rPh>
    <rPh sb="46" eb="47">
      <t>ハタラ</t>
    </rPh>
    <phoneticPr fontId="3"/>
  </si>
  <si>
    <t>課員の能力、適性を把握し、適切な指導ができる
課のチームワークを高めることができる</t>
    <rPh sb="0" eb="2">
      <t>カイン</t>
    </rPh>
    <phoneticPr fontId="3"/>
  </si>
  <si>
    <t>①部の事業計画策定に関与する
②自部門の事業方針を理解し、課の具体的な運営計画（売上･収益・コスト、要員、指導･教育など）を策定する
③内外環境分析（他部門の計画･動向と顧客状況の把握）をする
④課員の役割と業務の設計をする
⑤課員のキャリアプラン作成を指導する</t>
    <phoneticPr fontId="3"/>
  </si>
  <si>
    <t>①収益向上を目指し、事業計画を実行する
②方針・戦略を周知徹底する
③顧客・関係部署と折衝する
④顧客(社員)サービスレベル向上の施策を実行する
⑤課員の適切な業務割付を実施する
⑥課員のキャリアプラン遂行を支援し、次世代の管理職候補を指導・育成する
⑦課員の健康とメンタルを維持する</t>
    <rPh sb="49" eb="51">
      <t>コキャク</t>
    </rPh>
    <rPh sb="52" eb="54">
      <t>シャイン</t>
    </rPh>
    <rPh sb="85" eb="87">
      <t>ジッシ</t>
    </rPh>
    <phoneticPr fontId="3"/>
  </si>
  <si>
    <t>①提案・改善を行い事業計画達成に努める
②適時、上位者と意識合わせを行いながら目標達成に向けた軌道修正を行う
③事業計画と実績の差異分析を行い、次期計画に反映する
④顧客評価を正確に捉え、自社に有利な提案ができるよう調整する
⑤人事考課・キャリアプランを利用して人材育成状況を評価する</t>
    <rPh sb="11" eb="13">
      <t>ケイカク</t>
    </rPh>
    <rPh sb="114" eb="116">
      <t>ジンジ</t>
    </rPh>
    <rPh sb="116" eb="118">
      <t>コウカ</t>
    </rPh>
    <rPh sb="127" eb="129">
      <t>リヨウ</t>
    </rPh>
    <phoneticPr fontId="3"/>
  </si>
  <si>
    <t>Ｍ</t>
    <phoneticPr fontId="3"/>
  </si>
  <si>
    <t>課　長</t>
    <rPh sb="0" eb="1">
      <t>カ</t>
    </rPh>
    <rPh sb="2" eb="3">
      <t>チョウ</t>
    </rPh>
    <phoneticPr fontId="3"/>
  </si>
  <si>
    <t>指揮監督
業務</t>
    <rPh sb="5" eb="7">
      <t>ギョウム</t>
    </rPh>
    <phoneticPr fontId="3"/>
  </si>
  <si>
    <t>次期マネージャー候補として、業務推進と現場指揮を率先して行う</t>
    <rPh sb="8" eb="10">
      <t>コウホ</t>
    </rPh>
    <phoneticPr fontId="3"/>
  </si>
  <si>
    <t>課の組織運営に関する全般的な知識・技能を持つ</t>
    <rPh sb="10" eb="13">
      <t>ゼンパンテキ</t>
    </rPh>
    <phoneticPr fontId="3"/>
  </si>
  <si>
    <t xml:space="preserve">課方針に基づく適切な計画企画を立案できる
</t>
    <phoneticPr fontId="3"/>
  </si>
  <si>
    <t xml:space="preserve">複雑な案件に対しても適切な判断ができる
</t>
    <phoneticPr fontId="3"/>
  </si>
  <si>
    <t>担当分野における交渉ごとを有利に導くことができる
相手の立場やパワーバランスを考慮できる</t>
    <rPh sb="2" eb="4">
      <t>ブンヤ</t>
    </rPh>
    <phoneticPr fontId="3"/>
  </si>
  <si>
    <t xml:space="preserve">課員のモチベーションを維持・向上できる
</t>
    <rPh sb="0" eb="2">
      <t>カイン</t>
    </rPh>
    <rPh sb="11" eb="13">
      <t>イジ</t>
    </rPh>
    <rPh sb="14" eb="16">
      <t>コウジョウ</t>
    </rPh>
    <phoneticPr fontId="3"/>
  </si>
  <si>
    <t xml:space="preserve">①課の運営計画策定に関与する
②課員の業務課題を具体化し、キャリアプラン作成を支援する
③関係者への事前調整と周知をする
</t>
    <rPh sb="16" eb="18">
      <t>カイン</t>
    </rPh>
    <phoneticPr fontId="3"/>
  </si>
  <si>
    <t>①課の運営業務全般について、マネージャーを補佐し、自部門の発展に寄与する
②重点業務を主体的に推進する
③課員に積極的に業務委譲し、ＡＭの代理が務まる人材を指導・育成する
④就業規則や諸規則を率先垂範し、下位者に指示する</t>
    <phoneticPr fontId="3"/>
  </si>
  <si>
    <t>①業務計画／実績差異の評価・分析を行う
②個人の役割を定期的にチェックする
③人事考課・キャリアプランを利用して人材育成状況の一次評価をする</t>
    <rPh sb="1" eb="3">
      <t>ギョウム</t>
    </rPh>
    <rPh sb="11" eb="13">
      <t>ヒョウカ</t>
    </rPh>
    <rPh sb="14" eb="16">
      <t>ブンセキ</t>
    </rPh>
    <rPh sb="17" eb="18">
      <t>オコナ</t>
    </rPh>
    <rPh sb="29" eb="30">
      <t>テキ</t>
    </rPh>
    <phoneticPr fontId="3"/>
  </si>
  <si>
    <t>ＡＭ</t>
    <phoneticPr fontId="7"/>
  </si>
  <si>
    <t>課長代理</t>
    <rPh sb="0" eb="2">
      <t>カチョウ</t>
    </rPh>
    <rPh sb="2" eb="4">
      <t>ダイリ</t>
    </rPh>
    <phoneticPr fontId="7"/>
  </si>
  <si>
    <t>事　務　・　営　業　系</t>
    <rPh sb="0" eb="1">
      <t>コト</t>
    </rPh>
    <rPh sb="2" eb="3">
      <t>ツトム</t>
    </rPh>
    <rPh sb="6" eb="7">
      <t>エイ</t>
    </rPh>
    <rPh sb="8" eb="9">
      <t>ギョウ</t>
    </rPh>
    <rPh sb="10" eb="11">
      <t>ケイ</t>
    </rPh>
    <phoneticPr fontId="3"/>
  </si>
  <si>
    <t>熟練模範
業務</t>
    <rPh sb="5" eb="7">
      <t>ギョウム</t>
    </rPh>
    <phoneticPr fontId="3"/>
  </si>
  <si>
    <t>所属部署の広範な業務に精通し、下位者のモデルとなる</t>
    <phoneticPr fontId="7"/>
  </si>
  <si>
    <t xml:space="preserve">担当業務に関する深い実務知識と広範な業務知識をもつ
</t>
    <phoneticPr fontId="3"/>
  </si>
  <si>
    <t xml:space="preserve">部署方針に沿って創意工夫を凝らした企画立案ができる
</t>
    <phoneticPr fontId="3"/>
  </si>
  <si>
    <t xml:space="preserve">担当業務における突発事項でも的確な判断ができる
</t>
    <phoneticPr fontId="3"/>
  </si>
  <si>
    <t xml:space="preserve">担当分野の範囲で関係先と円滑有利に協議・交渉ができる
</t>
    <phoneticPr fontId="3"/>
  </si>
  <si>
    <t xml:space="preserve">担当分野の複雑業務を下位者に指導できる
</t>
    <phoneticPr fontId="3"/>
  </si>
  <si>
    <t>①専門性を生かして、業務計画全般に関与する
②専門分野における現状の課題を把握し、有効な解決策を立案する</t>
    <rPh sb="10" eb="12">
      <t>ギョウム</t>
    </rPh>
    <rPh sb="46" eb="47">
      <t>サク</t>
    </rPh>
    <rPh sb="48" eb="50">
      <t>リツアン</t>
    </rPh>
    <phoneticPr fontId="3"/>
  </si>
  <si>
    <t xml:space="preserve">①広範な業務に精通し、主要業務を主体的に推進する
②得意分野での専門性を発揮する
③下位者へ積極的に業務委譲する
</t>
    <rPh sb="1" eb="3">
      <t>コウハン</t>
    </rPh>
    <rPh sb="7" eb="9">
      <t>セイツウ</t>
    </rPh>
    <rPh sb="11" eb="13">
      <t>シュヨウ</t>
    </rPh>
    <rPh sb="13" eb="15">
      <t>ギョウム</t>
    </rPh>
    <rPh sb="16" eb="19">
      <t>シュタイテキ</t>
    </rPh>
    <rPh sb="20" eb="22">
      <t>スイシン</t>
    </rPh>
    <phoneticPr fontId="3"/>
  </si>
  <si>
    <t>①工夫・改善成果を評価し、部門内で共有する
②自ら業務を標準化し、ノウハウは共有化する
③部門運営への改善提案を通して組織に貢献する</t>
    <rPh sb="13" eb="15">
      <t>ブモン</t>
    </rPh>
    <rPh sb="15" eb="16">
      <t>ナイ</t>
    </rPh>
    <rPh sb="17" eb="19">
      <t>キョウユウ</t>
    </rPh>
    <rPh sb="23" eb="24">
      <t>ミズカ</t>
    </rPh>
    <rPh sb="45" eb="47">
      <t>ブモン</t>
    </rPh>
    <rPh sb="47" eb="49">
      <t>ウンエイ</t>
    </rPh>
    <rPh sb="51" eb="53">
      <t>カイゼン</t>
    </rPh>
    <rPh sb="53" eb="55">
      <t>テイアン</t>
    </rPh>
    <phoneticPr fontId="3"/>
  </si>
  <si>
    <t>上級営業</t>
    <rPh sb="0" eb="2">
      <t>ジョウキュウ</t>
    </rPh>
    <rPh sb="2" eb="4">
      <t>エイギョウ</t>
    </rPh>
    <phoneticPr fontId="7"/>
  </si>
  <si>
    <t>上級事務</t>
    <rPh sb="0" eb="2">
      <t>ジョウキュウ</t>
    </rPh>
    <rPh sb="2" eb="4">
      <t>ジム</t>
    </rPh>
    <phoneticPr fontId="7"/>
  </si>
  <si>
    <t>熟練自律
業務</t>
    <rPh sb="5" eb="7">
      <t>ギョウム</t>
    </rPh>
    <phoneticPr fontId="3"/>
  </si>
  <si>
    <t>　　所属部署の通常業務に精通し、担当業務を自主改善する</t>
    <phoneticPr fontId="7"/>
  </si>
  <si>
    <t xml:space="preserve">担当業務を自立して行える知識・経験を持つ
</t>
    <phoneticPr fontId="3"/>
  </si>
  <si>
    <t xml:space="preserve">担当業務に関する創意工夫を凝らした提案ができる
</t>
    <phoneticPr fontId="3"/>
  </si>
  <si>
    <t xml:space="preserve">担当業務の範囲で的確な判断と対処ができる
</t>
    <phoneticPr fontId="3"/>
  </si>
  <si>
    <t>担当業務においては主体的に関係先と折衝できる
顧客・関係者にとって、価値ある対応をする</t>
    <phoneticPr fontId="3"/>
  </si>
  <si>
    <t xml:space="preserve">自ら率先垂範し下位者への実務指導・支援ができる
</t>
    <phoneticPr fontId="3"/>
  </si>
  <si>
    <t xml:space="preserve">①担当業務における具体的な目標と推進計画を策定する
②担当する個々の仕事を手順化する
③予想される問題点を上司と事前検討、代替案を準備する
</t>
    <rPh sb="21" eb="23">
      <t>サクテイ</t>
    </rPh>
    <phoneticPr fontId="3"/>
  </si>
  <si>
    <t>①担当業務に精通し、独力で遂行する
②関係者と調整・折衝し、円滑な業務推進に寄与する
③自らが範となって、下位者に指導・教育する</t>
    <rPh sb="6" eb="8">
      <t>セイツウ</t>
    </rPh>
    <phoneticPr fontId="3"/>
  </si>
  <si>
    <t>①業務の課題を自ら発見し、改善提案する
②上位者の指示を受けて業務を標準化し、ノウハウは共有化する
③部門運営に改善提案をする</t>
    <rPh sb="21" eb="24">
      <t>ジョウイシャ</t>
    </rPh>
    <rPh sb="25" eb="27">
      <t>シジ</t>
    </rPh>
    <rPh sb="28" eb="29">
      <t>ウ</t>
    </rPh>
    <rPh sb="51" eb="53">
      <t>ブモン</t>
    </rPh>
    <phoneticPr fontId="3"/>
  </si>
  <si>
    <t>中級営業</t>
    <rPh sb="0" eb="2">
      <t>チュウキュウ</t>
    </rPh>
    <rPh sb="2" eb="4">
      <t>エイギョウ</t>
    </rPh>
    <phoneticPr fontId="7"/>
  </si>
  <si>
    <t>中級事務</t>
    <rPh sb="2" eb="4">
      <t>ジム</t>
    </rPh>
    <phoneticPr fontId="7"/>
  </si>
  <si>
    <t>複雑定型
判定業務</t>
    <rPh sb="5" eb="7">
      <t>ハンテイ</t>
    </rPh>
    <rPh sb="7" eb="9">
      <t>ギョウム</t>
    </rPh>
    <phoneticPr fontId="3"/>
  </si>
  <si>
    <t>独力で通常業務を遂行する</t>
    <phoneticPr fontId="7"/>
  </si>
  <si>
    <t xml:space="preserve">複雑定型業務を遂行するために必要な実務知識・技能を持つ
</t>
    <phoneticPr fontId="3"/>
  </si>
  <si>
    <t xml:space="preserve">独力で創意工夫を凝らして担当業務を改善できる
</t>
    <rPh sb="12" eb="14">
      <t>タントウ</t>
    </rPh>
    <phoneticPr fontId="3"/>
  </si>
  <si>
    <t xml:space="preserve">一定の範囲内での処理、手続きなどを独力で正しく選択、判断できる
</t>
    <phoneticPr fontId="3"/>
  </si>
  <si>
    <t>決められた手続き、基準にしたがって関係先と独力で折衝できる
顧客・関係者の要求や立場を理解し、誠意をもって対応する</t>
    <phoneticPr fontId="3"/>
  </si>
  <si>
    <t>自発的に周囲と協調・協力しながら、業務を進める</t>
    <rPh sb="0" eb="3">
      <t>ジハツテキ</t>
    </rPh>
    <rPh sb="4" eb="6">
      <t>シュウイ</t>
    </rPh>
    <rPh sb="7" eb="9">
      <t>キョウチョウ</t>
    </rPh>
    <rPh sb="10" eb="12">
      <t>キョウリョク</t>
    </rPh>
    <rPh sb="17" eb="19">
      <t>ギョウム</t>
    </rPh>
    <rPh sb="20" eb="21">
      <t>スス</t>
    </rPh>
    <phoneticPr fontId="3"/>
  </si>
  <si>
    <t>【推奨資格】
総務－衛生管理士</t>
    <rPh sb="1" eb="3">
      <t>スイショウ</t>
    </rPh>
    <rPh sb="3" eb="5">
      <t>シカク</t>
    </rPh>
    <rPh sb="7" eb="9">
      <t>ソウム</t>
    </rPh>
    <rPh sb="10" eb="12">
      <t>エイセイ</t>
    </rPh>
    <rPh sb="12" eb="14">
      <t>カンリ</t>
    </rPh>
    <rPh sb="14" eb="15">
      <t>シ</t>
    </rPh>
    <phoneticPr fontId="3"/>
  </si>
  <si>
    <t xml:space="preserve">①概括的な指示のもとで担当業務に関する推進計画を作成する
②自らのキャリアプランを策定し、目標達成までのプロセスを具体化する
</t>
    <phoneticPr fontId="3"/>
  </si>
  <si>
    <t>①一定の判断を要する通常業務を独力で遂行する
②上位者の細部にわたる具体的な指示・指導のもと、一定の知識や熟練を要する複雑な定型業務を正しく遂行する
③主体的に自分の業務範囲を拡大する
④重要事項を上司へ報告、献策する</t>
    <phoneticPr fontId="3"/>
  </si>
  <si>
    <t>①担当業務の成果を自己評価し、自分なりの仕事の工夫をする
②自らのキャリアプランを評価し、具体的な改善策を立てる</t>
    <phoneticPr fontId="3"/>
  </si>
  <si>
    <t>初級営業</t>
    <rPh sb="0" eb="2">
      <t>ショキュウ</t>
    </rPh>
    <rPh sb="2" eb="4">
      <t>エイギョウ</t>
    </rPh>
    <phoneticPr fontId="7"/>
  </si>
  <si>
    <t>初級事務</t>
    <rPh sb="0" eb="2">
      <t>ショキュウ</t>
    </rPh>
    <rPh sb="2" eb="4">
      <t>ジム</t>
    </rPh>
    <phoneticPr fontId="7"/>
  </si>
  <si>
    <t>定型業務</t>
    <rPh sb="0" eb="2">
      <t>テイケイ</t>
    </rPh>
    <rPh sb="2" eb="4">
      <t>ギョウム</t>
    </rPh>
    <phoneticPr fontId="3"/>
  </si>
  <si>
    <t>指示された業務を確実に遂行し、対応できる業務範囲を拡大する</t>
    <phoneticPr fontId="3"/>
  </si>
  <si>
    <t xml:space="preserve">定型業務を遂行するために必要な実務知識・技能を持つ
</t>
    <phoneticPr fontId="3"/>
  </si>
  <si>
    <t xml:space="preserve">日常定型業務において創意工夫ができる
</t>
    <phoneticPr fontId="3"/>
  </si>
  <si>
    <t xml:space="preserve">顧客や上司の話をポイントを外さずに理解できる
</t>
    <phoneticPr fontId="3"/>
  </si>
  <si>
    <t>上位者に的確に報告、連絡、相談ができる
顧客・関係者に誠意をもって対応する</t>
    <rPh sb="21" eb="23">
      <t>コキャク</t>
    </rPh>
    <rPh sb="24" eb="27">
      <t>カンケイシャ</t>
    </rPh>
    <rPh sb="28" eb="30">
      <t>セイイ</t>
    </rPh>
    <rPh sb="34" eb="36">
      <t>タイオウ</t>
    </rPh>
    <phoneticPr fontId="3"/>
  </si>
  <si>
    <t>上位者の指導を積極的に理解し、周囲と協調・協力する</t>
    <rPh sb="0" eb="3">
      <t>ジョウイシャ</t>
    </rPh>
    <rPh sb="4" eb="6">
      <t>シドウ</t>
    </rPh>
    <rPh sb="7" eb="10">
      <t>セッキョクテキ</t>
    </rPh>
    <rPh sb="11" eb="13">
      <t>リカイ</t>
    </rPh>
    <rPh sb="15" eb="17">
      <t>シュウイ</t>
    </rPh>
    <rPh sb="18" eb="20">
      <t>キョウチョウ</t>
    </rPh>
    <rPh sb="21" eb="23">
      <t>キョウリョク</t>
    </rPh>
    <phoneticPr fontId="3"/>
  </si>
  <si>
    <t>①上位者の指導の下、自らの担当業務の計画を策定し、工程管理する
②上位者の指導の下、自らのキャリアプランを策定する</t>
    <phoneticPr fontId="3"/>
  </si>
  <si>
    <t>①上位者の概括的な指示を受け、指示された方法手順、または定められた手続きにもとづいて行う業務を確実に遂行する
②指示された仕事だけでなく、新たな業務を積極的に引き受ける
③新たな知識の習得に向け行動する
④就業規則や諸規則を理解し順守する</t>
    <phoneticPr fontId="3"/>
  </si>
  <si>
    <t>①上位者の指導の下、自らの担当作業の改善に取り組む
②上位者の指導の下、自らのキャリアプランを評価し、改善策を立てる</t>
    <phoneticPr fontId="3"/>
  </si>
  <si>
    <t>営業補助</t>
    <rPh sb="0" eb="2">
      <t>エイギョウ</t>
    </rPh>
    <rPh sb="2" eb="4">
      <t>ホジョ</t>
    </rPh>
    <phoneticPr fontId="7"/>
  </si>
  <si>
    <t>事務補助</t>
    <rPh sb="0" eb="2">
      <t>ジム</t>
    </rPh>
    <rPh sb="2" eb="4">
      <t>ホジョ</t>
    </rPh>
    <phoneticPr fontId="7"/>
  </si>
  <si>
    <t>全　社　資　格　基　準　一　覧　表（開発・評価）　　2/4</t>
    <rPh sb="4" eb="5">
      <t>シ</t>
    </rPh>
    <rPh sb="6" eb="7">
      <t>カク</t>
    </rPh>
    <rPh sb="18" eb="20">
      <t>カイハツ</t>
    </rPh>
    <rPh sb="21" eb="23">
      <t>ヒョウカ</t>
    </rPh>
    <phoneticPr fontId="23"/>
  </si>
  <si>
    <t>期待する業務遂行レベル（あるべき姿・求める業務成果）</t>
    <phoneticPr fontId="1"/>
  </si>
  <si>
    <t>能力要件（行動記述・取得資格・技術等）</t>
    <phoneticPr fontId="23"/>
  </si>
  <si>
    <t>計画(Plan)</t>
    <phoneticPr fontId="1"/>
  </si>
  <si>
    <t>実行(Do)</t>
    <phoneticPr fontId="1"/>
  </si>
  <si>
    <t>評価(Check)/改善(Action)</t>
    <phoneticPr fontId="1"/>
  </si>
  <si>
    <t>知識・技能</t>
    <phoneticPr fontId="1"/>
  </si>
  <si>
    <t>企画力</t>
    <phoneticPr fontId="1"/>
  </si>
  <si>
    <t>決断・判断</t>
    <phoneticPr fontId="1"/>
  </si>
  <si>
    <t>渉外・折衝</t>
    <phoneticPr fontId="1"/>
  </si>
  <si>
    <t>資格・技術</t>
    <rPh sb="0" eb="2">
      <t>シカク</t>
    </rPh>
    <rPh sb="3" eb="5">
      <t>ギジュツ</t>
    </rPh>
    <phoneticPr fontId="1"/>
  </si>
  <si>
    <t>Ｍ２</t>
    <phoneticPr fontId="23"/>
  </si>
  <si>
    <t>課レベル
統率業務</t>
    <rPh sb="0" eb="1">
      <t>カ</t>
    </rPh>
    <phoneticPr fontId="23"/>
  </si>
  <si>
    <t>課戦略の実務展開を指揮、率先垂範と課員の動機づけを行う</t>
    <rPh sb="0" eb="1">
      <t>カ</t>
    </rPh>
    <rPh sb="17" eb="19">
      <t>カイン</t>
    </rPh>
    <rPh sb="25" eb="26">
      <t>オコナ</t>
    </rPh>
    <phoneticPr fontId="23"/>
  </si>
  <si>
    <t xml:space="preserve">課の組織運営に関する高度広範な知識・技能を持つ
</t>
    <phoneticPr fontId="1"/>
  </si>
  <si>
    <t xml:space="preserve">部の方針に基づく課レベルの適切な運営計画の立案ができる
</t>
    <rPh sb="16" eb="18">
      <t>ウンエイ</t>
    </rPh>
    <phoneticPr fontId="1"/>
  </si>
  <si>
    <t xml:space="preserve">不確定かつ複雑な諸問題を分析し、適切な判断を示すことができる
</t>
    <phoneticPr fontId="1"/>
  </si>
  <si>
    <t>困難な状況でも対外交渉を有利に導くことができる
顧客との契約内容を熟知し、自社に有益となる働きかけができる</t>
    <rPh sb="3" eb="5">
      <t>ジョウキョウ</t>
    </rPh>
    <rPh sb="25" eb="27">
      <t>コキャク</t>
    </rPh>
    <rPh sb="29" eb="31">
      <t>ケイヤク</t>
    </rPh>
    <rPh sb="31" eb="33">
      <t>ナイヨウ</t>
    </rPh>
    <rPh sb="34" eb="36">
      <t>ジュクチ</t>
    </rPh>
    <rPh sb="38" eb="40">
      <t>ジシャ</t>
    </rPh>
    <rPh sb="41" eb="43">
      <t>ユウエキ</t>
    </rPh>
    <rPh sb="46" eb="47">
      <t>ハタラ</t>
    </rPh>
    <phoneticPr fontId="1"/>
  </si>
  <si>
    <t>課員の能力、適性を把握し、適切な指導ができる
課のチームワークを高めることができる</t>
    <rPh sb="0" eb="2">
      <t>カイン</t>
    </rPh>
    <phoneticPr fontId="1"/>
  </si>
  <si>
    <t>【推奨資格】
ﾌﾟﾛｼﾞｪｸﾄﾏﾈｰｼﾞｬ(開発)
ｼｽﾃﾑｱｰｷﾃｸﾄ(ｿﾘｭｰｼｮﾝ)
高度情報処理資格
ITSSレベル４以上に該当する資格</t>
    <rPh sb="22" eb="24">
      <t>カイハツ</t>
    </rPh>
    <phoneticPr fontId="1"/>
  </si>
  <si>
    <t>①部の事業計画策定に関与する
②自部門の事業方針を理解し、課の具体的な運営計画（売上･収益・コスト、要員、指導･教育など）を策定する
③内外環境分析（他部門の計画･動向と顧客状況の把握）をする
④課員の役割と業務の設計をする
⑤課員のキャリアプラン作成を指導する</t>
    <rPh sb="10" eb="12">
      <t>カンヨ</t>
    </rPh>
    <rPh sb="31" eb="34">
      <t>グタイテキ</t>
    </rPh>
    <rPh sb="35" eb="37">
      <t>ウンエイ</t>
    </rPh>
    <rPh sb="37" eb="39">
      <t>ケイカク</t>
    </rPh>
    <rPh sb="62" eb="64">
      <t>サクテイ</t>
    </rPh>
    <rPh sb="99" eb="100">
      <t>イン</t>
    </rPh>
    <phoneticPr fontId="1"/>
  </si>
  <si>
    <r>
      <t xml:space="preserve">①収益向上を目指し、事業計画を実行する
②方針・戦略を周知徹底をする
③顧客・関係部署と折衝する
④顧客サービスレベル向上の施策を実行する
</t>
    </r>
    <r>
      <rPr>
        <sz val="9"/>
        <color rgb="FFFF0000"/>
        <rFont val="ＭＳ Ｐゴシック"/>
        <family val="3"/>
        <charset val="128"/>
      </rPr>
      <t xml:space="preserve">⑤課員の適切な要員配置を実行する
⑥課員のキャリアプラン遂行を支援し、次世代の管理職候補を指導・育成する
⑦課員の健康とメンタルを維持する
</t>
    </r>
    <rPh sb="6" eb="8">
      <t>メザ</t>
    </rPh>
    <rPh sb="15" eb="17">
      <t>ジッコウ</t>
    </rPh>
    <rPh sb="71" eb="73">
      <t>カイン</t>
    </rPh>
    <phoneticPr fontId="1"/>
  </si>
  <si>
    <r>
      <t xml:space="preserve">①提案・改善を行い事業計画達成に努める
②適時、上位者と意識合わせを行いながら目標達成に向けた軌道修正を行う
③事業計画と実績の差異分析を行い、次期計画に反映する
④顧客評価を正確に捉え、自社に有利な提案ができるよう調整する
</t>
    </r>
    <r>
      <rPr>
        <sz val="9"/>
        <color rgb="FFFF0000"/>
        <rFont val="ＭＳ Ｐゴシック"/>
        <family val="3"/>
        <charset val="128"/>
      </rPr>
      <t>⑤人事考課・キャリアプランを利用して人材育成状況を評価する</t>
    </r>
    <rPh sb="11" eb="13">
      <t>ケイカク</t>
    </rPh>
    <rPh sb="77" eb="79">
      <t>ハンエイ</t>
    </rPh>
    <rPh sb="114" eb="116">
      <t>ジンジ</t>
    </rPh>
    <rPh sb="116" eb="118">
      <t>コウカ</t>
    </rPh>
    <rPh sb="127" eb="129">
      <t>リヨウ</t>
    </rPh>
    <phoneticPr fontId="1"/>
  </si>
  <si>
    <t>Ｍ</t>
    <phoneticPr fontId="1"/>
  </si>
  <si>
    <t>課　長</t>
    <rPh sb="0" eb="1">
      <t>カ</t>
    </rPh>
    <rPh sb="2" eb="3">
      <t>チョウ</t>
    </rPh>
    <phoneticPr fontId="1"/>
  </si>
  <si>
    <t>Ｍ１</t>
    <phoneticPr fontId="23"/>
  </si>
  <si>
    <t>指揮監督
業務</t>
    <rPh sb="5" eb="7">
      <t>ギョウム</t>
    </rPh>
    <phoneticPr fontId="1"/>
  </si>
  <si>
    <t>次期マネージャー候補として、業務推進と現場指揮を率先して行う</t>
    <rPh sb="8" eb="10">
      <t>コウホ</t>
    </rPh>
    <phoneticPr fontId="1"/>
  </si>
  <si>
    <t>課の組織運営に関する全般的な知識・技能を持つ
プロジェクトマジメントの広範囲な知識を保有している</t>
    <rPh sb="10" eb="13">
      <t>ゼンパンテキ</t>
    </rPh>
    <rPh sb="36" eb="39">
      <t>コウハンイ</t>
    </rPh>
    <phoneticPr fontId="1"/>
  </si>
  <si>
    <t xml:space="preserve">課方針に基づく適切な計画企画を立案できる
</t>
    <phoneticPr fontId="1"/>
  </si>
  <si>
    <t xml:space="preserve">複雑な案件に対しても適切な判断ができる
</t>
    <phoneticPr fontId="1"/>
  </si>
  <si>
    <t>担当プロジェクトの交渉ごとを有利に導くことができる
相手の立場やパワーバランスを考慮できる</t>
    <phoneticPr fontId="1"/>
  </si>
  <si>
    <t xml:space="preserve">プロジェクトメンバのモチベーションを向上し、結束を高めることができる
</t>
    <rPh sb="18" eb="20">
      <t>コウジョウ</t>
    </rPh>
    <rPh sb="22" eb="24">
      <t>ケッソク</t>
    </rPh>
    <rPh sb="25" eb="26">
      <t>タカ</t>
    </rPh>
    <phoneticPr fontId="1"/>
  </si>
  <si>
    <t>【推奨資格】
ﾌﾟﾛｼﾞｪｸﾄﾏﾈｰｼﾞｬ(開発)
ｼｽﾃﾑｱｰｷﾃｸﾄ(ｿﾘｭｰｼｮﾝ)
高度情報処理資格
ITSSレベル４以上に該当する資格</t>
    <phoneticPr fontId="1"/>
  </si>
  <si>
    <t>①課の運営計画策定に関与する
②プロジェクトの計画を策定する
③OJT担当者の支援計画を策定する
④課員の業務課題を具体化し、キャリアプラン作成を支援する</t>
    <rPh sb="1" eb="2">
      <t>カ</t>
    </rPh>
    <rPh sb="3" eb="5">
      <t>ウンエイ</t>
    </rPh>
    <rPh sb="5" eb="7">
      <t>ケイカク</t>
    </rPh>
    <rPh sb="7" eb="9">
      <t>サクテイ</t>
    </rPh>
    <rPh sb="10" eb="12">
      <t>カンヨ</t>
    </rPh>
    <rPh sb="35" eb="38">
      <t>タントウシャ</t>
    </rPh>
    <rPh sb="39" eb="41">
      <t>シエン</t>
    </rPh>
    <rPh sb="41" eb="43">
      <t>ケイカク</t>
    </rPh>
    <rPh sb="44" eb="46">
      <t>サクテイ</t>
    </rPh>
    <rPh sb="73" eb="75">
      <t>シエン</t>
    </rPh>
    <phoneticPr fontId="1"/>
  </si>
  <si>
    <r>
      <t xml:space="preserve">①課の運営業務全般について、マネージャーを補佐し、自部門の発展に寄与する
②ﾌﾟﾛｼﾞｪｸﾄﾏﾈｰｼﾞｬｰとして業務遂行する
③顧客の要求水準を上回るサービスを提供する
</t>
    </r>
    <r>
      <rPr>
        <sz val="9"/>
        <color rgb="FFFF0000"/>
        <rFont val="ＭＳ Ｐゴシック"/>
        <family val="3"/>
        <charset val="128"/>
      </rPr>
      <t>④課員に積極的に業務委譲し、ＡＭの代理が務まる人材を指導・育成する</t>
    </r>
    <r>
      <rPr>
        <sz val="9"/>
        <color rgb="FF0070C0"/>
        <rFont val="ＭＳ Ｐゴシック"/>
        <family val="3"/>
        <charset val="128"/>
      </rPr>
      <t xml:space="preserve">
</t>
    </r>
    <r>
      <rPr>
        <sz val="9"/>
        <rFont val="ＭＳ Ｐゴシック"/>
        <family val="3"/>
        <charset val="128"/>
      </rPr>
      <t>⑤就業規則や諸規則を率先垂範し、下位者に指示する</t>
    </r>
    <rPh sb="56" eb="58">
      <t>ギョウム</t>
    </rPh>
    <rPh sb="58" eb="60">
      <t>スイコウ</t>
    </rPh>
    <rPh sb="64" eb="66">
      <t>コキャク</t>
    </rPh>
    <rPh sb="67" eb="69">
      <t>ヨウキュウ</t>
    </rPh>
    <rPh sb="69" eb="71">
      <t>スイジュン</t>
    </rPh>
    <rPh sb="72" eb="74">
      <t>ウワマワ</t>
    </rPh>
    <rPh sb="80" eb="82">
      <t>テイキョウ</t>
    </rPh>
    <phoneticPr fontId="1"/>
  </si>
  <si>
    <r>
      <t xml:space="preserve">①プロジェクトの計画／実績対比分析を行い、プロジェクトの評価と改善提案する
②プロジェクトの状況変化に合わせ、関係者に報告し、調整する
③顧客サービスレベルを評価し、課題発見をする
</t>
    </r>
    <r>
      <rPr>
        <sz val="9"/>
        <color rgb="FFFF0000"/>
        <rFont val="ＭＳ Ｐゴシック"/>
        <family val="3"/>
        <charset val="128"/>
      </rPr>
      <t>④人事考課・キャリアプランを利用して人材育成状況の一次評価をする</t>
    </r>
    <rPh sb="33" eb="35">
      <t>テイアン</t>
    </rPh>
    <rPh sb="46" eb="48">
      <t>ジョウキョウ</t>
    </rPh>
    <rPh sb="48" eb="50">
      <t>ヘンカ</t>
    </rPh>
    <rPh sb="51" eb="52">
      <t>ア</t>
    </rPh>
    <rPh sb="55" eb="58">
      <t>カンケイシャ</t>
    </rPh>
    <rPh sb="59" eb="61">
      <t>ホウコク</t>
    </rPh>
    <rPh sb="63" eb="65">
      <t>チョウセイ</t>
    </rPh>
    <rPh sb="83" eb="85">
      <t>カダイ</t>
    </rPh>
    <rPh sb="85" eb="87">
      <t>ハッケン</t>
    </rPh>
    <rPh sb="116" eb="118">
      <t>イチジ</t>
    </rPh>
    <phoneticPr fontId="1"/>
  </si>
  <si>
    <t>ＡＭ</t>
    <phoneticPr fontId="23"/>
  </si>
  <si>
    <t>課長代理</t>
    <rPh sb="0" eb="2">
      <t>カチョウ</t>
    </rPh>
    <rPh sb="2" eb="4">
      <t>ダイリ</t>
    </rPh>
    <phoneticPr fontId="23"/>
  </si>
  <si>
    <t>技　　術　　系</t>
    <rPh sb="0" eb="1">
      <t>ワザ</t>
    </rPh>
    <rPh sb="3" eb="4">
      <t>ジュツ</t>
    </rPh>
    <rPh sb="6" eb="7">
      <t>ケイ</t>
    </rPh>
    <phoneticPr fontId="3"/>
  </si>
  <si>
    <t>Ｒ４</t>
    <phoneticPr fontId="23"/>
  </si>
  <si>
    <t>高度伝承
業務</t>
    <rPh sb="0" eb="2">
      <t>コウド</t>
    </rPh>
    <rPh sb="2" eb="4">
      <t>デンショウ</t>
    </rPh>
    <phoneticPr fontId="23"/>
  </si>
  <si>
    <t>高度な専門性を生かし、重要業務を主体的に推進する</t>
    <rPh sb="0" eb="2">
      <t>コウド</t>
    </rPh>
    <rPh sb="3" eb="5">
      <t>センモン</t>
    </rPh>
    <rPh sb="5" eb="6">
      <t>セイ</t>
    </rPh>
    <rPh sb="7" eb="8">
      <t>イ</t>
    </rPh>
    <phoneticPr fontId="1"/>
  </si>
  <si>
    <t>社内的に認められた高い専門知識と技能を確立している
プロジェクトマネジメントの全般的な知識を保有している</t>
    <rPh sb="19" eb="21">
      <t>カクリツ</t>
    </rPh>
    <rPh sb="40" eb="43">
      <t>ゼンパンテキ</t>
    </rPh>
    <phoneticPr fontId="1"/>
  </si>
  <si>
    <t xml:space="preserve">専門分野において社内をリードするプロジェクト、又は現状改革を提案実施できる
</t>
    <rPh sb="23" eb="24">
      <t>マタ</t>
    </rPh>
    <phoneticPr fontId="1"/>
  </si>
  <si>
    <t xml:space="preserve">専門分野から新規性のあるテーマのリスクと可能性を実務的に判断できる
</t>
    <phoneticPr fontId="1"/>
  </si>
  <si>
    <t xml:space="preserve">高度な専門性をベースに顧客折衝を有利にリードできる
</t>
    <phoneticPr fontId="1"/>
  </si>
  <si>
    <t xml:space="preserve">専門分野から社内関係者へのアドバイス、指導ができる
熟練内容を下位者へ伝承できる
</t>
    <phoneticPr fontId="1"/>
  </si>
  <si>
    <t>【推奨資格】
高度情報処理資格
ITSSレベル４以上に該当する資格
業務知識を補完する資格</t>
    <rPh sb="34" eb="36">
      <t>ギョウム</t>
    </rPh>
    <rPh sb="36" eb="38">
      <t>チシキ</t>
    </rPh>
    <rPh sb="39" eb="41">
      <t>ホカン</t>
    </rPh>
    <rPh sb="43" eb="45">
      <t>シカク</t>
    </rPh>
    <phoneticPr fontId="1"/>
  </si>
  <si>
    <t>①専門性を生かして、プロジェクトの運営計画全般に関与する
②専門分野における現状の課題を把握し、有効な解決策を立案する</t>
    <rPh sb="1" eb="3">
      <t>センモン</t>
    </rPh>
    <rPh sb="3" eb="4">
      <t>セイ</t>
    </rPh>
    <rPh sb="5" eb="6">
      <t>イ</t>
    </rPh>
    <rPh sb="24" eb="26">
      <t>カンヨ</t>
    </rPh>
    <phoneticPr fontId="1"/>
  </si>
  <si>
    <t>①リーダーとして、各フェーズの成果物に責任を持ち、プロジェクトを成功裡に完遂する
②上位者の指導の下でプロジェクトマネジメントを実践する。もしくは高度な専門技術メンバとしてプロジェクトに参画する
③熟練分野について有する高度な専門性を活かして後進を指導する</t>
    <rPh sb="36" eb="38">
      <t>カンスイ</t>
    </rPh>
    <rPh sb="73" eb="75">
      <t>コウド</t>
    </rPh>
    <rPh sb="76" eb="78">
      <t>センモン</t>
    </rPh>
    <rPh sb="78" eb="80">
      <t>ギジュツ</t>
    </rPh>
    <rPh sb="93" eb="95">
      <t>サンカク</t>
    </rPh>
    <rPh sb="99" eb="101">
      <t>ジュクレン</t>
    </rPh>
    <rPh sb="101" eb="103">
      <t>ブンヤ</t>
    </rPh>
    <rPh sb="107" eb="108">
      <t>ユウ</t>
    </rPh>
    <rPh sb="110" eb="112">
      <t>コウド</t>
    </rPh>
    <rPh sb="113" eb="115">
      <t>センモン</t>
    </rPh>
    <rPh sb="115" eb="116">
      <t>セイ</t>
    </rPh>
    <rPh sb="117" eb="118">
      <t>イ</t>
    </rPh>
    <rPh sb="121" eb="123">
      <t>コウシン</t>
    </rPh>
    <rPh sb="124" eb="126">
      <t>シドウ</t>
    </rPh>
    <phoneticPr fontId="1"/>
  </si>
  <si>
    <t>①専門性を生かして、プロジェクトの評価に関与し、改善提案する
②将来発生しうる問題予測を行い、業務改革を進める
③高度な専門知識を、ノウハウとして社内にフィードバックする
④顧客のニーズを理解し、付加価値ある提案をする</t>
    <rPh sb="1" eb="4">
      <t>センモンセイ</t>
    </rPh>
    <rPh sb="5" eb="6">
      <t>イ</t>
    </rPh>
    <rPh sb="20" eb="22">
      <t>カンヨ</t>
    </rPh>
    <rPh sb="26" eb="28">
      <t>テイアン</t>
    </rPh>
    <rPh sb="32" eb="34">
      <t>ショウライ</t>
    </rPh>
    <rPh sb="34" eb="36">
      <t>ハッセイ</t>
    </rPh>
    <rPh sb="39" eb="41">
      <t>モンダイ</t>
    </rPh>
    <rPh sb="41" eb="43">
      <t>ヨソク</t>
    </rPh>
    <rPh sb="44" eb="45">
      <t>オコナ</t>
    </rPh>
    <rPh sb="47" eb="49">
      <t>ギョウム</t>
    </rPh>
    <rPh sb="49" eb="51">
      <t>カイカク</t>
    </rPh>
    <rPh sb="52" eb="53">
      <t>スス</t>
    </rPh>
    <rPh sb="57" eb="59">
      <t>コウド</t>
    </rPh>
    <rPh sb="60" eb="62">
      <t>センモン</t>
    </rPh>
    <rPh sb="62" eb="64">
      <t>チシキ</t>
    </rPh>
    <rPh sb="73" eb="75">
      <t>シャナイ</t>
    </rPh>
    <phoneticPr fontId="1"/>
  </si>
  <si>
    <t>上級ＳＥ</t>
    <phoneticPr fontId="1"/>
  </si>
  <si>
    <t>上級技師</t>
    <rPh sb="0" eb="2">
      <t>ジョウキュウ</t>
    </rPh>
    <rPh sb="2" eb="4">
      <t>ギシ</t>
    </rPh>
    <phoneticPr fontId="1"/>
  </si>
  <si>
    <t>Ｒ３</t>
    <phoneticPr fontId="23"/>
  </si>
  <si>
    <t>高度熟練
業務</t>
    <rPh sb="0" eb="2">
      <t>コウド</t>
    </rPh>
    <rPh sb="2" eb="4">
      <t>ジュクレン</t>
    </rPh>
    <rPh sb="5" eb="7">
      <t>ギョウム</t>
    </rPh>
    <phoneticPr fontId="1"/>
  </si>
  <si>
    <t>リーダーシップを発揮してチームの円滑な運営に寄与し、業務推進の責務を担う</t>
    <rPh sb="8" eb="10">
      <t>ハッキ</t>
    </rPh>
    <rPh sb="16" eb="18">
      <t>エンカツ</t>
    </rPh>
    <rPh sb="19" eb="21">
      <t>ウンエイ</t>
    </rPh>
    <rPh sb="22" eb="24">
      <t>キヨ</t>
    </rPh>
    <rPh sb="26" eb="28">
      <t>ギョウム</t>
    </rPh>
    <rPh sb="28" eb="30">
      <t>スイシン</t>
    </rPh>
    <rPh sb="31" eb="33">
      <t>セキム</t>
    </rPh>
    <rPh sb="34" eb="35">
      <t>ニナ</t>
    </rPh>
    <phoneticPr fontId="1"/>
  </si>
  <si>
    <t>複雑又は難易度の高い業務を独力で遂行するために必要な実務知識・技能を持つ
あるいは容易に代替できない知識・技能を持つ</t>
    <rPh sb="0" eb="2">
      <t>フクザツ</t>
    </rPh>
    <rPh sb="2" eb="3">
      <t>マタ</t>
    </rPh>
    <rPh sb="4" eb="7">
      <t>ナンイド</t>
    </rPh>
    <rPh sb="8" eb="9">
      <t>タカ</t>
    </rPh>
    <rPh sb="10" eb="12">
      <t>ギョウム</t>
    </rPh>
    <rPh sb="42" eb="44">
      <t>ヨウイ</t>
    </rPh>
    <rPh sb="45" eb="47">
      <t>ダイタイ</t>
    </rPh>
    <rPh sb="51" eb="53">
      <t>チシキ</t>
    </rPh>
    <rPh sb="54" eb="56">
      <t>ギノウ</t>
    </rPh>
    <rPh sb="57" eb="58">
      <t>モ</t>
    </rPh>
    <phoneticPr fontId="1"/>
  </si>
  <si>
    <t xml:space="preserve">組織に貢献できる分野・テーマを自ら設定できる
熟練した技術・知識の標準化・ノウハウ化、現状改善を主体的に企画、実施できる
</t>
    <rPh sb="0" eb="2">
      <t>ソシキ</t>
    </rPh>
    <rPh sb="8" eb="10">
      <t>ブンヤ</t>
    </rPh>
    <rPh sb="28" eb="30">
      <t>ギジュツ</t>
    </rPh>
    <rPh sb="31" eb="33">
      <t>チシキ</t>
    </rPh>
    <rPh sb="42" eb="43">
      <t>カ</t>
    </rPh>
    <phoneticPr fontId="1"/>
  </si>
  <si>
    <t xml:space="preserve">当該分野の熟練者として、問題解決に向けて適切に判断、対処できる
</t>
    <phoneticPr fontId="1"/>
  </si>
  <si>
    <t xml:space="preserve">当該分野の熟練者として、内外関係者と適切な折衝が独力でできる
顧客・関係者にとって、価値ある対応をする
</t>
    <rPh sb="24" eb="26">
      <t>ドクリョク</t>
    </rPh>
    <rPh sb="32" eb="34">
      <t>コキャク</t>
    </rPh>
    <rPh sb="35" eb="38">
      <t>カンケイシャ</t>
    </rPh>
    <rPh sb="43" eb="45">
      <t>カチ</t>
    </rPh>
    <rPh sb="47" eb="49">
      <t>タイオウ</t>
    </rPh>
    <phoneticPr fontId="1"/>
  </si>
  <si>
    <t xml:space="preserve">熟練分野においては社内へのアドバイス、指導、講師ができる
</t>
    <rPh sb="22" eb="24">
      <t>コウシ</t>
    </rPh>
    <phoneticPr fontId="1"/>
  </si>
  <si>
    <t>【推奨資格】
応用情報技術者
高度情報処理資格
ITSSレベル３以上に該当する資格</t>
    <phoneticPr fontId="1"/>
  </si>
  <si>
    <t>①自らの担当チームの計画を策定する
②関連する業務に求められる専門的知識・スキルの習得に向けた自己啓発を計画的に行う</t>
    <phoneticPr fontId="1"/>
  </si>
  <si>
    <t>①プロジェクトマネジメントの基礎知識を保有し、リーダーとして業務遂行する
②関係者と調整・折衝し、円滑な業務推進に寄与する
③上位者の補助的役割を果たす
④協業他社要員の管理・指導をする
⑤自らが範となり下位者に指導・教育する</t>
    <rPh sb="14" eb="16">
      <t>キソ</t>
    </rPh>
    <rPh sb="30" eb="32">
      <t>ギョウム</t>
    </rPh>
    <rPh sb="32" eb="34">
      <t>スイコウ</t>
    </rPh>
    <rPh sb="80" eb="82">
      <t>タシャ</t>
    </rPh>
    <rPh sb="82" eb="84">
      <t>ヨウイン</t>
    </rPh>
    <rPh sb="85" eb="87">
      <t>カンリ</t>
    </rPh>
    <rPh sb="88" eb="90">
      <t>シドウ</t>
    </rPh>
    <phoneticPr fontId="1"/>
  </si>
  <si>
    <t>①自ら進んで自部門の改善活動に積極的に取り組む
②業務を標準化し、ノウハウは共有化する
③顧客のニーズを理解し、上位者の指導の下、提案を行う</t>
    <rPh sb="12" eb="14">
      <t>カツドウ</t>
    </rPh>
    <phoneticPr fontId="1"/>
  </si>
  <si>
    <t>中級ＳＥ</t>
    <phoneticPr fontId="1"/>
  </si>
  <si>
    <t>中級技師</t>
    <rPh sb="0" eb="2">
      <t>チュウキュウ</t>
    </rPh>
    <rPh sb="2" eb="4">
      <t>ギシ</t>
    </rPh>
    <phoneticPr fontId="1"/>
  </si>
  <si>
    <t>Ｒ２</t>
    <phoneticPr fontId="23"/>
  </si>
  <si>
    <t>多能熟練
業務</t>
    <rPh sb="0" eb="2">
      <t>タノウ</t>
    </rPh>
    <rPh sb="2" eb="4">
      <t>ジュクレン</t>
    </rPh>
    <rPh sb="5" eb="7">
      <t>ギョウム</t>
    </rPh>
    <phoneticPr fontId="1"/>
  </si>
  <si>
    <t>メンバとして自発的に業務を遂行し、下位者のモデルとなる</t>
    <rPh sb="6" eb="8">
      <t>ジハツ</t>
    </rPh>
    <rPh sb="8" eb="9">
      <t>テキ</t>
    </rPh>
    <rPh sb="10" eb="12">
      <t>ギョウム</t>
    </rPh>
    <rPh sb="13" eb="15">
      <t>スイコウ</t>
    </rPh>
    <phoneticPr fontId="1"/>
  </si>
  <si>
    <t>担当業務を独力で遂行するために必要な実務知識・技能を持つ</t>
    <phoneticPr fontId="1"/>
  </si>
  <si>
    <t>独力で創意工夫を凝らして担当業務を改善できる</t>
    <rPh sb="12" eb="14">
      <t>タントウ</t>
    </rPh>
    <phoneticPr fontId="1"/>
  </si>
  <si>
    <t>自らの権限内で、イレギュラーな処理、手続きなどを独力で正しく選択、判断できる</t>
    <phoneticPr fontId="1"/>
  </si>
  <si>
    <t>社内関係者との調整ができる
上位者の指導の下で関係先と折衝できる
顧客・関係者の要求や立場を理解し、誠意をもって対応する</t>
    <rPh sb="34" eb="36">
      <t>コキャク</t>
    </rPh>
    <rPh sb="37" eb="40">
      <t>カンケイシャ</t>
    </rPh>
    <rPh sb="41" eb="43">
      <t>ヨウキュウ</t>
    </rPh>
    <rPh sb="44" eb="46">
      <t>タチバ</t>
    </rPh>
    <rPh sb="47" eb="49">
      <t>リカイ</t>
    </rPh>
    <rPh sb="51" eb="53">
      <t>セイイ</t>
    </rPh>
    <rPh sb="57" eb="59">
      <t>タイオウ</t>
    </rPh>
    <phoneticPr fontId="1"/>
  </si>
  <si>
    <t>自発的に周囲と協調・協力しながら、業務を進める
下位者の指導に積極的に参画することができる</t>
    <phoneticPr fontId="1"/>
  </si>
  <si>
    <t>【推奨資格】
応用情報技術者
ITSSレベル２以上に該当する資格
【R3昇級必要条件】
基本情報技術者</t>
    <rPh sb="40" eb="41">
      <t>キュウ</t>
    </rPh>
    <phoneticPr fontId="1"/>
  </si>
  <si>
    <t>①プロジェクトの計画を把握し、自らの担当業務の計画を策定する
②下位者の指導計画を策定する
③自らのキャリアプランを策定し、目標達成までのプロセスを具体化する</t>
    <phoneticPr fontId="1"/>
  </si>
  <si>
    <t>①担当業務に関し専門知識を保有し、プロジェクトメンバとして独力で業務遂行する
②協業他社要員とも円滑に業務を遂行できるよう積極的にｺﾐｭﾆｹｰｼｮﾝをとる
③上位者の指導を受けながら、下位者の指導・育成を遂行する
④担当できる業務分野の拡大に向けて、新たな知識・技術の習得に向け行動する</t>
    <rPh sb="1" eb="3">
      <t>タントウ</t>
    </rPh>
    <rPh sb="6" eb="7">
      <t>カン</t>
    </rPh>
    <rPh sb="10" eb="12">
      <t>チシキ</t>
    </rPh>
    <rPh sb="102" eb="104">
      <t>スイコウ</t>
    </rPh>
    <phoneticPr fontId="1"/>
  </si>
  <si>
    <t>①日常的に担当業務の課題を発見し、上位者の要点的な指導の下、業務改善する
②上位者の指導を受けながら、下位者の育成計画を改善する
③自らのキャリアプランを評価し、具体的な改善策を立てる</t>
    <rPh sb="1" eb="3">
      <t>ニチジョウ</t>
    </rPh>
    <rPh sb="3" eb="4">
      <t>テキ</t>
    </rPh>
    <rPh sb="5" eb="7">
      <t>タントウ</t>
    </rPh>
    <rPh sb="10" eb="12">
      <t>カダイ</t>
    </rPh>
    <rPh sb="13" eb="15">
      <t>ハッケン</t>
    </rPh>
    <rPh sb="30" eb="32">
      <t>ギョウム</t>
    </rPh>
    <rPh sb="32" eb="34">
      <t>カイゼン</t>
    </rPh>
    <phoneticPr fontId="1"/>
  </si>
  <si>
    <t>初級ＳＥ</t>
    <phoneticPr fontId="1"/>
  </si>
  <si>
    <t>初級技師</t>
    <rPh sb="0" eb="2">
      <t>ショキュウ</t>
    </rPh>
    <rPh sb="2" eb="4">
      <t>ギシ</t>
    </rPh>
    <phoneticPr fontId="1"/>
  </si>
  <si>
    <t>Ｒ１</t>
    <phoneticPr fontId="23"/>
  </si>
  <si>
    <t>定型業務</t>
    <rPh sb="0" eb="2">
      <t>テイケイ</t>
    </rPh>
    <rPh sb="2" eb="4">
      <t>ギョウム</t>
    </rPh>
    <phoneticPr fontId="1"/>
  </si>
  <si>
    <t>指示された業務を確実に遂行し、対応できる業務範囲を拡大する</t>
    <phoneticPr fontId="1"/>
  </si>
  <si>
    <t>担当業務を遂行するために必要な実務知識・技能を持つ</t>
    <phoneticPr fontId="1"/>
  </si>
  <si>
    <t>ある程度定型的な日常業務において創意工夫ができる</t>
    <phoneticPr fontId="1"/>
  </si>
  <si>
    <t>上司の指示をポイントを外さず正確に理解できる</t>
    <phoneticPr fontId="1"/>
  </si>
  <si>
    <t>上位者に的確に報告、連絡、相談ができる
顧客・関係者に誠意をもって対応する</t>
    <rPh sb="21" eb="23">
      <t>コキャク</t>
    </rPh>
    <rPh sb="24" eb="27">
      <t>カンケイシャ</t>
    </rPh>
    <rPh sb="28" eb="30">
      <t>セイイ</t>
    </rPh>
    <rPh sb="34" eb="36">
      <t>タイオウ</t>
    </rPh>
    <phoneticPr fontId="1"/>
  </si>
  <si>
    <t>上位者の指導を積極的に理解し、周囲と協調・協力する</t>
    <rPh sb="0" eb="3">
      <t>ジョウイシャ</t>
    </rPh>
    <rPh sb="4" eb="6">
      <t>シドウ</t>
    </rPh>
    <rPh sb="7" eb="10">
      <t>セッキョクテキ</t>
    </rPh>
    <rPh sb="11" eb="13">
      <t>リカイ</t>
    </rPh>
    <rPh sb="15" eb="17">
      <t>シュウイ</t>
    </rPh>
    <rPh sb="18" eb="20">
      <t>キョウチョウ</t>
    </rPh>
    <rPh sb="21" eb="23">
      <t>キョウリョク</t>
    </rPh>
    <phoneticPr fontId="1"/>
  </si>
  <si>
    <t>【推奨資格】
基本情報技術者</t>
    <phoneticPr fontId="1"/>
  </si>
  <si>
    <t>①上位者の指導の下、自らの担当業務の計画を策定し、工程管理する
②上位者の指導の下、自らのキャリアプランを策定する</t>
    <phoneticPr fontId="1"/>
  </si>
  <si>
    <t>①上位者の指示の下、あるいは既存の作業標準に従い、要求された業務を確実に実施する
②指示されたことだけでなく、新たな業務を積極的に引き受ける
③新たな知識・技術の習得に向け行動する
④就業規則や諸規則を理解し順守する</t>
    <rPh sb="92" eb="94">
      <t>シュウギョウ</t>
    </rPh>
    <rPh sb="94" eb="96">
      <t>キソク</t>
    </rPh>
    <rPh sb="97" eb="98">
      <t>ショ</t>
    </rPh>
    <rPh sb="98" eb="100">
      <t>キソク</t>
    </rPh>
    <rPh sb="101" eb="103">
      <t>リカイ</t>
    </rPh>
    <rPh sb="104" eb="106">
      <t>ジュンシュ</t>
    </rPh>
    <phoneticPr fontId="1"/>
  </si>
  <si>
    <t>①上位者の指導の下、自らの担当作業の改善に取り組む
②上位者の指導の下、自らのキャリアプランを評価し、改善策を立てる</t>
    <phoneticPr fontId="1"/>
  </si>
  <si>
    <t>ＰＧ</t>
    <phoneticPr fontId="1"/>
  </si>
  <si>
    <t>担当技師</t>
    <phoneticPr fontId="1"/>
  </si>
  <si>
    <t>Ｔ</t>
    <phoneticPr fontId="23"/>
  </si>
  <si>
    <t>ﾄﾚｰﾆﾝｸﾞ</t>
    <phoneticPr fontId="1"/>
  </si>
  <si>
    <t>補助業務</t>
    <rPh sb="0" eb="2">
      <t>ホジョ</t>
    </rPh>
    <rPh sb="2" eb="4">
      <t>ギョウム</t>
    </rPh>
    <phoneticPr fontId="1"/>
  </si>
  <si>
    <t>指示された業務を理解し、正確に対応できる</t>
    <rPh sb="8" eb="10">
      <t>リカイ</t>
    </rPh>
    <rPh sb="12" eb="14">
      <t>セイカク</t>
    </rPh>
    <rPh sb="15" eb="17">
      <t>タイオウ</t>
    </rPh>
    <phoneticPr fontId="1"/>
  </si>
  <si>
    <t>知識・技能を身につける手段や方法を知り、自学自習の習慣をもつ
仕事を効率的に進める方法を知る</t>
    <rPh sb="6" eb="7">
      <t>ミ</t>
    </rPh>
    <rPh sb="11" eb="13">
      <t>シュダン</t>
    </rPh>
    <rPh sb="14" eb="16">
      <t>ホウホウ</t>
    </rPh>
    <rPh sb="17" eb="18">
      <t>シ</t>
    </rPh>
    <rPh sb="20" eb="22">
      <t>ジガク</t>
    </rPh>
    <rPh sb="22" eb="24">
      <t>ジシュウ</t>
    </rPh>
    <rPh sb="25" eb="27">
      <t>シュウカン</t>
    </rPh>
    <rPh sb="32" eb="34">
      <t>シゴト</t>
    </rPh>
    <rPh sb="35" eb="38">
      <t>コウリツテキ</t>
    </rPh>
    <rPh sb="39" eb="40">
      <t>スス</t>
    </rPh>
    <rPh sb="42" eb="44">
      <t>ホウホウ</t>
    </rPh>
    <rPh sb="45" eb="46">
      <t>シ</t>
    </rPh>
    <phoneticPr fontId="1"/>
  </si>
  <si>
    <t>経験から学んだことを整理して次への改善につなげる</t>
    <rPh sb="0" eb="2">
      <t>ケイケン</t>
    </rPh>
    <rPh sb="4" eb="5">
      <t>マナ</t>
    </rPh>
    <rPh sb="10" eb="12">
      <t>セイリ</t>
    </rPh>
    <rPh sb="14" eb="15">
      <t>ツギ</t>
    </rPh>
    <rPh sb="17" eb="19">
      <t>カイゼン</t>
    </rPh>
    <phoneticPr fontId="1"/>
  </si>
  <si>
    <t>理解できること・できないことの区別がつき、理解できないことを放置しない</t>
    <rPh sb="0" eb="2">
      <t>リカイ</t>
    </rPh>
    <rPh sb="15" eb="17">
      <t>クベツ</t>
    </rPh>
    <rPh sb="21" eb="23">
      <t>リカイ</t>
    </rPh>
    <rPh sb="30" eb="32">
      <t>ホウチ</t>
    </rPh>
    <phoneticPr fontId="1"/>
  </si>
  <si>
    <t xml:space="preserve">報告、連絡、相談の基本的なルールを理解している
</t>
    <rPh sb="9" eb="12">
      <t>キホンテキ</t>
    </rPh>
    <rPh sb="17" eb="19">
      <t>リカイ</t>
    </rPh>
    <phoneticPr fontId="1"/>
  </si>
  <si>
    <t>ビジネスマナーを身につける
上位者の指導を理解し、素直に受け止める</t>
    <rPh sb="8" eb="9">
      <t>ミ</t>
    </rPh>
    <rPh sb="15" eb="18">
      <t>ジョウイシャ</t>
    </rPh>
    <rPh sb="19" eb="21">
      <t>シドウ</t>
    </rPh>
    <rPh sb="22" eb="24">
      <t>リカイ</t>
    </rPh>
    <rPh sb="26" eb="28">
      <t>スナオ</t>
    </rPh>
    <rPh sb="29" eb="30">
      <t>ウ</t>
    </rPh>
    <rPh sb="31" eb="32">
      <t>ト</t>
    </rPh>
    <phoneticPr fontId="1"/>
  </si>
  <si>
    <t xml:space="preserve">①上位者が示す工程を理解し、自らの担当業務の優先順位付けをする
</t>
    <rPh sb="5" eb="6">
      <t>シメ</t>
    </rPh>
    <rPh sb="7" eb="9">
      <t>コウテイ</t>
    </rPh>
    <rPh sb="10" eb="12">
      <t>リカイ</t>
    </rPh>
    <rPh sb="22" eb="26">
      <t>ユウセンジュンイ</t>
    </rPh>
    <rPh sb="26" eb="27">
      <t>ヅ</t>
    </rPh>
    <phoneticPr fontId="1"/>
  </si>
  <si>
    <t>①上位者の指示、あるいは既存の作業標準を理解し、上位者のサポートを受けながら業務を実施する
②周囲が気持ちよく働けるよう気配りする
③社内でも後工程は顧客と考え、品質・納期を意識した仕事をする
④担当業務に必要な知識・技術の習得に向け行動する
⑤会社の組織・制度を理解する</t>
    <rPh sb="20" eb="22">
      <t>リカイ</t>
    </rPh>
    <rPh sb="24" eb="27">
      <t>ジョウイシャ</t>
    </rPh>
    <rPh sb="33" eb="34">
      <t>ウ</t>
    </rPh>
    <rPh sb="47" eb="49">
      <t>シュウイ</t>
    </rPh>
    <rPh sb="50" eb="52">
      <t>キモ</t>
    </rPh>
    <rPh sb="55" eb="56">
      <t>ハタラ</t>
    </rPh>
    <rPh sb="60" eb="62">
      <t>キクバ</t>
    </rPh>
    <rPh sb="67" eb="69">
      <t>シャナイ</t>
    </rPh>
    <rPh sb="71" eb="72">
      <t>アト</t>
    </rPh>
    <rPh sb="72" eb="74">
      <t>コウテイ</t>
    </rPh>
    <rPh sb="75" eb="77">
      <t>コキャク</t>
    </rPh>
    <rPh sb="78" eb="79">
      <t>カンガ</t>
    </rPh>
    <rPh sb="81" eb="83">
      <t>ヒンシツ</t>
    </rPh>
    <rPh sb="84" eb="86">
      <t>ノウキ</t>
    </rPh>
    <rPh sb="87" eb="89">
      <t>イシキ</t>
    </rPh>
    <rPh sb="91" eb="93">
      <t>シゴト</t>
    </rPh>
    <rPh sb="98" eb="100">
      <t>タントウ</t>
    </rPh>
    <rPh sb="100" eb="102">
      <t>ギョウム</t>
    </rPh>
    <rPh sb="103" eb="105">
      <t>ヒツヨウ</t>
    </rPh>
    <rPh sb="123" eb="125">
      <t>カイシャ</t>
    </rPh>
    <rPh sb="126" eb="128">
      <t>ソシキ</t>
    </rPh>
    <rPh sb="129" eb="131">
      <t>セイド</t>
    </rPh>
    <rPh sb="132" eb="134">
      <t>リカイ</t>
    </rPh>
    <phoneticPr fontId="1"/>
  </si>
  <si>
    <t>①自らの担当業務の進捗管理を行い、次への改善点を見つける
②報・連・相のルールを守り、適切に実施する</t>
    <rPh sb="17" eb="18">
      <t>ツギ</t>
    </rPh>
    <rPh sb="20" eb="23">
      <t>カイゼンテン</t>
    </rPh>
    <rPh sb="24" eb="25">
      <t>ミ</t>
    </rPh>
    <rPh sb="30" eb="35">
      <t>ホウレンソウ</t>
    </rPh>
    <rPh sb="40" eb="41">
      <t>マモ</t>
    </rPh>
    <rPh sb="43" eb="45">
      <t>テキセツ</t>
    </rPh>
    <rPh sb="46" eb="48">
      <t>ジッシ</t>
    </rPh>
    <phoneticPr fontId="1"/>
  </si>
  <si>
    <t>全　社　資　格　基　準　一　覧　表　（スペシャリスト）　　3/4</t>
    <rPh sb="4" eb="5">
      <t>シ</t>
    </rPh>
    <rPh sb="6" eb="7">
      <t>カク</t>
    </rPh>
    <phoneticPr fontId="7"/>
  </si>
  <si>
    <t>指導・育成・統率力</t>
    <phoneticPr fontId="3"/>
  </si>
  <si>
    <t>専門職＆経営職</t>
    <rPh sb="0" eb="2">
      <t>センモン</t>
    </rPh>
    <rPh sb="2" eb="3">
      <t>ショク</t>
    </rPh>
    <rPh sb="4" eb="5">
      <t>ヘ</t>
    </rPh>
    <rPh sb="5" eb="6">
      <t>エイ</t>
    </rPh>
    <rPh sb="6" eb="7">
      <t>ショク</t>
    </rPh>
    <phoneticPr fontId="3"/>
  </si>
  <si>
    <t>Ｓ４</t>
  </si>
  <si>
    <t>上席
スペシャリスト</t>
    <phoneticPr fontId="7"/>
  </si>
  <si>
    <t>高度専門
業務</t>
  </si>
  <si>
    <t>先進的なサービスの開拓や市場化をリードできる</t>
    <phoneticPr fontId="7"/>
  </si>
  <si>
    <t>スペシャリストとしてスキルの専門分野が確立し、社内外において、テクノロジやメソドロジ、ビジネスを創造し、リードできる。市場全体から見ても、先進的なサービスの開拓や市場化をリードした経験と実績を有している</t>
    <phoneticPr fontId="7"/>
  </si>
  <si>
    <t xml:space="preserve">専門分野において業界をリードする斬新な開発、先進的なサービスを提案実施できる
</t>
    <rPh sb="22" eb="24">
      <t>センシン</t>
    </rPh>
    <rPh sb="24" eb="25">
      <t>テキ</t>
    </rPh>
    <phoneticPr fontId="3"/>
  </si>
  <si>
    <t xml:space="preserve">専門分野から経営上重要な課題の解決方向を的確に示すことができる
</t>
    <rPh sb="12" eb="14">
      <t>カダイ</t>
    </rPh>
    <phoneticPr fontId="3"/>
  </si>
  <si>
    <t xml:space="preserve">高度な専門性をベースに経営上重要な施策について対外折衝し、会社方針に沿って解決できる
</t>
    <rPh sb="17" eb="19">
      <t>シサク</t>
    </rPh>
    <rPh sb="23" eb="25">
      <t>タイガイ</t>
    </rPh>
    <rPh sb="25" eb="27">
      <t>セッショウ</t>
    </rPh>
    <phoneticPr fontId="3"/>
  </si>
  <si>
    <t xml:space="preserve">専門分野から会社全体を目標に向かって結束できる
</t>
    <rPh sb="6" eb="8">
      <t>カイシャ</t>
    </rPh>
    <rPh sb="8" eb="10">
      <t>ゼンタイ</t>
    </rPh>
    <phoneticPr fontId="3"/>
  </si>
  <si>
    <t>【推奨資格】
ITストラテジスト
公認会計士
中小企業診断士
税理士
ITコーディネーター</t>
  </si>
  <si>
    <t>①システム開発業界の将来を見据えた中長期戦略を立案する
②新たなＩＴ技術ビジョンを創造する
③技術面から協力会社との良好な関係を確立する
④戦略推進のための特命プロジェクトを参集する</t>
    <rPh sb="5" eb="7">
      <t>カイハツ</t>
    </rPh>
    <rPh sb="7" eb="9">
      <t>ギョウカイ</t>
    </rPh>
    <rPh sb="10" eb="12">
      <t>ショウライ</t>
    </rPh>
    <rPh sb="13" eb="15">
      <t>ミス</t>
    </rPh>
    <rPh sb="17" eb="20">
      <t>チュウチョウキ</t>
    </rPh>
    <rPh sb="20" eb="22">
      <t>センリャク</t>
    </rPh>
    <rPh sb="23" eb="25">
      <t>リツアン</t>
    </rPh>
    <rPh sb="34" eb="36">
      <t>ギジュツ</t>
    </rPh>
    <rPh sb="47" eb="50">
      <t>ギジュツメン</t>
    </rPh>
    <rPh sb="52" eb="54">
      <t>キョウリョク</t>
    </rPh>
    <rPh sb="54" eb="56">
      <t>カイシャ</t>
    </rPh>
    <rPh sb="58" eb="60">
      <t>リョウコウ</t>
    </rPh>
    <rPh sb="61" eb="63">
      <t>カンケイ</t>
    </rPh>
    <rPh sb="64" eb="66">
      <t>カクリツ</t>
    </rPh>
    <rPh sb="87" eb="89">
      <t>サンシュウ</t>
    </rPh>
    <phoneticPr fontId="3"/>
  </si>
  <si>
    <t>①特命プロジェクトを主体的に推進する
②外部ネットワークを活用する
③リスクを引受ける
④重要事項のGo and Stopを判断する</t>
    <rPh sb="45" eb="47">
      <t>ジュウヨウ</t>
    </rPh>
    <rPh sb="47" eb="49">
      <t>ジコウ</t>
    </rPh>
    <phoneticPr fontId="3"/>
  </si>
  <si>
    <t>①事業計画／実績対比分析を行い、課題の原因追求と対策立案をする
②投資経済性の評価を行う
③事業継続、軌道修正の判断をする</t>
    <rPh sb="42" eb="43">
      <t>オコナ</t>
    </rPh>
    <phoneticPr fontId="3"/>
  </si>
  <si>
    <t>専　　　門　　　職</t>
    <phoneticPr fontId="7"/>
  </si>
  <si>
    <t>シニア
スペシャリスト</t>
    <phoneticPr fontId="7"/>
  </si>
  <si>
    <t>社会的に認められる当該分野の専門家</t>
    <phoneticPr fontId="7"/>
  </si>
  <si>
    <t>スペシャリストとしてスキルの専門分野が確立し、社内外において、テクノロジやメソドロジ、ビジネスを創造し、リードできる。社内だけでなく市場においても、スペシャリストとして経験と実績を有している</t>
    <phoneticPr fontId="7"/>
  </si>
  <si>
    <t xml:space="preserve">専門分野において業界をリードする斬新な開発、現状改革を提案実施できる
</t>
    <phoneticPr fontId="7"/>
  </si>
  <si>
    <t xml:space="preserve">専門分野から新規性の高いテーマのリスクと可能性を的確に判断できる
</t>
    <phoneticPr fontId="7"/>
  </si>
  <si>
    <t xml:space="preserve">高度な専門性をベースに広範な対外折衝を有利にリードできる
</t>
    <rPh sb="19" eb="21">
      <t>ユウリ</t>
    </rPh>
    <phoneticPr fontId="3"/>
  </si>
  <si>
    <r>
      <rPr>
        <b/>
        <sz val="9"/>
        <color rgb="FFFF0000"/>
        <rFont val="ＭＳ Ｐゴシック"/>
        <family val="3"/>
        <charset val="128"/>
      </rPr>
      <t>プロジェクト成功のために必要なスキルをメンバに指導する</t>
    </r>
    <r>
      <rPr>
        <sz val="9"/>
        <rFont val="ＭＳ Ｐゴシック"/>
        <family val="3"/>
        <charset val="128"/>
      </rPr>
      <t xml:space="preserve">
専門分野から内外関係者へのアドバイス、指導ができる
専門ノウハウの社内移転ができる</t>
    </r>
    <rPh sb="12" eb="14">
      <t>ヒツヨウ</t>
    </rPh>
    <rPh sb="23" eb="25">
      <t>シドウ</t>
    </rPh>
    <phoneticPr fontId="7"/>
  </si>
  <si>
    <t>①専門分野から新規事業、商品開発企画に参画する
②専門分野からビジネスチャンスを部門長、経営陣へ献策する
③IT技術変革を社内に浸透させる
④内外の広範な情報収集をする</t>
    <rPh sb="56" eb="58">
      <t>ギジュツ</t>
    </rPh>
    <rPh sb="58" eb="60">
      <t>ヘンカク</t>
    </rPh>
    <rPh sb="61" eb="63">
      <t>シャナイ</t>
    </rPh>
    <rPh sb="64" eb="66">
      <t>シントウ</t>
    </rPh>
    <rPh sb="71" eb="73">
      <t>ナイガイ</t>
    </rPh>
    <rPh sb="74" eb="76">
      <t>コウハン</t>
    </rPh>
    <rPh sb="77" eb="79">
      <t>ジョウホウ</t>
    </rPh>
    <rPh sb="79" eb="81">
      <t>シュウシュウ</t>
    </rPh>
    <phoneticPr fontId="3"/>
  </si>
  <si>
    <t>①全社横断プロジェクトに参画する
②的確な判断と対処、指示をする
③幹部に対する指導育成をする
④重要事項のトップ報告、献策をする</t>
    <rPh sb="1" eb="3">
      <t>ゼンシャ</t>
    </rPh>
    <rPh sb="3" eb="5">
      <t>オウダン</t>
    </rPh>
    <rPh sb="12" eb="14">
      <t>サンカク</t>
    </rPh>
    <phoneticPr fontId="3"/>
  </si>
  <si>
    <t xml:space="preserve">①専門分野から社内外の関連テーマを評価・分析し、経営陣へのレポートを献策する
</t>
    <phoneticPr fontId="3"/>
  </si>
  <si>
    <t>Ｓ２</t>
  </si>
  <si>
    <t>専門業務</t>
    <rPh sb="0" eb="2">
      <t>センモン</t>
    </rPh>
    <rPh sb="2" eb="4">
      <t>ギョウム</t>
    </rPh>
    <phoneticPr fontId="3"/>
  </si>
  <si>
    <t>社内随一と認められる当該分野の専門家、外部ノウハウの社内移転</t>
    <rPh sb="0" eb="2">
      <t>シャナイ</t>
    </rPh>
    <rPh sb="2" eb="4">
      <t>ズイイチ</t>
    </rPh>
    <rPh sb="5" eb="6">
      <t>ミト</t>
    </rPh>
    <rPh sb="10" eb="12">
      <t>トウガイ</t>
    </rPh>
    <rPh sb="12" eb="14">
      <t>ブンヤ</t>
    </rPh>
    <rPh sb="15" eb="18">
      <t>センモンカ</t>
    </rPh>
    <phoneticPr fontId="7"/>
  </si>
  <si>
    <t>スペシャリストとしてスキルの専門分野が確立し、社内においてテクノロジやメソドロジ、ビジネスを創造し、リードできる。社内において、スペシャリストとして自他共に経験と実績を有している</t>
    <phoneticPr fontId="7"/>
  </si>
  <si>
    <t xml:space="preserve">専門分野において業界をリードする開発、現状改革を提案実施できる
</t>
    <rPh sb="8" eb="10">
      <t>ギョウカイ</t>
    </rPh>
    <phoneticPr fontId="3"/>
  </si>
  <si>
    <t xml:space="preserve">高度な専門性をベースに業界折衝を有利にリードできる
</t>
    <phoneticPr fontId="2"/>
  </si>
  <si>
    <t xml:space="preserve">①専門分野における開発、現状革新に関する企画提案をする(自社で経験のない技術面でリードする）
②専門分野から外部ノウハウを活かした課題解決提案をする
③利益に繋がる技術的対策をとる
</t>
    <rPh sb="76" eb="78">
      <t>リエキ</t>
    </rPh>
    <rPh sb="79" eb="80">
      <t>ツナ</t>
    </rPh>
    <rPh sb="82" eb="84">
      <t>ギジュツ</t>
    </rPh>
    <rPh sb="84" eb="85">
      <t>テキ</t>
    </rPh>
    <rPh sb="85" eb="87">
      <t>タイサク</t>
    </rPh>
    <phoneticPr fontId="3"/>
  </si>
  <si>
    <r>
      <rPr>
        <b/>
        <sz val="9"/>
        <color rgb="FFFF0000"/>
        <rFont val="ＭＳ Ｐゴシック"/>
        <family val="3"/>
        <charset val="128"/>
      </rPr>
      <t>①プロジェクトを成功させることにコミットする</t>
    </r>
    <r>
      <rPr>
        <sz val="9"/>
        <rFont val="ＭＳ Ｐゴシック"/>
        <family val="3"/>
        <charset val="128"/>
      </rPr>
      <t xml:space="preserve">
②前例のない業務、革新的なテーマにも果敢にチャレンジする
③社内の特命テーマ、プロジェクトを推進する
④社外専門家ネットワークを形成する
⑤社外専門ノウハウを社内へ知識伝承するための活動をする</t>
    </r>
    <phoneticPr fontId="7"/>
  </si>
  <si>
    <t>①専門分野から担当テーマの評価を作成し、経営陣へのレポートを献策する</t>
    <phoneticPr fontId="7"/>
  </si>
  <si>
    <t>Ｓ１</t>
  </si>
  <si>
    <t>ジュニア
スペシャリスト</t>
    <phoneticPr fontId="7"/>
  </si>
  <si>
    <t>専門分野を確立し、社内スペシャリストとして存在感を示す</t>
    <rPh sb="0" eb="2">
      <t>センモン</t>
    </rPh>
    <rPh sb="2" eb="4">
      <t>ブンヤ</t>
    </rPh>
    <rPh sb="5" eb="7">
      <t>カクリツ</t>
    </rPh>
    <rPh sb="9" eb="11">
      <t>シャナイ</t>
    </rPh>
    <rPh sb="21" eb="24">
      <t>ソンザイカン</t>
    </rPh>
    <rPh sb="25" eb="26">
      <t>シメ</t>
    </rPh>
    <phoneticPr fontId="3"/>
  </si>
  <si>
    <t>スペシャリストとしてスキルの専門分野が確立し、自らのスキルを活用することによって、独力で業務上の課題の発見と解決をリードできる</t>
    <phoneticPr fontId="7"/>
  </si>
  <si>
    <t xml:space="preserve">専門分野において社内をリードする開発、現状改革を提案実施できる
</t>
  </si>
  <si>
    <t xml:space="preserve">専門分野から新規性のあるテーマのリスクと可能性を実務的に判断できる
</t>
  </si>
  <si>
    <t xml:space="preserve">高度な専門性をベースに顧客折衝を有利にリードできる
</t>
  </si>
  <si>
    <t xml:space="preserve">専門分野から社内関係者へのアドバイス、指導ができる
熟練内容の下位者への伝承ができる
</t>
  </si>
  <si>
    <t>【推奨資格】
高度情報処理資格
ITSSレベル４以上に該当する資格
業務知識を補完する資格</t>
    <rPh sb="34" eb="36">
      <t>ギョウム</t>
    </rPh>
    <rPh sb="36" eb="38">
      <t>チシキ</t>
    </rPh>
    <rPh sb="39" eb="41">
      <t>ホカン</t>
    </rPh>
    <rPh sb="43" eb="45">
      <t>シカク</t>
    </rPh>
    <phoneticPr fontId="3"/>
  </si>
  <si>
    <t>①専門分野から部門長、経営陣への課題解決提案をする
②専門分野における現状の課題を把握し、有効な解決計画を策定する
③技術面で品質確保と効率化を図る</t>
    <rPh sb="59" eb="61">
      <t>ギジュツ</t>
    </rPh>
    <rPh sb="61" eb="62">
      <t>メン</t>
    </rPh>
    <rPh sb="63" eb="65">
      <t>ヒンシツ</t>
    </rPh>
    <rPh sb="65" eb="67">
      <t>カクホ</t>
    </rPh>
    <rPh sb="68" eb="70">
      <t>コウリツ</t>
    </rPh>
    <rPh sb="70" eb="71">
      <t>カ</t>
    </rPh>
    <rPh sb="72" eb="73">
      <t>ハカ</t>
    </rPh>
    <phoneticPr fontId="3"/>
  </si>
  <si>
    <t xml:space="preserve">①高い専門知識を有するメンバーとしてプロジェクトに参画、貢献する
②顧客要望やニーズに沿った機能提案をする
③熟練分野について有する高度な専門性を活かして後進を指導する
</t>
    <phoneticPr fontId="7"/>
  </si>
  <si>
    <t>①専門分野から部門業務の結果を評価・分析し、関係者にフィードバックする
②社内関係者へ知識伝承するための標準・ノウハウ化を進める</t>
    <phoneticPr fontId="3"/>
  </si>
  <si>
    <t>①課の運営業務全般について、マネージャーを補佐し、自部門の発展に寄与する
②重点業務を主体的に推進する
③課員に積極的に業務委譲し、ＰＭの代理が務まる人材を指導・育成する
④就業規則や諸規則を率先垂範し、下位者に指示する</t>
    <phoneticPr fontId="3"/>
  </si>
  <si>
    <t>ＰＭ</t>
    <phoneticPr fontId="7"/>
  </si>
  <si>
    <t>全　社　資　格　基　準　一　覧　表（運用）　　4/4</t>
    <rPh sb="4" eb="5">
      <t>シ</t>
    </rPh>
    <rPh sb="6" eb="7">
      <t>カク</t>
    </rPh>
    <phoneticPr fontId="7"/>
  </si>
  <si>
    <t>①中長期的視点
②新たなビジネスチャンス創造
③中長期戦略の策定、提言
④事業化計画の作成
⑤戦略推進のための組織化</t>
    <phoneticPr fontId="3"/>
  </si>
  <si>
    <t>①特命プロジェクトの推進
②外部ネットワークの活用
③リスクの引受け
④Go and Stopの判断</t>
    <phoneticPr fontId="3"/>
  </si>
  <si>
    <t>①事業計画／実績対比
②投資経済性の評価
③事業継続、軌道修正の判断
④組織変更、重要人事の判断</t>
    <phoneticPr fontId="3"/>
  </si>
  <si>
    <t>経</t>
    <rPh sb="0" eb="1">
      <t>キョウ</t>
    </rPh>
    <phoneticPr fontId="7"/>
  </si>
  <si>
    <t>役　員</t>
    <rPh sb="0" eb="1">
      <t>ヤク</t>
    </rPh>
    <rPh sb="2" eb="3">
      <t>イン</t>
    </rPh>
    <phoneticPr fontId="7"/>
  </si>
  <si>
    <t>経営統率</t>
    <phoneticPr fontId="3"/>
  </si>
  <si>
    <t>本部長</t>
    <rPh sb="0" eb="3">
      <t>ホンブチョウ</t>
    </rPh>
    <phoneticPr fontId="7"/>
  </si>
  <si>
    <t>業務</t>
    <phoneticPr fontId="3"/>
  </si>
  <si>
    <t>営</t>
    <rPh sb="0" eb="1">
      <t>エイ</t>
    </rPh>
    <phoneticPr fontId="7"/>
  </si>
  <si>
    <t>　　　部門の方向づけと組織化、指揮、重点施策の先行管理</t>
    <phoneticPr fontId="7"/>
  </si>
  <si>
    <t>①部門戦略、事業計画の立案ができる
②重点施策を自ら具体化できる
③内外の広範な情報収集ができる
④部門組織、役割の設計ができる</t>
    <rPh sb="6" eb="8">
      <t>ジギョウ</t>
    </rPh>
    <rPh sb="34" eb="36">
      <t>ナイガイ</t>
    </rPh>
    <rPh sb="37" eb="39">
      <t>コウハン</t>
    </rPh>
    <rPh sb="40" eb="42">
      <t>ジョウホウ</t>
    </rPh>
    <rPh sb="42" eb="44">
      <t>シュウシュウ</t>
    </rPh>
    <phoneticPr fontId="3"/>
  </si>
  <si>
    <t>①部門計画実践の先行管理ができる
②的確な判断と対処、指示ができる
③幹部に対する指導育成ができる
④重要事項のトップ報告、献策ができる</t>
    <phoneticPr fontId="3"/>
  </si>
  <si>
    <t>①部門計画／実績差異分析を行い、課題の原因追求と対策立案ができる
②計画、関連部署へﾌｨーﾄﾞﾊﾞｯｸを行う
③下位役職者の評価を行う
④人材育成状況の評価から課題を発見できる</t>
    <rPh sb="13" eb="14">
      <t>オコナ</t>
    </rPh>
    <rPh sb="16" eb="18">
      <t>カダイ</t>
    </rPh>
    <rPh sb="65" eb="66">
      <t>オコナ</t>
    </rPh>
    <rPh sb="80" eb="82">
      <t>カダイ</t>
    </rPh>
    <rPh sb="83" eb="85">
      <t>ハッケン</t>
    </rPh>
    <phoneticPr fontId="3"/>
  </si>
  <si>
    <t>職</t>
  </si>
  <si>
    <t>部レベル</t>
    <phoneticPr fontId="7"/>
  </si>
  <si>
    <t>統率業務</t>
    <phoneticPr fontId="3"/>
  </si>
  <si>
    <t>課レベル
統率業務</t>
    <rPh sb="0" eb="1">
      <t>カ</t>
    </rPh>
    <phoneticPr fontId="7"/>
  </si>
  <si>
    <t>【推奨資格】
ITサービスﾏﾈｰｼﾞｬ
高度情報処理資格
ITSSレベル４以上に該当する資格</t>
    <phoneticPr fontId="3"/>
  </si>
  <si>
    <t>①部の事業計画策定に関与する
②自部門の事業方針を理解し、課の具体的な運営計画（売上･収益・コスト、要員、指導･教育など）を策定する
③内外環境分析（他部門の計画･動向と顧客状況の把握）をする
④課員の役割と業務の設計をする
⑤課員のキャリアプラン作成を指導する</t>
    <rPh sb="10" eb="12">
      <t>カンヨ</t>
    </rPh>
    <rPh sb="99" eb="100">
      <t>イン</t>
    </rPh>
    <phoneticPr fontId="3"/>
  </si>
  <si>
    <t>①収益向上を目指し、事業計画を実行する
②方針・戦略を周知徹底をする
③顧客・関係部署と折衝する
④顧客サービスレベル向上の施策を実行する
⑤課員の適切な要員配置を実行する
⑥課員のキャリアプラン遂行を支援し、次世代の管理職候補を指導・育成する
⑦課員の健康とメンタルを維持する</t>
    <rPh sb="6" eb="8">
      <t>メザ</t>
    </rPh>
    <rPh sb="71" eb="73">
      <t>カイン</t>
    </rPh>
    <phoneticPr fontId="3"/>
  </si>
  <si>
    <r>
      <t xml:space="preserve">課の組織運営に関する全般的な知識・技能を持つ
</t>
    </r>
    <r>
      <rPr>
        <sz val="9"/>
        <color indexed="10"/>
        <rFont val="ＭＳ ゴシック"/>
        <family val="3"/>
        <charset val="128"/>
      </rPr>
      <t/>
    </r>
    <rPh sb="10" eb="13">
      <t>ゼンパンテキ</t>
    </rPh>
    <phoneticPr fontId="3"/>
  </si>
  <si>
    <t xml:space="preserve">担当プロジェクトの交渉ごとを有利に導くことができる
</t>
    <phoneticPr fontId="3"/>
  </si>
  <si>
    <t xml:space="preserve">プロジェクトメンバのモチベーションを向上し、結束を高めることができる
</t>
    <rPh sb="18" eb="20">
      <t>コウジョウ</t>
    </rPh>
    <rPh sb="22" eb="24">
      <t>ケッソク</t>
    </rPh>
    <rPh sb="25" eb="26">
      <t>タカ</t>
    </rPh>
    <phoneticPr fontId="3"/>
  </si>
  <si>
    <t>①課の運営計画策定に関与する
②課員の業務課題を具体化し、キャリアプラン作成を支援する</t>
    <rPh sb="1" eb="2">
      <t>カ</t>
    </rPh>
    <rPh sb="3" eb="5">
      <t>ウンエイ</t>
    </rPh>
    <rPh sb="5" eb="7">
      <t>ケイカク</t>
    </rPh>
    <rPh sb="7" eb="9">
      <t>サクテイ</t>
    </rPh>
    <rPh sb="10" eb="12">
      <t>カンヨ</t>
    </rPh>
    <rPh sb="39" eb="41">
      <t>シエン</t>
    </rPh>
    <phoneticPr fontId="3"/>
  </si>
  <si>
    <t>①課の運営業務全般について、マネージャーを補佐し、自部門の発展に寄与する
②リーダーシップを発揮し、課員のモチベーションを高める
③課員に積極的に業務委譲し、ＡＭの代理が務まる人材を指導・育成する
④就業規則や諸規則を率先垂範し、下位者に指示する</t>
    <rPh sb="46" eb="48">
      <t>ハッキ</t>
    </rPh>
    <rPh sb="50" eb="52">
      <t>カイン</t>
    </rPh>
    <rPh sb="61" eb="62">
      <t>タカ</t>
    </rPh>
    <phoneticPr fontId="3"/>
  </si>
  <si>
    <t>①事業計画と実績の差異分析と、次期計画への反映に関与する
②顧客サービスレベルを評価し、課題発見をする
③人事考課・キャリアプランを利用して人材育成状況の一次評価をする</t>
    <rPh sb="21" eb="23">
      <t>ハンエイ</t>
    </rPh>
    <rPh sb="24" eb="26">
      <t>カンヨ</t>
    </rPh>
    <rPh sb="44" eb="46">
      <t>カダイ</t>
    </rPh>
    <rPh sb="46" eb="48">
      <t>ハッケン</t>
    </rPh>
    <rPh sb="77" eb="79">
      <t>イチジ</t>
    </rPh>
    <phoneticPr fontId="3"/>
  </si>
  <si>
    <t>高度伝承
業務</t>
    <rPh sb="0" eb="2">
      <t>コウド</t>
    </rPh>
    <rPh sb="2" eb="4">
      <t>デンショウ</t>
    </rPh>
    <phoneticPr fontId="7"/>
  </si>
  <si>
    <t>顧客サービスレベルを向上し、ITSMを実践する</t>
    <rPh sb="0" eb="2">
      <t>コキャク</t>
    </rPh>
    <rPh sb="10" eb="12">
      <t>コウジョウ</t>
    </rPh>
    <rPh sb="19" eb="21">
      <t>ジッセン</t>
    </rPh>
    <phoneticPr fontId="3"/>
  </si>
  <si>
    <t>社内的に認められた高い専門知識と技能を確立している</t>
    <rPh sb="19" eb="21">
      <t>カクリツ</t>
    </rPh>
    <phoneticPr fontId="3"/>
  </si>
  <si>
    <t xml:space="preserve">専門分野において社内をリードする現状改革を提案実施できる
</t>
    <phoneticPr fontId="3"/>
  </si>
  <si>
    <t xml:space="preserve">専門分野から新規性のあるテーマのリスクと可能性を実務的に判断できる
</t>
    <phoneticPr fontId="3"/>
  </si>
  <si>
    <t xml:space="preserve">高度な専門性をベースに顧客折衝を有利にリードできる
</t>
    <phoneticPr fontId="3"/>
  </si>
  <si>
    <t xml:space="preserve">専門分野から社内関係者へのアドバイス、指導ができる
熟練内容を下位者へ伝承できる
</t>
    <phoneticPr fontId="3"/>
  </si>
  <si>
    <t>①チーム全体のリーダーとして部門内の課題を管理する
②顧客サービス向上に向けた企画計画を立案する
③受託業務範囲拡大に向けた企画計画を立案する
④ＩＴＳＭ実践の企画計画を策定する</t>
    <rPh sb="85" eb="87">
      <t>サクテイ</t>
    </rPh>
    <phoneticPr fontId="3"/>
  </si>
  <si>
    <t>①課内の課題解決に向けた適切な対策を実施する
②サービスレベル向上実現に向けた取組みを実施する
③受託業務拡大の実現に向けた取組みを実施する
④ＩＴＳＭを実践する</t>
    <phoneticPr fontId="3"/>
  </si>
  <si>
    <t>①課題管理と結果を評価する
②サービスレベル向上に向けた取組み状況を評価する
③顧客満足度向上の結果を確認する
④受託業務範囲拡大に向けた取組み状況を評価する
⑤ＩＴＳＭ推進状況を評価する</t>
    <rPh sb="34" eb="36">
      <t>ヒョウカ</t>
    </rPh>
    <rPh sb="40" eb="42">
      <t>コキャク</t>
    </rPh>
    <rPh sb="42" eb="45">
      <t>マンゾクド</t>
    </rPh>
    <rPh sb="45" eb="47">
      <t>コウジョウ</t>
    </rPh>
    <rPh sb="48" eb="50">
      <t>ケッカ</t>
    </rPh>
    <rPh sb="51" eb="53">
      <t>カクニン</t>
    </rPh>
    <rPh sb="75" eb="77">
      <t>ヒョウカ</t>
    </rPh>
    <rPh sb="90" eb="92">
      <t>ヒョウカ</t>
    </rPh>
    <phoneticPr fontId="3"/>
  </si>
  <si>
    <t>上級</t>
    <phoneticPr fontId="3"/>
  </si>
  <si>
    <t>運用技師</t>
    <rPh sb="2" eb="4">
      <t>ギシ</t>
    </rPh>
    <phoneticPr fontId="3"/>
  </si>
  <si>
    <t>高度熟練
業務</t>
    <rPh sb="0" eb="2">
      <t>コウド</t>
    </rPh>
    <rPh sb="2" eb="4">
      <t>ジュクレン</t>
    </rPh>
    <rPh sb="5" eb="7">
      <t>ギョウム</t>
    </rPh>
    <phoneticPr fontId="3"/>
  </si>
  <si>
    <t>リーダーシップを発揮し、顧客サービスレベルを維持する</t>
    <rPh sb="8" eb="10">
      <t>ハッキ</t>
    </rPh>
    <rPh sb="12" eb="14">
      <t>コキャク</t>
    </rPh>
    <rPh sb="22" eb="24">
      <t>イジ</t>
    </rPh>
    <phoneticPr fontId="3"/>
  </si>
  <si>
    <t>難易度の高いあるいは広範囲な業務を独力で遂行するために必要な実務知識・技能を持つ</t>
    <rPh sb="0" eb="3">
      <t>ナンイド</t>
    </rPh>
    <rPh sb="4" eb="5">
      <t>タカ</t>
    </rPh>
    <rPh sb="10" eb="13">
      <t>コウハンイ</t>
    </rPh>
    <rPh sb="14" eb="16">
      <t>ギョウム</t>
    </rPh>
    <phoneticPr fontId="3"/>
  </si>
  <si>
    <t xml:space="preserve">熟練した技術・知識の標準化・ノウハウ化、現状改善を主体的に企画、実施できる
</t>
    <rPh sb="4" eb="6">
      <t>ギジュツ</t>
    </rPh>
    <rPh sb="7" eb="9">
      <t>チシキ</t>
    </rPh>
    <rPh sb="18" eb="19">
      <t>カ</t>
    </rPh>
    <phoneticPr fontId="3"/>
  </si>
  <si>
    <t xml:space="preserve">当該分野の熟練者として、問題解決に向けて適切に判断、対処できる
</t>
    <phoneticPr fontId="3"/>
  </si>
  <si>
    <t xml:space="preserve">当該分野の熟練者として、内外関係者と適切な折衝が独力でできる
顧客・関係者にとって、価値ある対応をする
</t>
    <rPh sb="24" eb="26">
      <t>ドクリョク</t>
    </rPh>
    <rPh sb="32" eb="34">
      <t>コキャク</t>
    </rPh>
    <rPh sb="35" eb="38">
      <t>カンケイシャ</t>
    </rPh>
    <rPh sb="43" eb="45">
      <t>カチ</t>
    </rPh>
    <rPh sb="47" eb="49">
      <t>タイオウ</t>
    </rPh>
    <phoneticPr fontId="3"/>
  </si>
  <si>
    <t xml:space="preserve">熟練分野においては社内へのアドバイス、指導、講師ができる
</t>
    <rPh sb="22" eb="24">
      <t>コウシ</t>
    </rPh>
    <phoneticPr fontId="3"/>
  </si>
  <si>
    <t xml:space="preserve">【推奨資格】
応用情報技術者
ITSSレベル３以上に該当する資格
ITIL ﾌｧﾝﾃﾞｰｼｮﾝ
</t>
    <phoneticPr fontId="3"/>
  </si>
  <si>
    <t>①日常業務の計画を策定する
②部門内の課題を把握し、改善に向けた計画を提案する
③下位者の指導計画を策定する</t>
    <rPh sb="1" eb="3">
      <t>ニチジョウ</t>
    </rPh>
    <rPh sb="3" eb="5">
      <t>ギョウム</t>
    </rPh>
    <rPh sb="6" eb="8">
      <t>ケイカク</t>
    </rPh>
    <phoneticPr fontId="3"/>
  </si>
  <si>
    <t>①リーダーとしてチームを取りまとめ、サービスレベルを維持し業務を安定稼動する
②他のリーダーと連携し、部門内の課題解決を図る
③顧客のニーズを理解し、受託業務拡大に向けた取組みに関与する
④電算機室のフィジカルセキュリティを維持する
⑤自らが範となり下位者に指導・教育する</t>
    <rPh sb="12" eb="13">
      <t>ト</t>
    </rPh>
    <rPh sb="26" eb="28">
      <t>イジ</t>
    </rPh>
    <rPh sb="29" eb="31">
      <t>ギョウム</t>
    </rPh>
    <rPh sb="32" eb="34">
      <t>アンテイ</t>
    </rPh>
    <rPh sb="34" eb="36">
      <t>カドウ</t>
    </rPh>
    <rPh sb="40" eb="41">
      <t>タ</t>
    </rPh>
    <rPh sb="47" eb="49">
      <t>レンケイ</t>
    </rPh>
    <rPh sb="51" eb="53">
      <t>ブモン</t>
    </rPh>
    <rPh sb="53" eb="54">
      <t>ナイ</t>
    </rPh>
    <rPh sb="55" eb="57">
      <t>カダイ</t>
    </rPh>
    <rPh sb="57" eb="59">
      <t>カイケツ</t>
    </rPh>
    <rPh sb="60" eb="61">
      <t>ハカ</t>
    </rPh>
    <rPh sb="89" eb="91">
      <t>カンヨ</t>
    </rPh>
    <rPh sb="95" eb="98">
      <t>デンサンキ</t>
    </rPh>
    <rPh sb="98" eb="99">
      <t>シツ</t>
    </rPh>
    <rPh sb="112" eb="114">
      <t>イジ</t>
    </rPh>
    <phoneticPr fontId="3"/>
  </si>
  <si>
    <t>①リーダーとして、業務の成果を客観的に評価し、改善を指示する
②顧客サービスレベルを評価し、改善する
③フィジカルセキュリティの維持結果を評価する</t>
    <rPh sb="32" eb="34">
      <t>コキャク</t>
    </rPh>
    <rPh sb="42" eb="44">
      <t>ヒョウカ</t>
    </rPh>
    <rPh sb="46" eb="48">
      <t>カイゼン</t>
    </rPh>
    <rPh sb="66" eb="68">
      <t>ケッカ</t>
    </rPh>
    <rPh sb="69" eb="71">
      <t>ヒョウカ</t>
    </rPh>
    <phoneticPr fontId="3"/>
  </si>
  <si>
    <t>中級</t>
    <phoneticPr fontId="3"/>
  </si>
  <si>
    <t>多能熟練
業務</t>
    <rPh sb="0" eb="2">
      <t>タノウ</t>
    </rPh>
    <rPh sb="2" eb="4">
      <t>ジュクレン</t>
    </rPh>
    <rPh sb="5" eb="7">
      <t>ギョウム</t>
    </rPh>
    <phoneticPr fontId="3"/>
  </si>
  <si>
    <t>独力で業務を安定遂行し、後進を育成する</t>
    <rPh sb="0" eb="2">
      <t>ドクリョク</t>
    </rPh>
    <rPh sb="3" eb="5">
      <t>ギョウム</t>
    </rPh>
    <rPh sb="6" eb="8">
      <t>アンテイ</t>
    </rPh>
    <rPh sb="8" eb="10">
      <t>スイコウ</t>
    </rPh>
    <rPh sb="12" eb="14">
      <t>コウシン</t>
    </rPh>
    <rPh sb="15" eb="17">
      <t>イクセイ</t>
    </rPh>
    <phoneticPr fontId="3"/>
  </si>
  <si>
    <t>担当業務を独力で遂行するために必要な実務知識・技能を持つ</t>
    <phoneticPr fontId="3"/>
  </si>
  <si>
    <t>独力で創意工夫を凝らして担当業務を改善できる</t>
    <rPh sb="12" eb="14">
      <t>タントウ</t>
    </rPh>
    <phoneticPr fontId="3"/>
  </si>
  <si>
    <t>自らの権限内で、イレギュラーな処理、手続きなどを独力で正しく選択、判断できる</t>
    <phoneticPr fontId="3"/>
  </si>
  <si>
    <t>社内関係者との調整ができる
上位者の指導の下で関係先と折衝できる
顧客・関係者の要求や立場を理解し、誠意をもって対応する</t>
    <rPh sb="34" eb="36">
      <t>コキャク</t>
    </rPh>
    <rPh sb="37" eb="40">
      <t>カンケイシャ</t>
    </rPh>
    <rPh sb="41" eb="43">
      <t>ヨウキュウ</t>
    </rPh>
    <rPh sb="44" eb="46">
      <t>タチバ</t>
    </rPh>
    <rPh sb="47" eb="49">
      <t>リカイ</t>
    </rPh>
    <rPh sb="51" eb="53">
      <t>セイイ</t>
    </rPh>
    <rPh sb="57" eb="59">
      <t>タイオウ</t>
    </rPh>
    <phoneticPr fontId="3"/>
  </si>
  <si>
    <t>自発的に周囲と協調・協力しながら、業務を進める
下位者の指導に積極的に参画することができる</t>
    <phoneticPr fontId="3"/>
  </si>
  <si>
    <t>【推奨資格】
基本情報技術者
ITSSレベル２以上に該当する資格
ITIL ﾌｧﾝﾃﾞｰｼｮﾝ
CSBM:情報セキュリティ認定（SEA/J）</t>
    <phoneticPr fontId="3"/>
  </si>
  <si>
    <t>①自らの担当業務の課題を把握し、解決策を策定する
②下位者の指導計画の策定に関与する
③自らのキャリアプランを策定し、目標達成までのプロセスを具体化する</t>
    <rPh sb="9" eb="11">
      <t>カダイ</t>
    </rPh>
    <rPh sb="12" eb="14">
      <t>ハアク</t>
    </rPh>
    <rPh sb="16" eb="18">
      <t>カイケツ</t>
    </rPh>
    <rPh sb="18" eb="19">
      <t>サク</t>
    </rPh>
    <rPh sb="38" eb="40">
      <t>カンヨ</t>
    </rPh>
    <phoneticPr fontId="3"/>
  </si>
  <si>
    <t>①チームメンバとして、業務全般を単独遂行する
②業務改善と効率化に向けた取り組みを遂行する
③上位者の指導を受けながら、下位者の指導・育成を遂行する
④ITSMおよび情報セキュリティに関する基本的な知識習得をはかり、積極的に業務への反映を提案する</t>
    <rPh sb="11" eb="13">
      <t>ギョウム</t>
    </rPh>
    <rPh sb="13" eb="15">
      <t>ゼンパン</t>
    </rPh>
    <rPh sb="16" eb="18">
      <t>タンドク</t>
    </rPh>
    <rPh sb="18" eb="20">
      <t>スイコウ</t>
    </rPh>
    <rPh sb="24" eb="26">
      <t>ギョウム</t>
    </rPh>
    <rPh sb="26" eb="28">
      <t>カイゼン</t>
    </rPh>
    <rPh sb="29" eb="32">
      <t>コウリツカ</t>
    </rPh>
    <rPh sb="33" eb="34">
      <t>ム</t>
    </rPh>
    <rPh sb="36" eb="37">
      <t>ト</t>
    </rPh>
    <rPh sb="38" eb="39">
      <t>ク</t>
    </rPh>
    <rPh sb="41" eb="43">
      <t>スイコウ</t>
    </rPh>
    <rPh sb="70" eb="72">
      <t>スイコウ</t>
    </rPh>
    <rPh sb="83" eb="85">
      <t>ジョウホウ</t>
    </rPh>
    <rPh sb="92" eb="93">
      <t>カン</t>
    </rPh>
    <rPh sb="95" eb="98">
      <t>キホンテキ</t>
    </rPh>
    <rPh sb="99" eb="101">
      <t>チシキ</t>
    </rPh>
    <rPh sb="101" eb="103">
      <t>シュウトク</t>
    </rPh>
    <rPh sb="108" eb="111">
      <t>セッキョクテキ</t>
    </rPh>
    <rPh sb="112" eb="114">
      <t>ギョウム</t>
    </rPh>
    <rPh sb="116" eb="118">
      <t>ハンエイ</t>
    </rPh>
    <rPh sb="119" eb="121">
      <t>テイアン</t>
    </rPh>
    <phoneticPr fontId="3"/>
  </si>
  <si>
    <t>①日常的に担当業務の課題を発見し、上位者の要点的な指導の下、業務改善する
②上位者の指導を受けながら、下位者の育成計画を改善する
③自らのキャリアプランを評価し、具体的な改善策を立てる</t>
    <rPh sb="1" eb="3">
      <t>ニチジョウ</t>
    </rPh>
    <rPh sb="3" eb="4">
      <t>テキ</t>
    </rPh>
    <rPh sb="5" eb="7">
      <t>タントウ</t>
    </rPh>
    <rPh sb="10" eb="12">
      <t>カダイ</t>
    </rPh>
    <rPh sb="13" eb="15">
      <t>ハッケン</t>
    </rPh>
    <rPh sb="30" eb="32">
      <t>ギョウム</t>
    </rPh>
    <rPh sb="32" eb="34">
      <t>カイゼン</t>
    </rPh>
    <phoneticPr fontId="3"/>
  </si>
  <si>
    <t>初級</t>
    <phoneticPr fontId="3"/>
  </si>
  <si>
    <t>担当業務を遂行するために必要な実務知識・技能を持つ</t>
    <phoneticPr fontId="3"/>
  </si>
  <si>
    <t>ある程度定型的な日常業務において創意工夫ができる</t>
    <phoneticPr fontId="3"/>
  </si>
  <si>
    <t>上司の指示をポイントを外さず正確に理解できる</t>
    <phoneticPr fontId="3"/>
  </si>
  <si>
    <t>【推奨資格】
基本情報技術者
Strata IT Fundamentals（Comp TIA）</t>
    <phoneticPr fontId="3"/>
  </si>
  <si>
    <t>①上位者の指示の下、あるいは既存の作業標準に従い、要求された業務を確実に実施する
②指示されたことだけでなく、新たな業務を積極的に引き受ける
③新たな知識・技術の習得に向け行動する
④就業規則や諸規則を理解し順守する</t>
    <phoneticPr fontId="3"/>
  </si>
  <si>
    <t>担当</t>
    <phoneticPr fontId="3"/>
  </si>
  <si>
    <t>キャリアプランを有効に使おう</t>
    <rPh sb="8" eb="10">
      <t>ユウコウ</t>
    </rPh>
    <rPh sb="11" eb="12">
      <t>ツカ</t>
    </rPh>
    <phoneticPr fontId="3"/>
  </si>
  <si>
    <t>目標管理シートとキャリアプランを、もっと有効活用するためのヒントをお伝えします。</t>
    <rPh sb="0" eb="2">
      <t>モクヒョウ</t>
    </rPh>
    <rPh sb="2" eb="4">
      <t>カンリ</t>
    </rPh>
    <rPh sb="20" eb="22">
      <t>ユウコウ</t>
    </rPh>
    <rPh sb="22" eb="24">
      <t>カツヨウ</t>
    </rPh>
    <rPh sb="34" eb="35">
      <t>ツタ</t>
    </rPh>
    <phoneticPr fontId="3"/>
  </si>
  <si>
    <t>何のために実施しているのかを理解し、計画に反映させましょう。</t>
    <rPh sb="0" eb="1">
      <t>ナン</t>
    </rPh>
    <rPh sb="5" eb="7">
      <t>ジッシ</t>
    </rPh>
    <rPh sb="14" eb="16">
      <t>リカイ</t>
    </rPh>
    <rPh sb="18" eb="20">
      <t>ケイカク</t>
    </rPh>
    <rPh sb="21" eb="23">
      <t>ハンエイ</t>
    </rPh>
    <phoneticPr fontId="3"/>
  </si>
  <si>
    <t>１．目的の違いを知ろう</t>
    <rPh sb="2" eb="4">
      <t>モクテキ</t>
    </rPh>
    <rPh sb="5" eb="6">
      <t>チガ</t>
    </rPh>
    <rPh sb="8" eb="9">
      <t>シ</t>
    </rPh>
    <phoneticPr fontId="3"/>
  </si>
  <si>
    <t>目標管理　　</t>
    <rPh sb="0" eb="2">
      <t>モクヒョウ</t>
    </rPh>
    <rPh sb="2" eb="4">
      <t>カンリ</t>
    </rPh>
    <phoneticPr fontId="3"/>
  </si>
  <si>
    <t>→</t>
    <phoneticPr fontId="3"/>
  </si>
  <si>
    <t>事業計画を達成すること</t>
    <phoneticPr fontId="3"/>
  </si>
  <si>
    <t>職責に応じた役割・責任を分担し、組織に貢献するための実行プラン</t>
    <rPh sb="12" eb="14">
      <t>ブンタン</t>
    </rPh>
    <rPh sb="26" eb="28">
      <t>ジッコウ</t>
    </rPh>
    <phoneticPr fontId="3"/>
  </si>
  <si>
    <t>キャリアプラン　</t>
    <phoneticPr fontId="3"/>
  </si>
  <si>
    <t>５年後・１０年後もいきいきと働き続けること</t>
    <rPh sb="6" eb="8">
      <t>ネンゴ</t>
    </rPh>
    <rPh sb="14" eb="15">
      <t>ハタラ</t>
    </rPh>
    <rPh sb="16" eb="17">
      <t>ツヅ</t>
    </rPh>
    <phoneticPr fontId="3"/>
  </si>
  <si>
    <t>「会社・顧客・社会」から、求められる人材になる成長プラン</t>
    <rPh sb="23" eb="25">
      <t>セイチョウ</t>
    </rPh>
    <phoneticPr fontId="3"/>
  </si>
  <si>
    <t>つまり、</t>
    <phoneticPr fontId="3"/>
  </si>
  <si>
    <t>目標管理　　　　⇒　明日の飯のタネ</t>
  </si>
  <si>
    <t>キャリアプラン　⇒　５年後の飯のタネのための種まき</t>
    <phoneticPr fontId="3"/>
  </si>
  <si>
    <t>目標管理は、今年いっぱいくらいの「現在の飯のタネ」です。社員全員で事業計画を達成すれば、</t>
    <rPh sb="28" eb="30">
      <t>シャイン</t>
    </rPh>
    <rPh sb="30" eb="32">
      <t>ゼンイン</t>
    </rPh>
    <phoneticPr fontId="3"/>
  </si>
  <si>
    <t>会社は安定して給与を払え、昇給額も増え、賃金の底上げができ、賞与を払えます。</t>
    <rPh sb="0" eb="2">
      <t>カイシャ</t>
    </rPh>
    <rPh sb="33" eb="34">
      <t>ハラ</t>
    </rPh>
    <phoneticPr fontId="3"/>
  </si>
  <si>
    <t>まさに、明日の飯のタネを稼ぐために、全員で協力して事業を成功させるのです。</t>
    <rPh sb="18" eb="20">
      <t>ゼンイン</t>
    </rPh>
    <rPh sb="21" eb="23">
      <t>キョウリョク</t>
    </rPh>
    <phoneticPr fontId="3"/>
  </si>
  <si>
    <t>キャリアプランは、５年後もご飯が食べられる可能性を広げるために、自分の役割・責任範囲を</t>
    <phoneticPr fontId="3"/>
  </si>
  <si>
    <t>広げていく未来志向の活動です。</t>
    <phoneticPr fontId="3"/>
  </si>
  <si>
    <t>５年後の飯のタネではなく「種まき」というのは、撒いた種が実を結ぶかどうかはわからないか</t>
    <phoneticPr fontId="3"/>
  </si>
  <si>
    <t>らです。でも種まきしないと絶対に芽は出ない。種まきだけは確実にやっておくための活動です。</t>
    <rPh sb="39" eb="41">
      <t>カツドウ</t>
    </rPh>
    <phoneticPr fontId="3"/>
  </si>
  <si>
    <t>この目的の違いを認識していないと、「目標管理と混合しているキャリアプラン」が</t>
    <rPh sb="2" eb="4">
      <t>モクテキ</t>
    </rPh>
    <rPh sb="5" eb="6">
      <t>チガ</t>
    </rPh>
    <rPh sb="8" eb="10">
      <t>ニンシキ</t>
    </rPh>
    <phoneticPr fontId="3"/>
  </si>
  <si>
    <t>できてしまいます。</t>
    <phoneticPr fontId="3"/>
  </si>
  <si>
    <t>・</t>
    <phoneticPr fontId="3"/>
  </si>
  <si>
    <t>それは、今あなたがやるべき仕事ではないか</t>
    <rPh sb="4" eb="5">
      <t>イマ</t>
    </rPh>
    <rPh sb="13" eb="15">
      <t>シゴト</t>
    </rPh>
    <phoneticPr fontId="3"/>
  </si>
  <si>
    <t>現在の飯のタネであり、５年後のための種まきになっていない</t>
    <phoneticPr fontId="3"/>
  </si>
  <si>
    <t>ということです。</t>
    <phoneticPr fontId="3"/>
  </si>
  <si>
    <t>２．成長の種を見つける視点</t>
    <rPh sb="2" eb="4">
      <t>セイチョウ</t>
    </rPh>
    <rPh sb="5" eb="6">
      <t>タネ</t>
    </rPh>
    <rPh sb="7" eb="8">
      <t>ミ</t>
    </rPh>
    <rPh sb="11" eb="13">
      <t>シテン</t>
    </rPh>
    <phoneticPr fontId="3"/>
  </si>
  <si>
    <t>成長の方向は２つあります。</t>
    <phoneticPr fontId="3"/>
  </si>
  <si>
    <t>１つめは、</t>
    <phoneticPr fontId="3"/>
  </si>
  <si>
    <t>会社での活躍領域を拡げること</t>
    <phoneticPr fontId="3"/>
  </si>
  <si>
    <t>昇給昇格したり、良い仕事のチャンスを多く得るためにどう成長するかという視点</t>
    <phoneticPr fontId="3"/>
  </si>
  <si>
    <t>２つめは、</t>
    <phoneticPr fontId="3"/>
  </si>
  <si>
    <t>市場価値を高めること</t>
    <phoneticPr fontId="3"/>
  </si>
  <si>
    <t>一人のビジネスマンとしてどうなりたいか、人生で何を実現したいかという視点</t>
    <rPh sb="20" eb="22">
      <t>ジンセイ</t>
    </rPh>
    <rPh sb="23" eb="24">
      <t>ナニ</t>
    </rPh>
    <phoneticPr fontId="3"/>
  </si>
  <si>
    <t>さらに具体的に、成長の方向性を考えると</t>
    <rPh sb="3" eb="6">
      <t>グタイテキ</t>
    </rPh>
    <rPh sb="8" eb="10">
      <t>セイチョウ</t>
    </rPh>
    <rPh sb="11" eb="14">
      <t>ホウコウセイ</t>
    </rPh>
    <rPh sb="15" eb="16">
      <t>カンガ</t>
    </rPh>
    <phoneticPr fontId="3"/>
  </si>
  <si>
    <t>・上に伸びる</t>
    <phoneticPr fontId="3"/>
  </si>
  <si>
    <t>上流の仕事ができるようになる・ポジションを上にあげる</t>
    <phoneticPr fontId="3"/>
  </si>
  <si>
    <t>・横に広がる</t>
  </si>
  <si>
    <t>今のスキル範囲を広げてみる・違う分野に横展開してみる</t>
    <phoneticPr fontId="3"/>
  </si>
  <si>
    <t>・深く掘り下げる</t>
  </si>
  <si>
    <t>専門性を極める・突出した知識や技能をもつ</t>
    <phoneticPr fontId="3"/>
  </si>
  <si>
    <t>自分でたてたキャリアプランを読んでみて、</t>
    <phoneticPr fontId="3"/>
  </si>
  <si>
    <t>・それを実行したら自分がどう成長できるのか、到達点がおぼろげにも見えるか</t>
    <phoneticPr fontId="3"/>
  </si>
  <si>
    <t>・実行することで、自分のキャリアは「上に・広く・深く」のどこかに効果がありそうか</t>
    <rPh sb="9" eb="11">
      <t>ジブン</t>
    </rPh>
    <phoneticPr fontId="3"/>
  </si>
  <si>
    <t>この２点がピンとこないようなら、それは実行しても効果が薄いかもしれません。</t>
    <rPh sb="2" eb="4">
      <t>ニテン</t>
    </rPh>
    <rPh sb="19" eb="21">
      <t>ジッコウ</t>
    </rPh>
    <rPh sb="24" eb="26">
      <t>コウカ</t>
    </rPh>
    <rPh sb="27" eb="28">
      <t>ウス</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</si>
</sst>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yyyy/m/d;@"/>
  </numFmts>
  <fonts count="55">
    <font>
      <sz val="11"/>
      <color theme="1"/>
      <name val="ＭＳ Ｐゴシック"/>
      <family val="2"/>
      <charset val="128"/>
      <scheme val="minor"/>
    </font>
    <font>
      <sz val="9"/>
      <name val="ＭＳ ゴシック"/>
      <family val="3"/>
      <charset val="128"/>
    </font>
    <font>
      <sz val="6"/>
      <name val="ＭＳ Ｐゴシック"/>
      <family val="2"/>
      <charset val="128"/>
      <scheme val="minor"/>
    </font>
    <font>
      <sz val="6"/>
      <name val="ＭＳ ゴシック"/>
      <family val="3"/>
      <charset val="128"/>
    </font>
    <font>
      <sz val="11"/>
      <name val="ＭＳ Ｐゴシック"/>
      <family val="3"/>
      <charset val="128"/>
    </font>
    <font>
      <b/>
      <sz val="14"/>
      <name val="ＭＳ Ｐゴシック"/>
      <family val="3"/>
      <charset val="128"/>
    </font>
    <font>
      <b/>
      <sz val="11"/>
      <name val="ＭＳ Ｐゴシック"/>
      <family val="3"/>
      <charset val="128"/>
    </font>
    <font>
      <sz val="6"/>
      <name val="ＭＳ Ｐゴシック"/>
      <family val="3"/>
      <charset val="128"/>
    </font>
    <font>
      <sz val="9"/>
      <name val="ＭＳ Ｐゴシック"/>
      <family val="3"/>
      <charset val="128"/>
    </font>
    <font>
      <sz val="10"/>
      <name val="ＭＳ Ｐゴシック"/>
      <family val="3"/>
      <charset val="128"/>
    </font>
    <font>
      <sz val="8"/>
      <name val="ＭＳ Ｐゴシック"/>
      <family val="3"/>
      <charset val="128"/>
    </font>
    <font>
      <u/>
      <sz val="9"/>
      <color theme="10"/>
      <name val="ＭＳ ゴシック"/>
      <family val="3"/>
      <charset val="128"/>
    </font>
    <font>
      <sz val="12"/>
      <name val="ＭＳ Ｐゴシック"/>
      <family val="3"/>
      <charset val="128"/>
    </font>
    <font>
      <sz val="14"/>
      <name val="ＭＳ Ｐゴシック"/>
      <family val="3"/>
      <charset val="128"/>
    </font>
    <font>
      <sz val="16"/>
      <name val="ＭＳ Ｐゴシック"/>
      <family val="3"/>
      <charset val="128"/>
    </font>
    <font>
      <sz val="12"/>
      <color indexed="81"/>
      <name val="ＭＳ Ｐゴシック"/>
      <family val="3"/>
      <charset val="128"/>
    </font>
    <font>
      <sz val="10.5"/>
      <name val="ＭＳ Ｐゴシック"/>
      <family val="3"/>
      <charset val="128"/>
    </font>
    <font>
      <sz val="11"/>
      <color indexed="8"/>
      <name val="ＭＳ Ｐゴシック"/>
      <family val="3"/>
      <charset val="128"/>
    </font>
    <font>
      <b/>
      <sz val="22"/>
      <color indexed="9"/>
      <name val="ＭＳ Ｐゴシック"/>
      <family val="3"/>
      <charset val="128"/>
    </font>
    <font>
      <b/>
      <sz val="11"/>
      <color indexed="9"/>
      <name val="ＭＳ Ｐゴシック"/>
      <family val="3"/>
      <charset val="128"/>
    </font>
    <font>
      <b/>
      <sz val="16"/>
      <color indexed="10"/>
      <name val="ＭＳ Ｐゴシック"/>
      <family val="3"/>
      <charset val="128"/>
    </font>
    <font>
      <b/>
      <sz val="12"/>
      <name val="ＭＳ Ｐゴシック"/>
      <family val="3"/>
      <charset val="128"/>
    </font>
    <font>
      <sz val="11"/>
      <color indexed="81"/>
      <name val="ＭＳ Ｐゴシック"/>
      <family val="3"/>
      <charset val="128"/>
    </font>
    <font>
      <b/>
      <sz val="12"/>
      <color indexed="64"/>
      <name val="ＭＳ ゴシック"/>
      <family val="3"/>
      <charset val="128"/>
    </font>
    <font>
      <sz val="9"/>
      <color indexed="10"/>
      <name val="ＭＳ ゴシック"/>
      <family val="3"/>
      <charset val="128"/>
    </font>
    <font>
      <b/>
      <sz val="16"/>
      <name val="ＭＳ Ｐゴシック"/>
      <family val="3"/>
      <charset val="128"/>
    </font>
    <font>
      <b/>
      <sz val="10.5"/>
      <name val="ＭＳ Ｐゴシック"/>
      <family val="3"/>
      <charset val="128"/>
    </font>
    <font>
      <b/>
      <sz val="11"/>
      <color indexed="10"/>
      <name val="ＭＳ Ｐゴシック"/>
      <family val="3"/>
      <charset val="128"/>
    </font>
    <font>
      <u/>
      <sz val="11"/>
      <color indexed="12"/>
      <name val="ＭＳ Ｐゴシック"/>
      <family val="3"/>
      <charset val="128"/>
    </font>
    <font>
      <sz val="16"/>
      <color rgb="FF000000"/>
      <name val="ＭＳ Ｐゴシック"/>
      <family val="3"/>
      <charset val="128"/>
    </font>
    <font>
      <sz val="10"/>
      <color theme="1"/>
      <name val="ＭＳ Ｐゴシック"/>
      <family val="3"/>
      <charset val="128"/>
    </font>
    <font>
      <u/>
      <sz val="9"/>
      <color theme="10"/>
      <name val="ＭＳ Ｐゴシック"/>
      <family val="3"/>
      <charset val="128"/>
    </font>
    <font>
      <sz val="11"/>
      <color theme="1"/>
      <name val="ＭＳ Ｐゴシック"/>
      <family val="3"/>
      <charset val="128"/>
    </font>
    <font>
      <b/>
      <sz val="26"/>
      <name val="ＭＳ Ｐゴシック"/>
      <family val="3"/>
      <charset val="128"/>
    </font>
    <font>
      <u/>
      <sz val="9"/>
      <color indexed="12"/>
      <name val="ＭＳ ゴシック"/>
      <family val="3"/>
      <charset val="128"/>
    </font>
    <font>
      <b/>
      <sz val="12"/>
      <color indexed="81"/>
      <name val="ＭＳ Ｐゴシック"/>
      <family val="3"/>
      <charset val="128"/>
    </font>
    <font>
      <sz val="12"/>
      <color theme="1"/>
      <name val="ＭＳ Ｐゴシック"/>
      <family val="2"/>
      <charset val="128"/>
      <scheme val="minor"/>
    </font>
    <font>
      <b/>
      <sz val="18"/>
      <name val="ＭＳ Ｐゴシック"/>
      <family val="3"/>
      <charset val="128"/>
    </font>
    <font>
      <u/>
      <sz val="11"/>
      <color theme="10"/>
      <name val="ＭＳ ゴシック"/>
      <family val="3"/>
      <charset val="128"/>
    </font>
    <font>
      <sz val="11"/>
      <name val="ＭＳ ゴシック"/>
      <family val="3"/>
      <charset val="128"/>
    </font>
    <font>
      <b/>
      <sz val="14"/>
      <name val="ＭＳ ゴシック"/>
      <family val="3"/>
      <charset val="128"/>
    </font>
    <font>
      <b/>
      <sz val="12"/>
      <name val="ＭＳ ゴシック"/>
      <family val="3"/>
      <charset val="128"/>
    </font>
    <font>
      <b/>
      <sz val="11"/>
      <name val="ＭＳ ゴシック"/>
      <family val="3"/>
      <charset val="128"/>
    </font>
    <font>
      <sz val="9"/>
      <color indexed="81"/>
      <name val="ＭＳ Ｐゴシック"/>
      <family val="3"/>
      <charset val="128"/>
    </font>
    <font>
      <sz val="9"/>
      <color rgb="FFFF0000"/>
      <name val="ＭＳ Ｐゴシック"/>
      <family val="3"/>
      <charset val="128"/>
    </font>
    <font>
      <sz val="11"/>
      <color theme="1"/>
      <name val="ＭＳ Ｐゴシック"/>
      <family val="2"/>
      <charset val="128"/>
      <scheme val="minor"/>
    </font>
    <font>
      <b/>
      <sz val="12"/>
      <color indexed="81"/>
      <name val="MS P ゴシック"/>
      <family val="3"/>
      <charset val="128"/>
    </font>
    <font>
      <sz val="12"/>
      <color theme="1"/>
      <name val="ＭＳ Ｐゴシック"/>
      <family val="3"/>
      <charset val="128"/>
      <scheme val="minor"/>
    </font>
    <font>
      <b/>
      <sz val="18"/>
      <color indexed="81"/>
      <name val="ＭＳ Ｐゴシック"/>
      <family val="3"/>
      <charset val="128"/>
    </font>
    <font>
      <b/>
      <sz val="18"/>
      <color indexed="10"/>
      <name val="ＭＳ Ｐゴシック"/>
      <family val="3"/>
      <charset val="128"/>
    </font>
    <font>
      <sz val="10.5"/>
      <color rgb="FFFF0000"/>
      <name val="ＭＳ Ｐゴシック"/>
      <family val="3"/>
      <charset val="128"/>
    </font>
    <font>
      <b/>
      <sz val="20"/>
      <name val="ＭＳ Ｐゴシック"/>
      <family val="3"/>
      <charset val="128"/>
    </font>
    <font>
      <b/>
      <sz val="10.5"/>
      <color rgb="FFFF0000"/>
      <name val="ＭＳ Ｐゴシック"/>
      <family val="3"/>
      <charset val="128"/>
    </font>
    <font>
      <sz val="9"/>
      <color rgb="FF0070C0"/>
      <name val="ＭＳ Ｐゴシック"/>
      <family val="3"/>
      <charset val="128"/>
    </font>
    <font>
      <b/>
      <sz val="9"/>
      <color rgb="FFFF0000"/>
      <name val="ＭＳ Ｐゴシック"/>
      <family val="3"/>
      <charset val="128"/>
    </font>
  </fonts>
  <fills count="16">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55"/>
        <bgColor indexed="64"/>
      </patternFill>
    </fill>
    <fill>
      <patternFill patternType="solid">
        <fgColor indexed="27"/>
        <bgColor indexed="64"/>
      </patternFill>
    </fill>
    <fill>
      <patternFill patternType="solid">
        <fgColor indexed="11"/>
        <bgColor indexed="64"/>
      </patternFill>
    </fill>
    <fill>
      <patternFill patternType="solid">
        <fgColor indexed="31"/>
        <bgColor indexed="64"/>
      </patternFill>
    </fill>
    <fill>
      <patternFill patternType="solid">
        <fgColor indexed="41"/>
        <bgColor indexed="64"/>
      </patternFill>
    </fill>
    <fill>
      <patternFill patternType="solid">
        <fgColor indexed="43"/>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FFFF99"/>
        <bgColor indexed="64"/>
      </patternFill>
    </fill>
    <fill>
      <patternFill patternType="solid">
        <fgColor theme="2" tint="-0.499984740745262"/>
        <bgColor indexed="64"/>
      </patternFill>
    </fill>
  </fills>
  <borders count="9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hair">
        <color indexed="64"/>
      </right>
      <top/>
      <bottom/>
      <diagonal/>
    </border>
    <border>
      <left style="hair">
        <color indexed="64"/>
      </left>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medium">
        <color indexed="64"/>
      </top>
      <bottom style="thin">
        <color indexed="64"/>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s>
  <cellStyleXfs count="14">
    <xf numFmtId="0" fontId="0" fillId="0" borderId="0">
      <alignment vertical="center"/>
    </xf>
    <xf numFmtId="0" fontId="4" fillId="0" borderId="0">
      <alignment vertical="center"/>
    </xf>
    <xf numFmtId="0" fontId="4" fillId="0" borderId="0">
      <alignment vertical="center"/>
    </xf>
    <xf numFmtId="0" fontId="11" fillId="0" borderId="0" applyNumberFormat="0" applyFill="0" applyBorder="0" applyAlignment="0" applyProtection="0"/>
    <xf numFmtId="0" fontId="1" fillId="0" borderId="0"/>
    <xf numFmtId="0" fontId="4" fillId="0" borderId="0"/>
    <xf numFmtId="0" fontId="4" fillId="0" borderId="0">
      <alignment vertical="center"/>
    </xf>
    <xf numFmtId="0" fontId="34" fillId="0" borderId="0" applyNumberFormat="0" applyFill="0" applyBorder="0" applyAlignment="0" applyProtection="0"/>
    <xf numFmtId="0" fontId="4" fillId="0" borderId="0"/>
    <xf numFmtId="0" fontId="1" fillId="0" borderId="0"/>
    <xf numFmtId="6" fontId="4" fillId="0" borderId="0" applyFont="0" applyFill="0" applyBorder="0" applyAlignment="0" applyProtection="0">
      <alignment vertical="center"/>
    </xf>
    <xf numFmtId="0" fontId="1" fillId="0" borderId="0"/>
    <xf numFmtId="0" fontId="45" fillId="0" borderId="0">
      <alignment vertical="center"/>
    </xf>
    <xf numFmtId="0" fontId="45" fillId="0" borderId="0">
      <alignment vertical="center"/>
    </xf>
  </cellStyleXfs>
  <cellXfs count="667">
    <xf numFmtId="0" fontId="0" fillId="0" borderId="0" xfId="0">
      <alignment vertical="center"/>
    </xf>
    <xf numFmtId="0" fontId="4" fillId="0" borderId="0" xfId="1">
      <alignment vertical="center"/>
    </xf>
    <xf numFmtId="0" fontId="12" fillId="0" borderId="0" xfId="1" applyFont="1">
      <alignment vertical="center"/>
    </xf>
    <xf numFmtId="0" fontId="1" fillId="0" borderId="0" xfId="4"/>
    <xf numFmtId="0" fontId="12" fillId="0" borderId="0" xfId="4" applyFont="1" applyAlignment="1">
      <alignment horizontal="right"/>
    </xf>
    <xf numFmtId="0" fontId="4" fillId="0" borderId="0" xfId="4" applyFont="1" applyAlignment="1">
      <alignment vertical="center"/>
    </xf>
    <xf numFmtId="49" fontId="18" fillId="4" borderId="15" xfId="4" applyNumberFormat="1" applyFont="1" applyFill="1" applyBorder="1" applyAlignment="1">
      <alignment horizontal="center" vertical="center"/>
    </xf>
    <xf numFmtId="49" fontId="19" fillId="0" borderId="15" xfId="4" applyNumberFormat="1" applyFont="1" applyBorder="1" applyAlignment="1">
      <alignment horizontal="center" vertical="center"/>
    </xf>
    <xf numFmtId="49" fontId="19" fillId="0" borderId="36" xfId="4" applyNumberFormat="1" applyFont="1" applyBorder="1" applyAlignment="1">
      <alignment horizontal="center" vertical="center"/>
    </xf>
    <xf numFmtId="49" fontId="19" fillId="0" borderId="45" xfId="4" applyNumberFormat="1" applyFont="1" applyBorder="1" applyAlignment="1">
      <alignment horizontal="center" vertical="center"/>
    </xf>
    <xf numFmtId="49" fontId="4" fillId="0" borderId="45" xfId="4" applyNumberFormat="1" applyFont="1" applyBorder="1" applyAlignment="1">
      <alignment vertical="center"/>
    </xf>
    <xf numFmtId="49" fontId="4" fillId="0" borderId="36" xfId="4" applyNumberFormat="1" applyFont="1" applyBorder="1" applyAlignment="1">
      <alignment vertical="center"/>
    </xf>
    <xf numFmtId="0" fontId="14" fillId="0" borderId="0" xfId="4" applyFont="1"/>
    <xf numFmtId="0" fontId="20" fillId="5" borderId="0" xfId="4" applyFont="1" applyFill="1" applyAlignment="1">
      <alignment horizontal="left" vertical="center"/>
    </xf>
    <xf numFmtId="0" fontId="4" fillId="0" borderId="0" xfId="4" applyFont="1"/>
    <xf numFmtId="0" fontId="21" fillId="0" borderId="0" xfId="4" applyFont="1" applyAlignment="1">
      <alignment horizontal="center" vertical="center"/>
    </xf>
    <xf numFmtId="0" fontId="21" fillId="6" borderId="0" xfId="4" applyFont="1" applyFill="1"/>
    <xf numFmtId="0" fontId="21" fillId="0" borderId="0" xfId="4" applyFont="1"/>
    <xf numFmtId="0" fontId="4" fillId="0" borderId="45" xfId="4" applyFont="1" applyBorder="1" applyAlignment="1">
      <alignment horizontal="center" vertical="center"/>
    </xf>
    <xf numFmtId="0" fontId="4" fillId="0" borderId="41" xfId="4" applyFont="1" applyBorder="1" applyAlignment="1">
      <alignment horizontal="center" vertical="center"/>
    </xf>
    <xf numFmtId="0" fontId="4" fillId="0" borderId="47" xfId="4" applyFont="1" applyBorder="1" applyAlignment="1">
      <alignment horizontal="center" vertical="center"/>
    </xf>
    <xf numFmtId="0" fontId="21" fillId="7" borderId="0" xfId="4" applyFont="1" applyFill="1"/>
    <xf numFmtId="0" fontId="4" fillId="0" borderId="48" xfId="4" applyFont="1" applyBorder="1" applyAlignment="1">
      <alignment horizontal="center" vertical="center"/>
    </xf>
    <xf numFmtId="0" fontId="4" fillId="0" borderId="45" xfId="4" applyFont="1" applyBorder="1" applyAlignment="1">
      <alignment vertical="center" wrapText="1"/>
    </xf>
    <xf numFmtId="0" fontId="4" fillId="0" borderId="41" xfId="4" applyFont="1" applyBorder="1" applyAlignment="1">
      <alignment vertical="center" wrapText="1"/>
    </xf>
    <xf numFmtId="0" fontId="4" fillId="0" borderId="47" xfId="4" applyFont="1" applyBorder="1" applyAlignment="1">
      <alignment vertical="center" wrapText="1"/>
    </xf>
    <xf numFmtId="0" fontId="22" fillId="8" borderId="2" xfId="4" applyFont="1" applyFill="1" applyBorder="1" applyAlignment="1">
      <alignment horizontal="center" vertical="center"/>
    </xf>
    <xf numFmtId="0" fontId="9" fillId="8" borderId="2" xfId="4" applyFont="1" applyFill="1" applyBorder="1" applyAlignment="1">
      <alignment horizontal="center" vertical="center"/>
    </xf>
    <xf numFmtId="0" fontId="22" fillId="8" borderId="7" xfId="4" applyFont="1" applyFill="1" applyBorder="1" applyAlignment="1">
      <alignment horizontal="center" vertical="center"/>
    </xf>
    <xf numFmtId="0" fontId="9" fillId="8" borderId="7" xfId="4" applyFont="1" applyFill="1" applyBorder="1" applyAlignment="1">
      <alignment horizontal="center" vertical="center"/>
    </xf>
    <xf numFmtId="0" fontId="22" fillId="8" borderId="15" xfId="4" applyFont="1" applyFill="1" applyBorder="1" applyAlignment="1">
      <alignment horizontal="center" vertical="center"/>
    </xf>
    <xf numFmtId="0" fontId="4" fillId="8" borderId="2" xfId="4" applyFont="1" applyFill="1" applyBorder="1" applyAlignment="1">
      <alignment horizontal="center" vertical="center"/>
    </xf>
    <xf numFmtId="0" fontId="4" fillId="8" borderId="7" xfId="4" applyFont="1" applyFill="1" applyBorder="1" applyAlignment="1">
      <alignment horizontal="center" vertical="center"/>
    </xf>
    <xf numFmtId="0" fontId="4" fillId="8" borderId="15" xfId="4" applyFont="1" applyFill="1" applyBorder="1" applyAlignment="1">
      <alignment horizontal="center" vertical="center"/>
    </xf>
    <xf numFmtId="0" fontId="8" fillId="0" borderId="1" xfId="4" applyFont="1" applyBorder="1" applyAlignment="1">
      <alignment vertical="center"/>
    </xf>
    <xf numFmtId="0" fontId="8" fillId="0" borderId="1" xfId="4" applyFont="1" applyBorder="1"/>
    <xf numFmtId="0" fontId="8" fillId="0" borderId="0" xfId="4" applyFont="1"/>
    <xf numFmtId="0" fontId="8" fillId="0" borderId="5" xfId="4" applyFont="1" applyBorder="1"/>
    <xf numFmtId="0" fontId="12" fillId="0" borderId="12" xfId="4" applyFont="1" applyBorder="1" applyAlignment="1">
      <alignment horizontal="center" vertical="center"/>
    </xf>
    <xf numFmtId="0" fontId="12" fillId="0" borderId="12" xfId="4" applyFont="1" applyBorder="1" applyAlignment="1">
      <alignment vertical="center"/>
    </xf>
    <xf numFmtId="0" fontId="12" fillId="0" borderId="12" xfId="4" applyFont="1" applyBorder="1" applyAlignment="1">
      <alignment horizontal="center" vertical="center" shrinkToFit="1"/>
    </xf>
    <xf numFmtId="0" fontId="12" fillId="0" borderId="15" xfId="4" applyFont="1" applyBorder="1" applyAlignment="1">
      <alignment horizontal="center" vertical="center"/>
    </xf>
    <xf numFmtId="0" fontId="12" fillId="0" borderId="5" xfId="4" applyFont="1" applyBorder="1" applyAlignment="1">
      <alignment horizontal="center" vertical="center"/>
    </xf>
    <xf numFmtId="0" fontId="12" fillId="0" borderId="7" xfId="4" applyFont="1" applyBorder="1" applyAlignment="1">
      <alignment horizontal="center" vertical="center"/>
    </xf>
    <xf numFmtId="0" fontId="12" fillId="0" borderId="11" xfId="4" applyFont="1" applyBorder="1" applyAlignment="1">
      <alignment horizontal="center" vertical="center"/>
    </xf>
    <xf numFmtId="0" fontId="12" fillId="0" borderId="12" xfId="4" applyFont="1" applyBorder="1" applyAlignment="1">
      <alignment horizontal="center"/>
    </xf>
    <xf numFmtId="0" fontId="12" fillId="0" borderId="15" xfId="4" applyFont="1" applyBorder="1" applyAlignment="1">
      <alignment horizontal="center"/>
    </xf>
    <xf numFmtId="0" fontId="12" fillId="0" borderId="11" xfId="4" applyFont="1" applyBorder="1" applyAlignment="1">
      <alignment horizontal="center"/>
    </xf>
    <xf numFmtId="0" fontId="12" fillId="0" borderId="12" xfId="4" applyFont="1" applyBorder="1" applyAlignment="1">
      <alignment horizontal="center" wrapText="1"/>
    </xf>
    <xf numFmtId="0" fontId="8" fillId="0" borderId="0" xfId="4" applyFont="1" applyAlignment="1">
      <alignment vertical="center"/>
    </xf>
    <xf numFmtId="0" fontId="21" fillId="0" borderId="1" xfId="4" applyFont="1" applyBorder="1" applyAlignment="1">
      <alignment vertical="center"/>
    </xf>
    <xf numFmtId="0" fontId="12" fillId="0" borderId="0" xfId="4" applyFont="1" applyAlignment="1">
      <alignment vertical="center"/>
    </xf>
    <xf numFmtId="0" fontId="8" fillId="0" borderId="5" xfId="4" applyFont="1" applyBorder="1" applyAlignment="1">
      <alignment horizontal="center"/>
    </xf>
    <xf numFmtId="0" fontId="8" fillId="0" borderId="5" xfId="4" applyFont="1" applyBorder="1" applyAlignment="1">
      <alignment horizontal="center" vertical="center"/>
    </xf>
    <xf numFmtId="0" fontId="8" fillId="0" borderId="7" xfId="4" applyFont="1" applyBorder="1" applyAlignment="1">
      <alignment horizontal="center" vertical="center"/>
    </xf>
    <xf numFmtId="0" fontId="8" fillId="0" borderId="7" xfId="4" applyFont="1" applyBorder="1"/>
    <xf numFmtId="0" fontId="8" fillId="0" borderId="15" xfId="4" applyFont="1" applyBorder="1"/>
    <xf numFmtId="0" fontId="12" fillId="0" borderId="0" xfId="4" applyFont="1"/>
    <xf numFmtId="0" fontId="8" fillId="8" borderId="7" xfId="4" applyFont="1" applyFill="1" applyBorder="1" applyAlignment="1">
      <alignment horizontal="center" vertical="center"/>
    </xf>
    <xf numFmtId="0" fontId="25" fillId="0" borderId="0" xfId="4" applyFont="1" applyAlignment="1">
      <alignment horizontal="justify" vertical="center"/>
    </xf>
    <xf numFmtId="0" fontId="16" fillId="0" borderId="0" xfId="4" applyFont="1" applyAlignment="1">
      <alignment horizontal="justify" vertical="center"/>
    </xf>
    <xf numFmtId="0" fontId="8" fillId="0" borderId="0" xfId="4" applyFont="1" applyAlignment="1">
      <alignment vertical="top" readingOrder="1"/>
    </xf>
    <xf numFmtId="0" fontId="27" fillId="0" borderId="0" xfId="4" applyFont="1"/>
    <xf numFmtId="0" fontId="8" fillId="0" borderId="0" xfId="4" applyFont="1" applyAlignment="1">
      <alignment horizontal="right"/>
    </xf>
    <xf numFmtId="0" fontId="28" fillId="0" borderId="0" xfId="3" applyFont="1"/>
    <xf numFmtId="0" fontId="9" fillId="0" borderId="0" xfId="4" applyFont="1"/>
    <xf numFmtId="0" fontId="29" fillId="0" borderId="0" xfId="0" applyFont="1" applyAlignment="1">
      <alignment horizontal="left" vertical="top" readingOrder="1"/>
    </xf>
    <xf numFmtId="0" fontId="4" fillId="0" borderId="0" xfId="4" applyFont="1" applyAlignment="1">
      <alignment horizontal="justify" vertical="center"/>
    </xf>
    <xf numFmtId="0" fontId="4" fillId="3" borderId="0" xfId="4" applyFont="1" applyFill="1" applyAlignment="1">
      <alignment vertical="center"/>
    </xf>
    <xf numFmtId="0" fontId="4" fillId="0" borderId="0" xfId="4" applyFont="1" applyAlignment="1">
      <alignment horizontal="right"/>
    </xf>
    <xf numFmtId="0" fontId="9" fillId="0" borderId="0" xfId="4" applyFont="1" applyAlignment="1">
      <alignment vertical="top"/>
    </xf>
    <xf numFmtId="0" fontId="17" fillId="0" borderId="0" xfId="4" applyFont="1" applyAlignment="1">
      <alignment vertical="top" readingOrder="1"/>
    </xf>
    <xf numFmtId="0" fontId="31" fillId="0" borderId="0" xfId="3" applyFont="1"/>
    <xf numFmtId="0" fontId="6" fillId="0" borderId="0" xfId="4" applyFont="1"/>
    <xf numFmtId="49" fontId="16" fillId="0" borderId="0" xfId="4" applyNumberFormat="1" applyFont="1" applyAlignment="1">
      <alignment vertical="center"/>
    </xf>
    <xf numFmtId="0" fontId="4" fillId="0" borderId="0" xfId="4" applyFont="1" applyAlignment="1">
      <alignment horizontal="left" vertical="center"/>
    </xf>
    <xf numFmtId="0" fontId="8" fillId="0" borderId="12" xfId="4" applyFont="1" applyBorder="1" applyAlignment="1">
      <alignment horizontal="center" vertical="center"/>
    </xf>
    <xf numFmtId="0" fontId="8" fillId="0" borderId="0" xfId="4" applyFont="1" applyAlignment="1">
      <alignment wrapText="1"/>
    </xf>
    <xf numFmtId="0" fontId="7" fillId="0" borderId="0" xfId="4" applyFont="1" applyAlignment="1">
      <alignment vertical="center"/>
    </xf>
    <xf numFmtId="0" fontId="12" fillId="0" borderId="0" xfId="4" applyFont="1" applyAlignment="1">
      <alignment horizontal="justify" vertical="center"/>
    </xf>
    <xf numFmtId="0" fontId="21" fillId="2" borderId="0" xfId="4" applyFont="1" applyFill="1" applyAlignment="1">
      <alignment horizontal="justify" vertical="center"/>
    </xf>
    <xf numFmtId="0" fontId="21" fillId="0" borderId="0" xfId="4" applyFont="1" applyAlignment="1">
      <alignment horizontal="justify" vertical="center"/>
    </xf>
    <xf numFmtId="0" fontId="4" fillId="0" borderId="0" xfId="4" applyFont="1" applyAlignment="1">
      <alignment wrapText="1"/>
    </xf>
    <xf numFmtId="0" fontId="13" fillId="0" borderId="0" xfId="5" applyFont="1" applyAlignment="1">
      <alignment vertical="center"/>
    </xf>
    <xf numFmtId="0" fontId="4" fillId="0" borderId="0" xfId="5"/>
    <xf numFmtId="0" fontId="4" fillId="0" borderId="0" xfId="5" applyAlignment="1">
      <alignment vertical="center"/>
    </xf>
    <xf numFmtId="0" fontId="12" fillId="0" borderId="0" xfId="5" applyFont="1" applyAlignment="1">
      <alignment horizontal="center" vertical="center"/>
    </xf>
    <xf numFmtId="49" fontId="9" fillId="0" borderId="2" xfId="5" applyNumberFormat="1" applyFont="1" applyBorder="1" applyAlignment="1">
      <alignment horizontal="center" vertical="center" wrapText="1"/>
    </xf>
    <xf numFmtId="49" fontId="9" fillId="0" borderId="5" xfId="5" applyNumberFormat="1" applyFont="1" applyBorder="1" applyAlignment="1">
      <alignment horizontal="center" vertical="center" wrapText="1"/>
    </xf>
    <xf numFmtId="49" fontId="9" fillId="0" borderId="56" xfId="5" applyNumberFormat="1" applyFont="1" applyBorder="1" applyAlignment="1">
      <alignment horizontal="center" vertical="center" wrapText="1"/>
    </xf>
    <xf numFmtId="0" fontId="13" fillId="9" borderId="15" xfId="5" applyFont="1" applyFill="1" applyBorder="1" applyAlignment="1">
      <alignment horizontal="center" vertical="center"/>
    </xf>
    <xf numFmtId="0" fontId="4" fillId="0" borderId="0" xfId="5" applyAlignment="1">
      <alignment horizontal="right"/>
    </xf>
    <xf numFmtId="0" fontId="8" fillId="0" borderId="0" xfId="5" applyFont="1"/>
    <xf numFmtId="0" fontId="8" fillId="0" borderId="0" xfId="8" applyFont="1" applyAlignment="1" applyProtection="1">
      <alignment vertical="center" wrapText="1"/>
      <protection locked="0"/>
    </xf>
    <xf numFmtId="0" fontId="8" fillId="0" borderId="0" xfId="9" applyFont="1" applyAlignment="1">
      <alignment vertical="center" wrapText="1"/>
    </xf>
    <xf numFmtId="0" fontId="8" fillId="0" borderId="0" xfId="5" applyFont="1" applyAlignment="1">
      <alignment vertical="center"/>
    </xf>
    <xf numFmtId="0" fontId="8" fillId="0" borderId="0" xfId="5" applyFont="1" applyAlignment="1">
      <alignment vertical="center" wrapText="1"/>
    </xf>
    <xf numFmtId="0" fontId="4" fillId="0" borderId="74" xfId="5" applyBorder="1"/>
    <xf numFmtId="0" fontId="4" fillId="0" borderId="68" xfId="5" applyBorder="1"/>
    <xf numFmtId="0" fontId="4" fillId="0" borderId="75" xfId="5" applyBorder="1"/>
    <xf numFmtId="0" fontId="4" fillId="0" borderId="14" xfId="5" applyBorder="1"/>
    <xf numFmtId="0" fontId="4" fillId="0" borderId="13" xfId="5" applyBorder="1"/>
    <xf numFmtId="0" fontId="4" fillId="0" borderId="13" xfId="5" applyBorder="1" applyAlignment="1">
      <alignment vertical="center"/>
    </xf>
    <xf numFmtId="0" fontId="8" fillId="0" borderId="14" xfId="5" applyFont="1" applyBorder="1"/>
    <xf numFmtId="0" fontId="4" fillId="0" borderId="76" xfId="5" applyBorder="1"/>
    <xf numFmtId="0" fontId="4" fillId="0" borderId="65" xfId="5" applyBorder="1"/>
    <xf numFmtId="0" fontId="4" fillId="0" borderId="77" xfId="5" applyBorder="1"/>
    <xf numFmtId="0" fontId="12" fillId="0" borderId="0" xfId="5" applyFont="1"/>
    <xf numFmtId="0" fontId="14" fillId="0" borderId="0" xfId="5" applyFont="1"/>
    <xf numFmtId="0" fontId="14" fillId="0" borderId="74" xfId="5" applyFont="1" applyBorder="1" applyAlignment="1">
      <alignment horizontal="left"/>
    </xf>
    <xf numFmtId="0" fontId="14" fillId="0" borderId="68" xfId="5" applyFont="1" applyBorder="1" applyAlignment="1">
      <alignment horizontal="left"/>
    </xf>
    <xf numFmtId="0" fontId="4" fillId="0" borderId="0" xfId="5" applyAlignment="1">
      <alignment vertical="top" wrapText="1"/>
    </xf>
    <xf numFmtId="0" fontId="4" fillId="0" borderId="14" xfId="5" applyBorder="1" applyAlignment="1">
      <alignment vertical="top" wrapText="1"/>
    </xf>
    <xf numFmtId="0" fontId="4" fillId="0" borderId="0" xfId="5" applyAlignment="1">
      <alignment vertical="top"/>
    </xf>
    <xf numFmtId="0" fontId="13" fillId="0" borderId="14" xfId="5" applyFont="1" applyBorder="1" applyAlignment="1">
      <alignment vertical="top"/>
    </xf>
    <xf numFmtId="0" fontId="8" fillId="0" borderId="65" xfId="5" applyFont="1" applyBorder="1" applyAlignment="1">
      <alignment vertical="center" wrapText="1"/>
    </xf>
    <xf numFmtId="0" fontId="12" fillId="0" borderId="0" xfId="5" applyFont="1" applyAlignment="1">
      <alignment vertical="center"/>
    </xf>
    <xf numFmtId="0" fontId="12" fillId="0" borderId="0" xfId="5" applyFont="1" applyAlignment="1">
      <alignment vertical="top"/>
    </xf>
    <xf numFmtId="0" fontId="12" fillId="0" borderId="14" xfId="5" applyFont="1" applyBorder="1"/>
    <xf numFmtId="0" fontId="9" fillId="5" borderId="28" xfId="8" applyFont="1" applyFill="1" applyBorder="1" applyAlignment="1" applyProtection="1">
      <alignment horizontal="center" vertical="center"/>
      <protection locked="0"/>
    </xf>
    <xf numFmtId="0" fontId="9" fillId="0" borderId="48" xfId="8" applyFont="1" applyBorder="1" applyAlignment="1" applyProtection="1">
      <alignment horizontal="center" vertical="center"/>
      <protection locked="0"/>
    </xf>
    <xf numFmtId="0" fontId="9" fillId="0" borderId="0" xfId="5" applyFont="1"/>
    <xf numFmtId="0" fontId="12" fillId="0" borderId="14" xfId="1" applyFont="1" applyBorder="1">
      <alignment vertical="center"/>
    </xf>
    <xf numFmtId="0" fontId="9" fillId="0" borderId="0" xfId="5" applyFont="1" applyAlignment="1">
      <alignment vertical="center"/>
    </xf>
    <xf numFmtId="0" fontId="4" fillId="0" borderId="48" xfId="4" applyFont="1" applyBorder="1" applyAlignment="1">
      <alignment vertical="center" wrapText="1"/>
    </xf>
    <xf numFmtId="0" fontId="4" fillId="0" borderId="0" xfId="4" applyFont="1" applyAlignment="1">
      <alignment horizontal="left" vertical="center" wrapText="1"/>
    </xf>
    <xf numFmtId="0" fontId="11" fillId="0" borderId="0" xfId="3"/>
    <xf numFmtId="0" fontId="38" fillId="0" borderId="0" xfId="3" applyFont="1"/>
    <xf numFmtId="0" fontId="4" fillId="0" borderId="0" xfId="4" applyFont="1" applyAlignment="1">
      <alignment vertical="top"/>
    </xf>
    <xf numFmtId="0" fontId="39" fillId="0" borderId="0" xfId="0" applyFont="1" applyAlignment="1"/>
    <xf numFmtId="0" fontId="40" fillId="0" borderId="0" xfId="0" applyFont="1" applyAlignment="1"/>
    <xf numFmtId="0" fontId="41" fillId="0" borderId="0" xfId="0" applyFont="1" applyAlignment="1"/>
    <xf numFmtId="0" fontId="39" fillId="0" borderId="2" xfId="0" applyFont="1" applyBorder="1" applyAlignment="1"/>
    <xf numFmtId="0" fontId="39" fillId="0" borderId="3" xfId="0" applyFont="1" applyBorder="1" applyAlignment="1"/>
    <xf numFmtId="0" fontId="39" fillId="0" borderId="4" xfId="0" applyFont="1" applyBorder="1" applyAlignment="1"/>
    <xf numFmtId="0" fontId="39" fillId="0" borderId="5" xfId="0" applyFont="1" applyBorder="1" applyAlignment="1"/>
    <xf numFmtId="0" fontId="39" fillId="0" borderId="6" xfId="0" applyFont="1" applyBorder="1" applyAlignment="1"/>
    <xf numFmtId="0" fontId="39" fillId="0" borderId="7" xfId="0" applyFont="1" applyBorder="1" applyAlignment="1"/>
    <xf numFmtId="0" fontId="39" fillId="0" borderId="1" xfId="0" applyFont="1" applyBorder="1" applyAlignment="1"/>
    <xf numFmtId="0" fontId="39" fillId="0" borderId="8" xfId="0" applyFont="1" applyBorder="1" applyAlignment="1"/>
    <xf numFmtId="0" fontId="42" fillId="0" borderId="0" xfId="0" applyFont="1" applyAlignment="1"/>
    <xf numFmtId="0" fontId="4" fillId="13" borderId="29" xfId="4" applyFont="1" applyFill="1" applyBorder="1" applyAlignment="1">
      <alignment horizontal="center" vertical="center"/>
    </xf>
    <xf numFmtId="0" fontId="4" fillId="13" borderId="32" xfId="4" applyFont="1" applyFill="1" applyBorder="1" applyAlignment="1">
      <alignment horizontal="center" vertical="center" wrapText="1"/>
    </xf>
    <xf numFmtId="0" fontId="9" fillId="13" borderId="21" xfId="4" applyFont="1" applyFill="1" applyBorder="1" applyAlignment="1">
      <alignment horizontal="center" vertical="center"/>
    </xf>
    <xf numFmtId="0" fontId="4" fillId="13" borderId="45" xfId="4" applyFont="1" applyFill="1" applyBorder="1" applyAlignment="1">
      <alignment horizontal="center" vertical="center" wrapText="1"/>
    </xf>
    <xf numFmtId="0" fontId="4" fillId="13" borderId="30" xfId="4" applyFont="1" applyFill="1" applyBorder="1" applyAlignment="1">
      <alignment horizontal="center" vertical="center"/>
    </xf>
    <xf numFmtId="0" fontId="21" fillId="0" borderId="1" xfId="11" applyFont="1" applyBorder="1" applyAlignment="1">
      <alignment vertical="center"/>
    </xf>
    <xf numFmtId="0" fontId="8" fillId="0" borderId="1" xfId="11" applyFont="1" applyBorder="1" applyAlignment="1">
      <alignment vertical="center"/>
    </xf>
    <xf numFmtId="0" fontId="8" fillId="0" borderId="0" xfId="11" applyFont="1" applyAlignment="1">
      <alignment vertical="center"/>
    </xf>
    <xf numFmtId="0" fontId="8" fillId="0" borderId="1" xfId="11" applyFont="1" applyBorder="1"/>
    <xf numFmtId="0" fontId="8" fillId="15" borderId="1" xfId="11" applyFont="1" applyFill="1" applyBorder="1"/>
    <xf numFmtId="0" fontId="12" fillId="0" borderId="0" xfId="11" applyFont="1" applyAlignment="1">
      <alignment vertical="center"/>
    </xf>
    <xf numFmtId="0" fontId="8" fillId="0" borderId="0" xfId="11" applyFont="1"/>
    <xf numFmtId="0" fontId="4" fillId="8" borderId="2" xfId="11" applyFont="1" applyFill="1" applyBorder="1" applyAlignment="1">
      <alignment horizontal="center" vertical="center"/>
    </xf>
    <xf numFmtId="0" fontId="43" fillId="8" borderId="2" xfId="11" applyFont="1" applyFill="1" applyBorder="1" applyAlignment="1">
      <alignment horizontal="center" vertical="center"/>
    </xf>
    <xf numFmtId="0" fontId="9" fillId="8" borderId="2" xfId="11" applyFont="1" applyFill="1" applyBorder="1" applyAlignment="1">
      <alignment horizontal="center" vertical="center"/>
    </xf>
    <xf numFmtId="0" fontId="4" fillId="15" borderId="3" xfId="11" applyFont="1" applyFill="1" applyBorder="1" applyAlignment="1">
      <alignment horizontal="center" vertical="center"/>
    </xf>
    <xf numFmtId="0" fontId="22" fillId="8" borderId="2" xfId="11" applyFont="1" applyFill="1" applyBorder="1" applyAlignment="1">
      <alignment horizontal="center" vertical="center"/>
    </xf>
    <xf numFmtId="0" fontId="4" fillId="0" borderId="0" xfId="11" applyFont="1" applyAlignment="1">
      <alignment vertical="center"/>
    </xf>
    <xf numFmtId="0" fontId="4" fillId="8" borderId="7" xfId="11" applyFont="1" applyFill="1" applyBorder="1" applyAlignment="1">
      <alignment horizontal="center" vertical="center"/>
    </xf>
    <xf numFmtId="0" fontId="43" fillId="8" borderId="7" xfId="11" applyFont="1" applyFill="1" applyBorder="1" applyAlignment="1">
      <alignment horizontal="center" vertical="center"/>
    </xf>
    <xf numFmtId="0" fontId="9" fillId="8" borderId="7" xfId="11" applyFont="1" applyFill="1" applyBorder="1" applyAlignment="1">
      <alignment horizontal="center" vertical="center"/>
    </xf>
    <xf numFmtId="0" fontId="8" fillId="8" borderId="7" xfId="11" applyFont="1" applyFill="1" applyBorder="1" applyAlignment="1">
      <alignment horizontal="center" vertical="center"/>
    </xf>
    <xf numFmtId="0" fontId="4" fillId="8" borderId="15" xfId="11" applyFont="1" applyFill="1" applyBorder="1" applyAlignment="1">
      <alignment horizontal="center" vertical="center"/>
    </xf>
    <xf numFmtId="0" fontId="4" fillId="15" borderId="7" xfId="11" applyFont="1" applyFill="1" applyBorder="1" applyAlignment="1">
      <alignment horizontal="center" vertical="center"/>
    </xf>
    <xf numFmtId="0" fontId="22" fillId="8" borderId="7" xfId="11" applyFont="1" applyFill="1" applyBorder="1" applyAlignment="1">
      <alignment horizontal="center" vertical="center"/>
    </xf>
    <xf numFmtId="0" fontId="22" fillId="8" borderId="15" xfId="11" applyFont="1" applyFill="1" applyBorder="1" applyAlignment="1">
      <alignment horizontal="center" vertical="center"/>
    </xf>
    <xf numFmtId="0" fontId="8" fillId="15" borderId="11" xfId="11" applyFont="1" applyFill="1" applyBorder="1" applyAlignment="1">
      <alignment horizontal="left" vertical="top"/>
    </xf>
    <xf numFmtId="0" fontId="12" fillId="0" borderId="5" xfId="11" applyFont="1" applyBorder="1" applyAlignment="1">
      <alignment horizontal="center" vertical="center"/>
    </xf>
    <xf numFmtId="0" fontId="8" fillId="15" borderId="12" xfId="11" applyFont="1" applyFill="1" applyBorder="1" applyAlignment="1">
      <alignment horizontal="left" vertical="top"/>
    </xf>
    <xf numFmtId="0" fontId="12" fillId="0" borderId="7" xfId="11" applyFont="1" applyBorder="1" applyAlignment="1">
      <alignment horizontal="center" vertical="center"/>
    </xf>
    <xf numFmtId="0" fontId="8" fillId="15" borderId="15" xfId="11" applyFont="1" applyFill="1" applyBorder="1" applyAlignment="1">
      <alignment horizontal="left" vertical="top"/>
    </xf>
    <xf numFmtId="0" fontId="8" fillId="15" borderId="11" xfId="11" applyFont="1" applyFill="1" applyBorder="1" applyAlignment="1">
      <alignment horizontal="left" vertical="top" wrapText="1"/>
    </xf>
    <xf numFmtId="0" fontId="8" fillId="0" borderId="12" xfId="11" applyFont="1" applyBorder="1" applyAlignment="1">
      <alignment horizontal="center" vertical="center"/>
    </xf>
    <xf numFmtId="0" fontId="12" fillId="0" borderId="12" xfId="11" applyFont="1" applyBorder="1" applyAlignment="1">
      <alignment horizontal="center" vertical="center"/>
    </xf>
    <xf numFmtId="0" fontId="12" fillId="0" borderId="12" xfId="11" applyFont="1" applyBorder="1" applyAlignment="1">
      <alignment vertical="center"/>
    </xf>
    <xf numFmtId="0" fontId="12" fillId="0" borderId="12" xfId="11" applyFont="1" applyBorder="1" applyAlignment="1">
      <alignment horizontal="center" vertical="center" shrinkToFit="1"/>
    </xf>
    <xf numFmtId="0" fontId="12" fillId="0" borderId="15" xfId="11" applyFont="1" applyBorder="1" applyAlignment="1">
      <alignment horizontal="center" vertical="center"/>
    </xf>
    <xf numFmtId="0" fontId="8" fillId="15" borderId="12" xfId="11" applyFont="1" applyFill="1" applyBorder="1" applyAlignment="1">
      <alignment horizontal="left" vertical="top" wrapText="1"/>
    </xf>
    <xf numFmtId="0" fontId="44" fillId="0" borderId="0" xfId="11" applyFont="1"/>
    <xf numFmtId="0" fontId="44" fillId="0" borderId="0" xfId="11" applyFont="1" applyAlignment="1">
      <alignment vertical="center"/>
    </xf>
    <xf numFmtId="0" fontId="8" fillId="0" borderId="0" xfId="11" applyFont="1" applyAlignment="1">
      <alignment wrapText="1"/>
    </xf>
    <xf numFmtId="0" fontId="0" fillId="0" borderId="0" xfId="0" applyAlignment="1">
      <alignment vertical="center" wrapText="1"/>
    </xf>
    <xf numFmtId="0" fontId="4" fillId="13" borderId="78" xfId="11" applyFont="1" applyFill="1" applyBorder="1" applyAlignment="1">
      <alignment horizontal="center" vertical="center"/>
    </xf>
    <xf numFmtId="0" fontId="4" fillId="13" borderId="31" xfId="11" applyFont="1" applyFill="1" applyBorder="1" applyAlignment="1">
      <alignment horizontal="center" vertical="center"/>
    </xf>
    <xf numFmtId="0" fontId="8" fillId="13" borderId="33" xfId="11" applyFont="1" applyFill="1" applyBorder="1" applyAlignment="1">
      <alignment horizontal="center" vertical="center" wrapText="1"/>
    </xf>
    <xf numFmtId="0" fontId="4" fillId="13" borderId="50" xfId="11" applyFont="1" applyFill="1" applyBorder="1" applyAlignment="1">
      <alignment horizontal="center" vertical="center"/>
    </xf>
    <xf numFmtId="49" fontId="18" fillId="4" borderId="56" xfId="4" applyNumberFormat="1" applyFont="1" applyFill="1" applyBorder="1" applyAlignment="1">
      <alignment horizontal="center" vertical="center"/>
    </xf>
    <xf numFmtId="49" fontId="18" fillId="4" borderId="32" xfId="11" applyNumberFormat="1" applyFont="1" applyFill="1" applyBorder="1" applyAlignment="1">
      <alignment horizontal="center" vertical="center"/>
    </xf>
    <xf numFmtId="0" fontId="36" fillId="0" borderId="0" xfId="12" applyFont="1">
      <alignment vertical="center"/>
    </xf>
    <xf numFmtId="0" fontId="9" fillId="0" borderId="41" xfId="11" applyFont="1" applyBorder="1" applyAlignment="1">
      <alignment horizontal="center" vertical="center" wrapText="1"/>
    </xf>
    <xf numFmtId="0" fontId="9" fillId="0" borderId="0" xfId="11" applyFont="1" applyAlignment="1">
      <alignment horizontal="left" vertical="center"/>
    </xf>
    <xf numFmtId="0" fontId="9" fillId="0" borderId="47" xfId="11" applyFont="1" applyBorder="1" applyAlignment="1">
      <alignment horizontal="center" vertical="center" wrapText="1"/>
    </xf>
    <xf numFmtId="0" fontId="12" fillId="0" borderId="0" xfId="11" applyFont="1" applyAlignment="1">
      <alignment horizontal="left" vertical="center"/>
    </xf>
    <xf numFmtId="0" fontId="33" fillId="0" borderId="0" xfId="5" applyFont="1" applyAlignment="1">
      <alignment horizontal="left" vertical="top"/>
    </xf>
    <xf numFmtId="0" fontId="13" fillId="0" borderId="3" xfId="6" applyFont="1" applyBorder="1" applyAlignment="1">
      <alignment horizontal="left" vertical="center"/>
    </xf>
    <xf numFmtId="0" fontId="13" fillId="0" borderId="0" xfId="6" applyFont="1" applyAlignment="1">
      <alignment horizontal="left" vertical="center"/>
    </xf>
    <xf numFmtId="0" fontId="13" fillId="0" borderId="22" xfId="6" applyFont="1" applyBorder="1" applyAlignment="1">
      <alignment horizontal="left" vertical="center"/>
    </xf>
    <xf numFmtId="0" fontId="13" fillId="0" borderId="1" xfId="6" applyFont="1" applyBorder="1" applyAlignment="1">
      <alignment horizontal="left" vertical="center"/>
    </xf>
    <xf numFmtId="0" fontId="12" fillId="0" borderId="0" xfId="5" applyFont="1" applyAlignment="1">
      <alignment horizontal="left" vertical="center" wrapText="1"/>
    </xf>
    <xf numFmtId="0" fontId="4" fillId="0" borderId="5" xfId="5" applyBorder="1"/>
    <xf numFmtId="0" fontId="13" fillId="0" borderId="0" xfId="5" applyFont="1" applyAlignment="1">
      <alignment horizontal="center" vertical="center"/>
    </xf>
    <xf numFmtId="0" fontId="37" fillId="0" borderId="0" xfId="5" applyFont="1" applyAlignment="1">
      <alignment horizontal="left" vertical="center"/>
    </xf>
    <xf numFmtId="0" fontId="8" fillId="0" borderId="0" xfId="5" applyFont="1" applyAlignment="1">
      <alignment horizontal="center"/>
    </xf>
    <xf numFmtId="0" fontId="13" fillId="0" borderId="26" xfId="5" applyFont="1" applyBorder="1" applyAlignment="1">
      <alignment vertical="center"/>
    </xf>
    <xf numFmtId="0" fontId="13" fillId="0" borderId="3" xfId="5" applyFont="1" applyBorder="1" applyAlignment="1">
      <alignment vertical="center"/>
    </xf>
    <xf numFmtId="0" fontId="13" fillId="0" borderId="27" xfId="5" applyFont="1" applyBorder="1" applyAlignment="1">
      <alignment vertical="center"/>
    </xf>
    <xf numFmtId="0" fontId="13" fillId="0" borderId="19" xfId="5" applyFont="1" applyBorder="1" applyAlignment="1">
      <alignment vertical="center"/>
    </xf>
    <xf numFmtId="0" fontId="13" fillId="0" borderId="20" xfId="5" applyFont="1" applyBorder="1" applyAlignment="1">
      <alignment vertical="center"/>
    </xf>
    <xf numFmtId="0" fontId="13" fillId="0" borderId="24" xfId="5" applyFont="1" applyBorder="1" applyAlignment="1">
      <alignment vertical="center"/>
    </xf>
    <xf numFmtId="0" fontId="13" fillId="0" borderId="1" xfId="5" applyFont="1" applyBorder="1" applyAlignment="1">
      <alignment vertical="center"/>
    </xf>
    <xf numFmtId="0" fontId="13" fillId="0" borderId="25" xfId="5" applyFont="1" applyBorder="1" applyAlignment="1">
      <alignment vertical="center"/>
    </xf>
    <xf numFmtId="0" fontId="13" fillId="0" borderId="21" xfId="5" applyFont="1" applyBorder="1" applyAlignment="1">
      <alignment vertical="center"/>
    </xf>
    <xf numFmtId="0" fontId="13" fillId="0" borderId="22" xfId="5" applyFont="1" applyBorder="1" applyAlignment="1">
      <alignment vertical="center"/>
    </xf>
    <xf numFmtId="0" fontId="13" fillId="0" borderId="23" xfId="5" applyFont="1" applyBorder="1" applyAlignment="1">
      <alignment vertical="center"/>
    </xf>
    <xf numFmtId="0" fontId="47" fillId="0" borderId="0" xfId="13" applyFont="1">
      <alignment vertical="center"/>
    </xf>
    <xf numFmtId="0" fontId="12" fillId="0" borderId="6" xfId="5" applyFont="1" applyBorder="1" applyAlignment="1">
      <alignment horizontal="left" vertical="center" wrapText="1"/>
    </xf>
    <xf numFmtId="0" fontId="51" fillId="0" borderId="0" xfId="4" applyFont="1"/>
    <xf numFmtId="0" fontId="9" fillId="13" borderId="29" xfId="4" applyFont="1" applyFill="1" applyBorder="1" applyAlignment="1">
      <alignment horizontal="center" vertical="center" wrapText="1"/>
    </xf>
    <xf numFmtId="49" fontId="19" fillId="0" borderId="30" xfId="4" applyNumberFormat="1" applyFont="1" applyBorder="1" applyAlignment="1">
      <alignment horizontal="center" vertical="center"/>
    </xf>
    <xf numFmtId="49" fontId="18" fillId="4" borderId="78" xfId="11" applyNumberFormat="1" applyFont="1" applyFill="1" applyBorder="1" applyAlignment="1">
      <alignment horizontal="center" vertical="center"/>
    </xf>
    <xf numFmtId="49" fontId="19" fillId="0" borderId="41" xfId="4" applyNumberFormat="1" applyFont="1" applyBorder="1" applyAlignment="1">
      <alignment horizontal="center" vertical="center"/>
    </xf>
    <xf numFmtId="49" fontId="19" fillId="0" borderId="47" xfId="4" applyNumberFormat="1" applyFont="1" applyBorder="1" applyAlignment="1">
      <alignment horizontal="center" vertical="center"/>
    </xf>
    <xf numFmtId="49" fontId="4" fillId="0" borderId="47" xfId="4" applyNumberFormat="1" applyFont="1" applyBorder="1" applyAlignment="1">
      <alignment vertical="center"/>
    </xf>
    <xf numFmtId="49" fontId="4" fillId="0" borderId="41" xfId="4" applyNumberFormat="1" applyFont="1" applyBorder="1" applyAlignment="1">
      <alignment vertical="center"/>
    </xf>
    <xf numFmtId="0" fontId="4" fillId="13" borderId="52" xfId="4" applyFont="1" applyFill="1" applyBorder="1" applyAlignment="1">
      <alignment horizontal="center" vertical="center"/>
    </xf>
    <xf numFmtId="0" fontId="4" fillId="13" borderId="8" xfId="4" applyFont="1" applyFill="1" applyBorder="1" applyAlignment="1">
      <alignment horizontal="center" vertical="center" wrapText="1"/>
    </xf>
    <xf numFmtId="0" fontId="9" fillId="13" borderId="8" xfId="4" applyFont="1" applyFill="1" applyBorder="1" applyAlignment="1">
      <alignment horizontal="center" vertical="center" wrapText="1"/>
    </xf>
    <xf numFmtId="0" fontId="9" fillId="13" borderId="57" xfId="4" applyFont="1" applyFill="1" applyBorder="1" applyAlignment="1">
      <alignment horizontal="center" vertical="center" wrapText="1"/>
    </xf>
    <xf numFmtId="0" fontId="9" fillId="13" borderId="52" xfId="4" applyFont="1" applyFill="1" applyBorder="1" applyAlignment="1">
      <alignment horizontal="center" vertical="center" wrapText="1"/>
    </xf>
    <xf numFmtId="0" fontId="4" fillId="13" borderId="47" xfId="4" applyFont="1" applyFill="1" applyBorder="1" applyAlignment="1">
      <alignment horizontal="center" vertical="center" wrapText="1"/>
    </xf>
    <xf numFmtId="0" fontId="9" fillId="13" borderId="45" xfId="4" applyFont="1" applyFill="1" applyBorder="1" applyAlignment="1">
      <alignment horizontal="center" vertical="center" wrapText="1"/>
    </xf>
    <xf numFmtId="0" fontId="9" fillId="13" borderId="41" xfId="4" applyFont="1" applyFill="1" applyBorder="1" applyAlignment="1">
      <alignment horizontal="center" vertical="center" wrapText="1"/>
    </xf>
    <xf numFmtId="0" fontId="9" fillId="13" borderId="47" xfId="4" applyFont="1" applyFill="1" applyBorder="1" applyAlignment="1">
      <alignment horizontal="center" vertical="center" wrapText="1"/>
    </xf>
    <xf numFmtId="0" fontId="9" fillId="13" borderId="37" xfId="4" applyFont="1" applyFill="1" applyBorder="1" applyAlignment="1">
      <alignment horizontal="center" vertical="center"/>
    </xf>
    <xf numFmtId="0" fontId="4" fillId="0" borderId="0" xfId="4" applyFont="1" applyAlignment="1">
      <alignment horizontal="left" vertical="top" wrapText="1"/>
    </xf>
    <xf numFmtId="0" fontId="4" fillId="0" borderId="0" xfId="4" applyFont="1" applyAlignment="1">
      <alignment horizontal="left" vertical="top"/>
    </xf>
    <xf numFmtId="49" fontId="18" fillId="4" borderId="44" xfId="11" applyNumberFormat="1" applyFont="1" applyFill="1" applyBorder="1" applyAlignment="1">
      <alignment horizontal="center" vertical="center"/>
    </xf>
    <xf numFmtId="49" fontId="18" fillId="4" borderId="46" xfId="11" applyNumberFormat="1" applyFont="1" applyFill="1" applyBorder="1" applyAlignment="1">
      <alignment horizontal="center" vertical="center"/>
    </xf>
    <xf numFmtId="0" fontId="8" fillId="13" borderId="54" xfId="11" applyFont="1" applyFill="1" applyBorder="1" applyAlignment="1">
      <alignment horizontal="center" vertical="center" wrapText="1"/>
    </xf>
    <xf numFmtId="0" fontId="8" fillId="13" borderId="38" xfId="11" applyFont="1" applyFill="1" applyBorder="1" applyAlignment="1">
      <alignment horizontal="center" vertical="center" wrapText="1"/>
    </xf>
    <xf numFmtId="49" fontId="4" fillId="0" borderId="54" xfId="11" applyNumberFormat="1" applyFont="1" applyBorder="1" applyAlignment="1">
      <alignment horizontal="center" vertical="center"/>
    </xf>
    <xf numFmtId="49" fontId="4" fillId="0" borderId="42" xfId="11" applyNumberFormat="1" applyFont="1" applyBorder="1" applyAlignment="1">
      <alignment horizontal="center" vertical="center"/>
    </xf>
    <xf numFmtId="49" fontId="4" fillId="0" borderId="38" xfId="11" applyNumberFormat="1" applyFont="1" applyBorder="1" applyAlignment="1">
      <alignment horizontal="center" vertical="center"/>
    </xf>
    <xf numFmtId="49" fontId="19" fillId="0" borderId="11" xfId="4" applyNumberFormat="1" applyFont="1" applyBorder="1" applyAlignment="1">
      <alignment horizontal="center" vertical="center"/>
    </xf>
    <xf numFmtId="49" fontId="19" fillId="0" borderId="12" xfId="4" applyNumberFormat="1" applyFont="1" applyBorder="1" applyAlignment="1">
      <alignment horizontal="center" vertical="center"/>
    </xf>
    <xf numFmtId="49" fontId="19" fillId="0" borderId="15" xfId="4" applyNumberFormat="1" applyFont="1" applyBorder="1" applyAlignment="1">
      <alignment horizontal="center" vertical="center"/>
    </xf>
    <xf numFmtId="49" fontId="18" fillId="0" borderId="39" xfId="11" applyNumberFormat="1" applyFont="1" applyBorder="1" applyAlignment="1">
      <alignment horizontal="center" vertical="center"/>
    </xf>
    <xf numFmtId="49" fontId="18" fillId="0" borderId="40" xfId="11" applyNumberFormat="1" applyFont="1" applyBorder="1" applyAlignment="1">
      <alignment horizontal="center" vertical="center"/>
    </xf>
    <xf numFmtId="49" fontId="18" fillId="0" borderId="46" xfId="11" applyNumberFormat="1" applyFont="1" applyBorder="1" applyAlignment="1">
      <alignment horizontal="center" vertical="center"/>
    </xf>
    <xf numFmtId="49" fontId="18" fillId="4" borderId="40" xfId="11" applyNumberFormat="1" applyFont="1" applyFill="1" applyBorder="1" applyAlignment="1">
      <alignment horizontal="center" vertical="center"/>
    </xf>
    <xf numFmtId="49" fontId="18" fillId="4" borderId="43" xfId="11" applyNumberFormat="1" applyFont="1" applyFill="1" applyBorder="1" applyAlignment="1">
      <alignment horizontal="center" vertical="center"/>
    </xf>
    <xf numFmtId="0" fontId="8" fillId="13" borderId="42" xfId="11" applyFont="1" applyFill="1" applyBorder="1" applyAlignment="1">
      <alignment horizontal="center" vertical="center" wrapText="1"/>
    </xf>
    <xf numFmtId="0" fontId="8" fillId="13" borderId="34" xfId="11" applyFont="1" applyFill="1" applyBorder="1" applyAlignment="1">
      <alignment horizontal="center" vertical="center" wrapText="1"/>
    </xf>
    <xf numFmtId="0" fontId="0" fillId="13" borderId="88" xfId="11" applyFont="1" applyFill="1" applyBorder="1" applyAlignment="1">
      <alignment horizontal="center" vertical="center" wrapText="1"/>
    </xf>
    <xf numFmtId="0" fontId="0" fillId="13" borderId="42" xfId="11" applyFont="1" applyFill="1" applyBorder="1" applyAlignment="1">
      <alignment horizontal="center" vertical="center" wrapText="1"/>
    </xf>
    <xf numFmtId="0" fontId="0" fillId="13" borderId="38" xfId="11" applyFont="1" applyFill="1" applyBorder="1" applyAlignment="1">
      <alignment horizontal="center" vertical="center" wrapText="1"/>
    </xf>
    <xf numFmtId="0" fontId="9" fillId="13" borderId="44" xfId="4" applyFont="1" applyFill="1" applyBorder="1" applyAlignment="1">
      <alignment horizontal="center" vertical="center" wrapText="1"/>
    </xf>
    <xf numFmtId="0" fontId="9" fillId="13" borderId="43" xfId="4" applyFont="1" applyFill="1" applyBorder="1" applyAlignment="1">
      <alignment horizontal="center" vertical="center" wrapText="1"/>
    </xf>
    <xf numFmtId="49" fontId="18" fillId="4" borderId="11" xfId="4" applyNumberFormat="1" applyFont="1" applyFill="1" applyBorder="1" applyAlignment="1">
      <alignment horizontal="center" vertical="center"/>
    </xf>
    <xf numFmtId="49" fontId="18" fillId="4" borderId="15" xfId="4" applyNumberFormat="1" applyFont="1" applyFill="1" applyBorder="1" applyAlignment="1">
      <alignment horizontal="center" vertical="center"/>
    </xf>
    <xf numFmtId="0" fontId="16" fillId="13" borderId="49" xfId="4" applyFont="1" applyFill="1" applyBorder="1" applyAlignment="1">
      <alignment horizontal="center" vertical="center" wrapText="1"/>
    </xf>
    <xf numFmtId="0" fontId="16" fillId="13" borderId="10" xfId="4" applyFont="1" applyFill="1" applyBorder="1" applyAlignment="1">
      <alignment horizontal="center" vertical="center" wrapText="1"/>
    </xf>
    <xf numFmtId="0" fontId="9" fillId="13" borderId="40" xfId="4" applyFont="1" applyFill="1" applyBorder="1" applyAlignment="1">
      <alignment horizontal="center" vertical="center" wrapText="1"/>
    </xf>
    <xf numFmtId="49" fontId="18" fillId="4" borderId="89" xfId="4" applyNumberFormat="1" applyFont="1" applyFill="1" applyBorder="1" applyAlignment="1">
      <alignment horizontal="center" vertical="center"/>
    </xf>
    <xf numFmtId="49" fontId="18" fillId="4" borderId="90" xfId="4" applyNumberFormat="1" applyFont="1" applyFill="1" applyBorder="1" applyAlignment="1">
      <alignment horizontal="center" vertical="center"/>
    </xf>
    <xf numFmtId="49" fontId="18" fillId="4" borderId="91" xfId="4" applyNumberFormat="1" applyFont="1" applyFill="1" applyBorder="1" applyAlignment="1">
      <alignment horizontal="center" vertical="center"/>
    </xf>
    <xf numFmtId="0" fontId="50" fillId="0" borderId="28" xfId="4" applyFont="1" applyBorder="1" applyAlignment="1">
      <alignment horizontal="left" vertical="center" wrapText="1"/>
    </xf>
    <xf numFmtId="0" fontId="16" fillId="13" borderId="28" xfId="4" applyFont="1" applyFill="1" applyBorder="1" applyAlignment="1">
      <alignment horizontal="center" vertical="center" wrapText="1"/>
    </xf>
    <xf numFmtId="0" fontId="50" fillId="0" borderId="45" xfId="4" applyFont="1" applyBorder="1" applyAlignment="1">
      <alignment horizontal="left" vertical="center" wrapText="1"/>
    </xf>
    <xf numFmtId="0" fontId="9" fillId="13" borderId="46" xfId="4" applyFont="1" applyFill="1" applyBorder="1" applyAlignment="1">
      <alignment horizontal="center" vertical="center" wrapText="1"/>
    </xf>
    <xf numFmtId="49" fontId="18" fillId="4" borderId="36" xfId="4" applyNumberFormat="1" applyFont="1" applyFill="1" applyBorder="1" applyAlignment="1">
      <alignment horizontal="center" vertical="center"/>
    </xf>
    <xf numFmtId="49" fontId="18" fillId="4" borderId="89" xfId="11" applyNumberFormat="1" applyFont="1" applyFill="1" applyBorder="1" applyAlignment="1">
      <alignment horizontal="center" vertical="center"/>
    </xf>
    <xf numFmtId="49" fontId="18" fillId="4" borderId="90" xfId="11" applyNumberFormat="1" applyFont="1" applyFill="1" applyBorder="1" applyAlignment="1">
      <alignment horizontal="center" vertical="center"/>
    </xf>
    <xf numFmtId="49" fontId="18" fillId="4" borderId="91" xfId="11" applyNumberFormat="1" applyFont="1" applyFill="1" applyBorder="1" applyAlignment="1">
      <alignment horizontal="center" vertical="center"/>
    </xf>
    <xf numFmtId="0" fontId="4" fillId="13" borderId="44" xfId="4" applyFont="1" applyFill="1" applyBorder="1" applyAlignment="1">
      <alignment horizontal="center" vertical="center" wrapText="1"/>
    </xf>
    <xf numFmtId="0" fontId="4" fillId="13" borderId="43" xfId="4" applyFont="1" applyFill="1" applyBorder="1" applyAlignment="1">
      <alignment horizontal="center" vertical="center" wrapText="1"/>
    </xf>
    <xf numFmtId="49" fontId="18" fillId="4" borderId="12" xfId="4" applyNumberFormat="1" applyFont="1" applyFill="1" applyBorder="1" applyAlignment="1">
      <alignment horizontal="center" vertical="center"/>
    </xf>
    <xf numFmtId="0" fontId="11" fillId="0" borderId="0" xfId="3" applyAlignment="1">
      <alignment horizontal="left" vertical="top"/>
    </xf>
    <xf numFmtId="0" fontId="4" fillId="11" borderId="44" xfId="5" applyFill="1" applyBorder="1" applyAlignment="1">
      <alignment horizontal="center" vertical="center"/>
    </xf>
    <xf numFmtId="0" fontId="4" fillId="11" borderId="40" xfId="5" applyFill="1" applyBorder="1" applyAlignment="1">
      <alignment horizontal="center" vertical="center"/>
    </xf>
    <xf numFmtId="0" fontId="4" fillId="11" borderId="43" xfId="5" applyFill="1" applyBorder="1" applyAlignment="1">
      <alignment horizontal="center" vertical="center"/>
    </xf>
    <xf numFmtId="0" fontId="4" fillId="11" borderId="58" xfId="5" applyFill="1" applyBorder="1" applyAlignment="1">
      <alignment horizontal="center" vertical="center" wrapText="1"/>
    </xf>
    <xf numFmtId="0" fontId="4" fillId="11" borderId="59" xfId="5" applyFill="1" applyBorder="1" applyAlignment="1">
      <alignment horizontal="center" vertical="center" wrapText="1"/>
    </xf>
    <xf numFmtId="0" fontId="4" fillId="11" borderId="60" xfId="5" applyFill="1" applyBorder="1" applyAlignment="1">
      <alignment horizontal="center" vertical="center" wrapText="1"/>
    </xf>
    <xf numFmtId="0" fontId="13" fillId="0" borderId="2" xfId="6" applyFont="1" applyBorder="1" applyAlignment="1">
      <alignment horizontal="left" vertical="center"/>
    </xf>
    <xf numFmtId="0" fontId="13" fillId="0" borderId="3" xfId="6" applyFont="1" applyBorder="1" applyAlignment="1">
      <alignment horizontal="left" vertical="center"/>
    </xf>
    <xf numFmtId="0" fontId="13" fillId="0" borderId="27" xfId="6" applyFont="1" applyBorder="1" applyAlignment="1">
      <alignment horizontal="left" vertical="center"/>
    </xf>
    <xf numFmtId="0" fontId="13" fillId="0" borderId="5" xfId="6" applyFont="1" applyBorder="1" applyAlignment="1">
      <alignment horizontal="left" vertical="center"/>
    </xf>
    <xf numFmtId="0" fontId="13" fillId="0" borderId="0" xfId="6" applyFont="1" applyAlignment="1">
      <alignment horizontal="left" vertical="center"/>
    </xf>
    <xf numFmtId="0" fontId="13" fillId="0" borderId="20" xfId="6" applyFont="1" applyBorder="1" applyAlignment="1">
      <alignment horizontal="left" vertical="center"/>
    </xf>
    <xf numFmtId="0" fontId="13" fillId="0" borderId="7" xfId="6" applyFont="1" applyBorder="1" applyAlignment="1">
      <alignment horizontal="left" vertical="center"/>
    </xf>
    <xf numFmtId="0" fontId="13" fillId="0" borderId="1" xfId="6" applyFont="1" applyBorder="1" applyAlignment="1">
      <alignment horizontal="left" vertical="center"/>
    </xf>
    <xf numFmtId="0" fontId="13" fillId="0" borderId="25" xfId="6" applyFont="1" applyBorder="1" applyAlignment="1">
      <alignment horizontal="left" vertical="center"/>
    </xf>
    <xf numFmtId="0" fontId="13" fillId="0" borderId="67" xfId="5" applyFont="1" applyBorder="1" applyAlignment="1">
      <alignment horizontal="left" vertical="center" wrapText="1"/>
    </xf>
    <xf numFmtId="0" fontId="13" fillId="0" borderId="68" xfId="5" applyFont="1" applyBorder="1" applyAlignment="1">
      <alignment horizontal="left" vertical="center" wrapText="1"/>
    </xf>
    <xf numFmtId="0" fontId="13" fillId="0" borderId="69" xfId="5" applyFont="1" applyBorder="1" applyAlignment="1">
      <alignment horizontal="left" vertical="center" wrapText="1"/>
    </xf>
    <xf numFmtId="0" fontId="13" fillId="0" borderId="5" xfId="5" applyFont="1" applyBorder="1" applyAlignment="1">
      <alignment horizontal="left" vertical="center" wrapText="1"/>
    </xf>
    <xf numFmtId="0" fontId="13" fillId="0" borderId="0" xfId="5" applyFont="1" applyAlignment="1">
      <alignment horizontal="left" vertical="center" wrapText="1"/>
    </xf>
    <xf numFmtId="0" fontId="13" fillId="0" borderId="6" xfId="5" applyFont="1" applyBorder="1" applyAlignment="1">
      <alignment horizontal="left" vertical="center" wrapText="1"/>
    </xf>
    <xf numFmtId="0" fontId="13" fillId="0" borderId="7" xfId="5" applyFont="1" applyBorder="1" applyAlignment="1">
      <alignment horizontal="left" vertical="center" wrapText="1"/>
    </xf>
    <xf numFmtId="0" fontId="13" fillId="0" borderId="1" xfId="5" applyFont="1" applyBorder="1" applyAlignment="1">
      <alignment horizontal="left" vertical="center" wrapText="1"/>
    </xf>
    <xf numFmtId="0" fontId="13" fillId="0" borderId="8" xfId="5" applyFont="1" applyBorder="1" applyAlignment="1">
      <alignment horizontal="left" vertical="center" wrapText="1"/>
    </xf>
    <xf numFmtId="0" fontId="4" fillId="11" borderId="46" xfId="5" applyFill="1" applyBorder="1" applyAlignment="1">
      <alignment horizontal="center" vertical="center"/>
    </xf>
    <xf numFmtId="0" fontId="13" fillId="0" borderId="56" xfId="6" applyFont="1" applyBorder="1" applyAlignment="1">
      <alignment horizontal="left" vertical="center"/>
    </xf>
    <xf numFmtId="0" fontId="13" fillId="0" borderId="22" xfId="6" applyFont="1" applyBorder="1" applyAlignment="1">
      <alignment horizontal="left" vertical="center"/>
    </xf>
    <xf numFmtId="0" fontId="13" fillId="0" borderId="23" xfId="6" applyFont="1" applyBorder="1" applyAlignment="1">
      <alignment horizontal="left" vertical="center"/>
    </xf>
    <xf numFmtId="0" fontId="13" fillId="0" borderId="56" xfId="5" applyFont="1" applyBorder="1" applyAlignment="1">
      <alignment horizontal="left" vertical="center" wrapText="1"/>
    </xf>
    <xf numFmtId="0" fontId="13" fillId="0" borderId="22" xfId="5" applyFont="1" applyBorder="1" applyAlignment="1">
      <alignment horizontal="left" vertical="center" wrapText="1"/>
    </xf>
    <xf numFmtId="0" fontId="13" fillId="0" borderId="57" xfId="5" applyFont="1" applyBorder="1" applyAlignment="1">
      <alignment horizontal="left" vertical="center" wrapText="1"/>
    </xf>
    <xf numFmtId="0" fontId="21" fillId="11" borderId="2" xfId="5" applyFont="1" applyFill="1" applyBorder="1" applyAlignment="1">
      <alignment horizontal="center" vertical="center" wrapText="1"/>
    </xf>
    <xf numFmtId="0" fontId="21" fillId="11" borderId="3" xfId="5" applyFont="1" applyFill="1" applyBorder="1" applyAlignment="1">
      <alignment horizontal="center" vertical="center" wrapText="1"/>
    </xf>
    <xf numFmtId="0" fontId="21" fillId="11" borderId="4" xfId="5" applyFont="1" applyFill="1" applyBorder="1" applyAlignment="1">
      <alignment horizontal="center" vertical="center" wrapText="1"/>
    </xf>
    <xf numFmtId="0" fontId="21" fillId="11" borderId="5" xfId="5" applyFont="1" applyFill="1" applyBorder="1" applyAlignment="1">
      <alignment horizontal="center" vertical="center" wrapText="1"/>
    </xf>
    <xf numFmtId="0" fontId="21" fillId="11" borderId="0" xfId="5" applyFont="1" applyFill="1" applyAlignment="1">
      <alignment horizontal="center" vertical="center" wrapText="1"/>
    </xf>
    <xf numFmtId="0" fontId="21" fillId="11" borderId="6" xfId="5" applyFont="1" applyFill="1" applyBorder="1" applyAlignment="1">
      <alignment horizontal="center" vertical="center" wrapText="1"/>
    </xf>
    <xf numFmtId="0" fontId="21" fillId="11" borderId="7" xfId="5" applyFont="1" applyFill="1" applyBorder="1" applyAlignment="1">
      <alignment horizontal="center" vertical="center" wrapText="1"/>
    </xf>
    <xf numFmtId="0" fontId="21" fillId="11" borderId="1" xfId="5" applyFont="1" applyFill="1" applyBorder="1" applyAlignment="1">
      <alignment horizontal="center" vertical="center" wrapText="1"/>
    </xf>
    <xf numFmtId="0" fontId="21" fillId="11" borderId="8" xfId="5" applyFont="1" applyFill="1" applyBorder="1" applyAlignment="1">
      <alignment horizontal="center" vertical="center" wrapText="1"/>
    </xf>
    <xf numFmtId="0" fontId="21" fillId="11" borderId="27" xfId="5" applyFont="1" applyFill="1" applyBorder="1" applyAlignment="1">
      <alignment horizontal="center" vertical="center" wrapText="1"/>
    </xf>
    <xf numFmtId="0" fontId="21" fillId="14" borderId="19" xfId="5" applyFont="1" applyFill="1" applyBorder="1" applyAlignment="1">
      <alignment horizontal="center" vertical="center" wrapText="1"/>
    </xf>
    <xf numFmtId="0" fontId="21" fillId="14" borderId="0" xfId="5" applyFont="1" applyFill="1" applyAlignment="1">
      <alignment horizontal="center" vertical="center" wrapText="1"/>
    </xf>
    <xf numFmtId="0" fontId="21" fillId="14" borderId="20" xfId="5" applyFont="1" applyFill="1" applyBorder="1" applyAlignment="1">
      <alignment horizontal="center" vertical="center" wrapText="1"/>
    </xf>
    <xf numFmtId="0" fontId="21" fillId="10" borderId="19" xfId="5" applyFont="1" applyFill="1" applyBorder="1" applyAlignment="1">
      <alignment horizontal="center" vertical="center" wrapText="1"/>
    </xf>
    <xf numFmtId="0" fontId="21" fillId="10" borderId="0" xfId="5" applyFont="1" applyFill="1" applyAlignment="1">
      <alignment horizontal="center" vertical="center" wrapText="1"/>
    </xf>
    <xf numFmtId="0" fontId="21" fillId="10" borderId="20" xfId="5" applyFont="1" applyFill="1" applyBorder="1" applyAlignment="1">
      <alignment horizontal="center" vertical="center" wrapText="1"/>
    </xf>
    <xf numFmtId="0" fontId="4" fillId="11" borderId="5" xfId="6" applyFill="1" applyBorder="1" applyAlignment="1">
      <alignment horizontal="center" vertical="center" wrapText="1"/>
    </xf>
    <xf numFmtId="0" fontId="4" fillId="11" borderId="0" xfId="6" applyFill="1" applyAlignment="1">
      <alignment horizontal="center" vertical="center" wrapText="1"/>
    </xf>
    <xf numFmtId="0" fontId="4" fillId="11" borderId="20" xfId="6" applyFill="1" applyBorder="1" applyAlignment="1">
      <alignment horizontal="center" vertical="center" wrapText="1"/>
    </xf>
    <xf numFmtId="0" fontId="4" fillId="11" borderId="7" xfId="6" applyFill="1" applyBorder="1" applyAlignment="1">
      <alignment horizontal="center" vertical="center" wrapText="1"/>
    </xf>
    <xf numFmtId="0" fontId="4" fillId="11" borderId="1" xfId="6" applyFill="1" applyBorder="1" applyAlignment="1">
      <alignment horizontal="center" vertical="center" wrapText="1"/>
    </xf>
    <xf numFmtId="0" fontId="4" fillId="11" borderId="25" xfId="6" applyFill="1" applyBorder="1" applyAlignment="1">
      <alignment horizontal="center" vertical="center" wrapText="1"/>
    </xf>
    <xf numFmtId="0" fontId="4" fillId="14" borderId="19" xfId="6" applyFill="1" applyBorder="1" applyAlignment="1">
      <alignment horizontal="center" vertical="center" wrapText="1"/>
    </xf>
    <xf numFmtId="0" fontId="4" fillId="14" borderId="0" xfId="6" applyFill="1" applyAlignment="1">
      <alignment horizontal="center" vertical="center" wrapText="1"/>
    </xf>
    <xf numFmtId="0" fontId="4" fillId="14" borderId="20" xfId="6" applyFill="1" applyBorder="1" applyAlignment="1">
      <alignment horizontal="center" vertical="center" wrapText="1"/>
    </xf>
    <xf numFmtId="0" fontId="4" fillId="14" borderId="24" xfId="6" applyFill="1" applyBorder="1" applyAlignment="1">
      <alignment horizontal="center" vertical="center" wrapText="1"/>
    </xf>
    <xf numFmtId="0" fontId="4" fillId="14" borderId="1" xfId="6" applyFill="1" applyBorder="1" applyAlignment="1">
      <alignment horizontal="center" vertical="center" wrapText="1"/>
    </xf>
    <xf numFmtId="0" fontId="4" fillId="14" borderId="25" xfId="6" applyFill="1" applyBorder="1" applyAlignment="1">
      <alignment horizontal="center" vertical="center" wrapText="1"/>
    </xf>
    <xf numFmtId="0" fontId="4" fillId="10" borderId="19" xfId="5" applyFill="1" applyBorder="1" applyAlignment="1">
      <alignment horizontal="center" vertical="center" wrapText="1"/>
    </xf>
    <xf numFmtId="0" fontId="4" fillId="10" borderId="0" xfId="5" applyFill="1" applyAlignment="1">
      <alignment horizontal="center" vertical="center" wrapText="1"/>
    </xf>
    <xf numFmtId="0" fontId="4" fillId="10" borderId="20" xfId="5" applyFill="1" applyBorder="1" applyAlignment="1">
      <alignment horizontal="center" vertical="center" wrapText="1"/>
    </xf>
    <xf numFmtId="0" fontId="4" fillId="10" borderId="24" xfId="5" applyFill="1" applyBorder="1" applyAlignment="1">
      <alignment horizontal="center" vertical="center" wrapText="1"/>
    </xf>
    <xf numFmtId="0" fontId="4" fillId="10" borderId="1" xfId="5" applyFill="1" applyBorder="1" applyAlignment="1">
      <alignment horizontal="center" vertical="center" wrapText="1"/>
    </xf>
    <xf numFmtId="0" fontId="4" fillId="10" borderId="25" xfId="5" applyFill="1" applyBorder="1" applyAlignment="1">
      <alignment horizontal="center" vertical="center" wrapText="1"/>
    </xf>
    <xf numFmtId="0" fontId="5" fillId="9" borderId="15" xfId="5" applyFont="1" applyFill="1" applyBorder="1" applyAlignment="1">
      <alignment horizontal="center" vertical="center"/>
    </xf>
    <xf numFmtId="0" fontId="37" fillId="0" borderId="0" xfId="5" applyFont="1" applyAlignment="1">
      <alignment horizontal="left" vertical="center"/>
    </xf>
    <xf numFmtId="0" fontId="25" fillId="0" borderId="83" xfId="5" applyFont="1" applyBorder="1" applyAlignment="1">
      <alignment horizontal="left" vertical="center"/>
    </xf>
    <xf numFmtId="0" fontId="25" fillId="0" borderId="84" xfId="5" applyFont="1" applyBorder="1" applyAlignment="1">
      <alignment horizontal="left" vertical="center"/>
    </xf>
    <xf numFmtId="0" fontId="25" fillId="0" borderId="87" xfId="5" applyFont="1" applyBorder="1" applyAlignment="1">
      <alignment horizontal="left" vertical="center"/>
    </xf>
    <xf numFmtId="0" fontId="4" fillId="11" borderId="50" xfId="5" applyFill="1" applyBorder="1" applyAlignment="1">
      <alignment horizontal="center" vertical="center"/>
    </xf>
    <xf numFmtId="0" fontId="4" fillId="11" borderId="51" xfId="5" applyFill="1" applyBorder="1" applyAlignment="1">
      <alignment horizontal="center" vertical="center"/>
    </xf>
    <xf numFmtId="0" fontId="4" fillId="11" borderId="73" xfId="5" applyFill="1" applyBorder="1" applyAlignment="1">
      <alignment horizontal="center" vertical="center"/>
    </xf>
    <xf numFmtId="0" fontId="12" fillId="14" borderId="16" xfId="5" applyFont="1" applyFill="1" applyBorder="1" applyAlignment="1">
      <alignment horizontal="center" vertical="center"/>
    </xf>
    <xf numFmtId="0" fontId="12" fillId="14" borderId="17" xfId="5" applyFont="1" applyFill="1" applyBorder="1" applyAlignment="1">
      <alignment horizontal="center" vertical="center"/>
    </xf>
    <xf numFmtId="0" fontId="12" fillId="14" borderId="18" xfId="5" applyFont="1" applyFill="1" applyBorder="1" applyAlignment="1">
      <alignment horizontal="center" vertical="center"/>
    </xf>
    <xf numFmtId="0" fontId="12" fillId="10" borderId="16" xfId="5" applyFont="1" applyFill="1" applyBorder="1" applyAlignment="1">
      <alignment horizontal="center" vertical="center"/>
    </xf>
    <xf numFmtId="0" fontId="12" fillId="10" borderId="17" xfId="5" applyFont="1" applyFill="1" applyBorder="1" applyAlignment="1">
      <alignment horizontal="center" vertical="center"/>
    </xf>
    <xf numFmtId="0" fontId="12" fillId="10" borderId="18" xfId="5" applyFont="1" applyFill="1" applyBorder="1" applyAlignment="1">
      <alignment horizontal="center" vertical="center"/>
    </xf>
    <xf numFmtId="0" fontId="12" fillId="0" borderId="5" xfId="5" applyFont="1" applyBorder="1" applyAlignment="1">
      <alignment horizontal="left" vertical="center" wrapText="1"/>
    </xf>
    <xf numFmtId="0" fontId="12" fillId="0" borderId="0" xfId="5" applyFont="1" applyAlignment="1">
      <alignment horizontal="left" vertical="center" wrapText="1"/>
    </xf>
    <xf numFmtId="0" fontId="12" fillId="0" borderId="6" xfId="5" applyFont="1" applyBorder="1" applyAlignment="1">
      <alignment horizontal="left" vertical="center" wrapText="1"/>
    </xf>
    <xf numFmtId="0" fontId="12" fillId="0" borderId="56" xfId="5" applyFont="1" applyBorder="1" applyAlignment="1">
      <alignment horizontal="left" vertical="center" wrapText="1"/>
    </xf>
    <xf numFmtId="0" fontId="12" fillId="0" borderId="22" xfId="5" applyFont="1" applyBorder="1" applyAlignment="1">
      <alignment horizontal="left" vertical="center" wrapText="1"/>
    </xf>
    <xf numFmtId="0" fontId="12" fillId="0" borderId="57" xfId="5" applyFont="1" applyBorder="1" applyAlignment="1">
      <alignment horizontal="left" vertical="center" wrapText="1"/>
    </xf>
    <xf numFmtId="0" fontId="12" fillId="0" borderId="0" xfId="5" applyFont="1" applyAlignment="1">
      <alignment horizontal="left" vertical="center"/>
    </xf>
    <xf numFmtId="0" fontId="12" fillId="0" borderId="6" xfId="5" applyFont="1" applyBorder="1" applyAlignment="1">
      <alignment horizontal="left" vertical="center"/>
    </xf>
    <xf numFmtId="0" fontId="5" fillId="9" borderId="2" xfId="5" applyFont="1" applyFill="1" applyBorder="1" applyAlignment="1">
      <alignment horizontal="center" vertical="center"/>
    </xf>
    <xf numFmtId="0" fontId="5" fillId="9" borderId="27" xfId="5" applyFont="1" applyFill="1" applyBorder="1" applyAlignment="1">
      <alignment horizontal="center" vertical="center"/>
    </xf>
    <xf numFmtId="0" fontId="5" fillId="9" borderId="5" xfId="5" applyFont="1" applyFill="1" applyBorder="1" applyAlignment="1">
      <alignment horizontal="center" vertical="center"/>
    </xf>
    <xf numFmtId="0" fontId="5" fillId="9" borderId="20" xfId="5" applyFont="1" applyFill="1" applyBorder="1" applyAlignment="1">
      <alignment horizontal="center" vertical="center"/>
    </xf>
    <xf numFmtId="0" fontId="5" fillId="9" borderId="56" xfId="5" applyFont="1" applyFill="1" applyBorder="1" applyAlignment="1">
      <alignment horizontal="center" vertical="center"/>
    </xf>
    <xf numFmtId="0" fontId="5" fillId="9" borderId="23" xfId="5" applyFont="1" applyFill="1" applyBorder="1" applyAlignment="1">
      <alignment horizontal="center" vertical="center"/>
    </xf>
    <xf numFmtId="0" fontId="4" fillId="12" borderId="7" xfId="5" applyFill="1" applyBorder="1" applyAlignment="1">
      <alignment horizontal="center" vertical="center"/>
    </xf>
    <xf numFmtId="0" fontId="4" fillId="12" borderId="25" xfId="5" applyFill="1" applyBorder="1" applyAlignment="1">
      <alignment horizontal="center" vertical="center"/>
    </xf>
    <xf numFmtId="0" fontId="12" fillId="0" borderId="64" xfId="5" applyFont="1" applyBorder="1" applyAlignment="1">
      <alignment horizontal="left" vertical="center" wrapText="1"/>
    </xf>
    <xf numFmtId="0" fontId="12" fillId="0" borderId="65" xfId="5" applyFont="1" applyBorder="1" applyAlignment="1">
      <alignment horizontal="left" vertical="center" wrapText="1"/>
    </xf>
    <xf numFmtId="0" fontId="12" fillId="0" borderId="66" xfId="5" applyFont="1" applyBorder="1" applyAlignment="1">
      <alignment horizontal="left" vertical="center" wrapText="1"/>
    </xf>
    <xf numFmtId="0" fontId="13" fillId="0" borderId="2" xfId="5" applyFont="1" applyBorder="1" applyAlignment="1">
      <alignment horizontal="center" vertical="center"/>
    </xf>
    <xf numFmtId="0" fontId="13" fillId="0" borderId="27" xfId="5" applyFont="1" applyBorder="1" applyAlignment="1">
      <alignment horizontal="center" vertical="center"/>
    </xf>
    <xf numFmtId="0" fontId="13" fillId="0" borderId="5" xfId="5" applyFont="1" applyBorder="1" applyAlignment="1">
      <alignment horizontal="center" vertical="center"/>
    </xf>
    <xf numFmtId="0" fontId="13" fillId="0" borderId="20" xfId="5" applyFont="1" applyBorder="1" applyAlignment="1">
      <alignment horizontal="center" vertical="center"/>
    </xf>
    <xf numFmtId="0" fontId="4" fillId="0" borderId="2" xfId="5" applyBorder="1" applyAlignment="1">
      <alignment horizontal="left" vertical="top" shrinkToFit="1"/>
    </xf>
    <xf numFmtId="0" fontId="4" fillId="0" borderId="3" xfId="5" applyBorder="1" applyAlignment="1">
      <alignment horizontal="left" vertical="top" shrinkToFit="1"/>
    </xf>
    <xf numFmtId="0" fontId="4" fillId="0" borderId="4" xfId="5" applyBorder="1" applyAlignment="1">
      <alignment horizontal="left" vertical="top" shrinkToFit="1"/>
    </xf>
    <xf numFmtId="0" fontId="12" fillId="0" borderId="2" xfId="5" applyFont="1" applyBorder="1" applyAlignment="1">
      <alignment horizontal="left" vertical="center" wrapText="1"/>
    </xf>
    <xf numFmtId="0" fontId="12" fillId="0" borderId="3" xfId="6" applyFont="1" applyBorder="1" applyAlignment="1">
      <alignment horizontal="left" vertical="center" wrapText="1"/>
    </xf>
    <xf numFmtId="0" fontId="12" fillId="0" borderId="4" xfId="6" applyFont="1" applyBorder="1" applyAlignment="1">
      <alignment horizontal="left" vertical="center" wrapText="1"/>
    </xf>
    <xf numFmtId="0" fontId="12" fillId="0" borderId="5" xfId="6" applyFont="1" applyBorder="1" applyAlignment="1">
      <alignment horizontal="left" vertical="center" wrapText="1"/>
    </xf>
    <xf numFmtId="0" fontId="12" fillId="0" borderId="0" xfId="6" applyFont="1" applyAlignment="1">
      <alignment horizontal="left" vertical="center" wrapText="1"/>
    </xf>
    <xf numFmtId="0" fontId="12" fillId="0" borderId="6" xfId="6" applyFont="1" applyBorder="1" applyAlignment="1">
      <alignment horizontal="left" vertical="center" wrapText="1"/>
    </xf>
    <xf numFmtId="0" fontId="12" fillId="0" borderId="56" xfId="6" applyFont="1" applyBorder="1" applyAlignment="1">
      <alignment horizontal="left" vertical="center" wrapText="1"/>
    </xf>
    <xf numFmtId="0" fontId="12" fillId="0" borderId="22" xfId="6" applyFont="1" applyBorder="1" applyAlignment="1">
      <alignment horizontal="left" vertical="center" wrapText="1"/>
    </xf>
    <xf numFmtId="0" fontId="12" fillId="0" borderId="57" xfId="6" applyFont="1" applyBorder="1" applyAlignment="1">
      <alignment horizontal="left" vertical="center" wrapText="1"/>
    </xf>
    <xf numFmtId="0" fontId="12" fillId="0" borderId="3" xfId="5" applyFont="1" applyBorder="1" applyAlignment="1">
      <alignment horizontal="left" vertical="center" wrapText="1"/>
    </xf>
    <xf numFmtId="0" fontId="12" fillId="0" borderId="4" xfId="5" applyFont="1" applyBorder="1" applyAlignment="1">
      <alignment horizontal="left" vertical="center" wrapText="1"/>
    </xf>
    <xf numFmtId="0" fontId="13" fillId="0" borderId="54" xfId="5" applyFont="1" applyBorder="1" applyAlignment="1">
      <alignment horizontal="center" vertical="center" wrapText="1"/>
    </xf>
    <xf numFmtId="0" fontId="13" fillId="0" borderId="42" xfId="5" applyFont="1" applyBorder="1" applyAlignment="1">
      <alignment horizontal="center" vertical="center" wrapText="1"/>
    </xf>
    <xf numFmtId="0" fontId="13" fillId="0" borderId="38" xfId="5" applyFont="1" applyBorder="1" applyAlignment="1">
      <alignment horizontal="center" vertical="center" wrapText="1"/>
    </xf>
    <xf numFmtId="0" fontId="13" fillId="0" borderId="26" xfId="5" applyFont="1" applyBorder="1" applyAlignment="1">
      <alignment horizontal="left" vertical="center" wrapText="1"/>
    </xf>
    <xf numFmtId="0" fontId="13" fillId="0" borderId="3" xfId="5" applyFont="1" applyBorder="1" applyAlignment="1">
      <alignment horizontal="left" vertical="center" wrapText="1"/>
    </xf>
    <xf numFmtId="0" fontId="13" fillId="0" borderId="27" xfId="5" applyFont="1" applyBorder="1" applyAlignment="1">
      <alignment horizontal="left" vertical="center" wrapText="1"/>
    </xf>
    <xf numFmtId="0" fontId="13" fillId="0" borderId="19" xfId="5" applyFont="1" applyBorder="1" applyAlignment="1">
      <alignment horizontal="left" vertical="center" wrapText="1"/>
    </xf>
    <xf numFmtId="0" fontId="13" fillId="0" borderId="20" xfId="5" applyFont="1" applyBorder="1" applyAlignment="1">
      <alignment horizontal="left" vertical="center" wrapText="1"/>
    </xf>
    <xf numFmtId="0" fontId="13" fillId="0" borderId="21" xfId="5" applyFont="1" applyBorder="1" applyAlignment="1">
      <alignment horizontal="left" vertical="center" wrapText="1"/>
    </xf>
    <xf numFmtId="0" fontId="13" fillId="0" borderId="23" xfId="5" applyFont="1" applyBorder="1" applyAlignment="1">
      <alignment horizontal="left" vertical="center" wrapText="1"/>
    </xf>
    <xf numFmtId="0" fontId="13" fillId="0" borderId="24" xfId="5" applyFont="1" applyBorder="1" applyAlignment="1">
      <alignment horizontal="left" vertical="center" wrapText="1"/>
    </xf>
    <xf numFmtId="0" fontId="4" fillId="0" borderId="5" xfId="5" applyBorder="1" applyAlignment="1">
      <alignment horizontal="left" vertical="top" shrinkToFit="1"/>
    </xf>
    <xf numFmtId="0" fontId="4" fillId="0" borderId="0" xfId="5" applyAlignment="1">
      <alignment horizontal="left" vertical="top" shrinkToFit="1"/>
    </xf>
    <xf numFmtId="0" fontId="4" fillId="0" borderId="6" xfId="5" applyBorder="1" applyAlignment="1">
      <alignment horizontal="left" vertical="top" shrinkToFit="1"/>
    </xf>
    <xf numFmtId="0" fontId="4" fillId="9" borderId="2" xfId="5" applyFill="1" applyBorder="1" applyAlignment="1">
      <alignment horizontal="center" vertical="center"/>
    </xf>
    <xf numFmtId="0" fontId="4" fillId="9" borderId="27" xfId="5" applyFill="1" applyBorder="1" applyAlignment="1">
      <alignment horizontal="center" vertical="center"/>
    </xf>
    <xf numFmtId="0" fontId="12" fillId="0" borderId="7" xfId="6" applyFont="1" applyBorder="1" applyAlignment="1">
      <alignment horizontal="left" vertical="center" wrapText="1"/>
    </xf>
    <xf numFmtId="0" fontId="12" fillId="0" borderId="1" xfId="6" applyFont="1" applyBorder="1" applyAlignment="1">
      <alignment horizontal="left" vertical="center" wrapText="1"/>
    </xf>
    <xf numFmtId="0" fontId="12" fillId="0" borderId="8" xfId="6" applyFont="1" applyBorder="1" applyAlignment="1">
      <alignment horizontal="left" vertical="center" wrapText="1"/>
    </xf>
    <xf numFmtId="0" fontId="13" fillId="0" borderId="34" xfId="5" applyFont="1" applyBorder="1" applyAlignment="1">
      <alignment horizontal="center" vertical="center" wrapText="1"/>
    </xf>
    <xf numFmtId="0" fontId="13" fillId="0" borderId="25" xfId="5" applyFont="1" applyBorder="1" applyAlignment="1">
      <alignment horizontal="left" vertical="center" wrapText="1"/>
    </xf>
    <xf numFmtId="0" fontId="12" fillId="0" borderId="7" xfId="5" applyFont="1" applyBorder="1" applyAlignment="1">
      <alignment horizontal="left" vertical="center" wrapText="1"/>
    </xf>
    <xf numFmtId="0" fontId="12" fillId="0" borderId="1" xfId="5" applyFont="1" applyBorder="1" applyAlignment="1">
      <alignment horizontal="left" vertical="center" wrapText="1"/>
    </xf>
    <xf numFmtId="0" fontId="12" fillId="0" borderId="8" xfId="5" applyFont="1" applyBorder="1" applyAlignment="1">
      <alignment horizontal="left" vertical="center" wrapText="1"/>
    </xf>
    <xf numFmtId="0" fontId="5" fillId="9" borderId="7" xfId="5" applyFont="1" applyFill="1" applyBorder="1" applyAlignment="1">
      <alignment horizontal="center" vertical="center"/>
    </xf>
    <xf numFmtId="0" fontId="5" fillId="9" borderId="25" xfId="5" applyFont="1" applyFill="1" applyBorder="1" applyAlignment="1">
      <alignment horizontal="center" vertical="center"/>
    </xf>
    <xf numFmtId="0" fontId="4" fillId="12" borderId="49" xfId="5" applyFill="1" applyBorder="1" applyAlignment="1">
      <alignment horizontal="center" vertical="center"/>
    </xf>
    <xf numFmtId="0" fontId="4" fillId="12" borderId="55" xfId="5" applyFill="1" applyBorder="1" applyAlignment="1">
      <alignment horizontal="center" vertical="center"/>
    </xf>
    <xf numFmtId="0" fontId="13" fillId="0" borderId="7" xfId="5" applyFont="1" applyBorder="1" applyAlignment="1">
      <alignment horizontal="center" vertical="center"/>
    </xf>
    <xf numFmtId="0" fontId="13" fillId="0" borderId="25" xfId="5" applyFont="1" applyBorder="1" applyAlignment="1">
      <alignment horizontal="center" vertical="center"/>
    </xf>
    <xf numFmtId="0" fontId="4" fillId="10" borderId="19" xfId="5" applyFill="1" applyBorder="1" applyAlignment="1">
      <alignment horizontal="left" vertical="center" wrapText="1"/>
    </xf>
    <xf numFmtId="0" fontId="4" fillId="10" borderId="0" xfId="5" applyFill="1" applyAlignment="1">
      <alignment horizontal="left" vertical="center"/>
    </xf>
    <xf numFmtId="0" fontId="4" fillId="10" borderId="6" xfId="5" applyFill="1" applyBorder="1" applyAlignment="1">
      <alignment horizontal="left" vertical="center"/>
    </xf>
    <xf numFmtId="0" fontId="4" fillId="10" borderId="24" xfId="5" applyFill="1" applyBorder="1" applyAlignment="1">
      <alignment horizontal="left" vertical="center"/>
    </xf>
    <xf numFmtId="0" fontId="4" fillId="10" borderId="1" xfId="5" applyFill="1" applyBorder="1" applyAlignment="1">
      <alignment horizontal="left" vertical="center"/>
    </xf>
    <xf numFmtId="0" fontId="4" fillId="10" borderId="8" xfId="5" applyFill="1" applyBorder="1" applyAlignment="1">
      <alignment horizontal="left" vertical="center"/>
    </xf>
    <xf numFmtId="0" fontId="12" fillId="0" borderId="3" xfId="5" applyFont="1" applyBorder="1" applyAlignment="1">
      <alignment horizontal="left" vertical="center"/>
    </xf>
    <xf numFmtId="0" fontId="12" fillId="0" borderId="4" xfId="5" applyFont="1" applyBorder="1" applyAlignment="1">
      <alignment horizontal="left" vertical="center"/>
    </xf>
    <xf numFmtId="0" fontId="12" fillId="14" borderId="83" xfId="5" applyFont="1" applyFill="1" applyBorder="1" applyAlignment="1">
      <alignment horizontal="center" vertical="center"/>
    </xf>
    <xf numFmtId="0" fontId="12" fillId="14" borderId="84" xfId="5" applyFont="1" applyFill="1" applyBorder="1" applyAlignment="1">
      <alignment horizontal="center" vertical="center"/>
    </xf>
    <xf numFmtId="0" fontId="12" fillId="14" borderId="85" xfId="5" applyFont="1" applyFill="1" applyBorder="1" applyAlignment="1">
      <alignment horizontal="center" vertical="center"/>
    </xf>
    <xf numFmtId="176" fontId="12" fillId="0" borderId="86" xfId="5" applyNumberFormat="1" applyFont="1" applyBorder="1" applyAlignment="1">
      <alignment horizontal="center" vertical="center"/>
    </xf>
    <xf numFmtId="176" fontId="12" fillId="0" borderId="84" xfId="5" applyNumberFormat="1" applyFont="1" applyBorder="1" applyAlignment="1">
      <alignment horizontal="center" vertical="center"/>
    </xf>
    <xf numFmtId="176" fontId="12" fillId="0" borderId="85" xfId="5" applyNumberFormat="1" applyFont="1" applyBorder="1" applyAlignment="1">
      <alignment horizontal="center" vertical="center"/>
    </xf>
    <xf numFmtId="0" fontId="12" fillId="14" borderId="86" xfId="6" applyFont="1" applyFill="1" applyBorder="1" applyAlignment="1">
      <alignment horizontal="center" vertical="center"/>
    </xf>
    <xf numFmtId="0" fontId="12" fillId="14" borderId="84" xfId="6" applyFont="1" applyFill="1" applyBorder="1" applyAlignment="1">
      <alignment horizontal="center" vertical="center"/>
    </xf>
    <xf numFmtId="0" fontId="12" fillId="14" borderId="85" xfId="6" applyFont="1" applyFill="1" applyBorder="1" applyAlignment="1">
      <alignment horizontal="center" vertical="center"/>
    </xf>
    <xf numFmtId="0" fontId="13" fillId="0" borderId="86" xfId="6" applyFont="1" applyBorder="1" applyAlignment="1">
      <alignment horizontal="center" vertical="center"/>
    </xf>
    <xf numFmtId="0" fontId="13" fillId="0" borderId="84" xfId="6" applyFont="1" applyBorder="1" applyAlignment="1">
      <alignment horizontal="center" vertical="center"/>
    </xf>
    <xf numFmtId="0" fontId="13" fillId="0" borderId="87" xfId="6" applyFont="1" applyBorder="1" applyAlignment="1">
      <alignment horizontal="center" vertical="center"/>
    </xf>
    <xf numFmtId="0" fontId="37" fillId="0" borderId="22" xfId="5" applyFont="1" applyBorder="1" applyAlignment="1">
      <alignment horizontal="left" vertical="center"/>
    </xf>
    <xf numFmtId="0" fontId="4" fillId="11" borderId="29" xfId="5" applyFill="1" applyBorder="1" applyAlignment="1">
      <alignment horizontal="center" vertical="center"/>
    </xf>
    <xf numFmtId="0" fontId="4" fillId="11" borderId="30" xfId="5" applyFill="1" applyBorder="1" applyAlignment="1">
      <alignment horizontal="center" vertical="center"/>
    </xf>
    <xf numFmtId="0" fontId="4" fillId="11" borderId="31" xfId="5" applyFill="1" applyBorder="1" applyAlignment="1">
      <alignment horizontal="center" vertical="center"/>
    </xf>
    <xf numFmtId="0" fontId="4" fillId="14" borderId="50" xfId="5" applyFill="1" applyBorder="1" applyAlignment="1">
      <alignment horizontal="center" vertical="center"/>
    </xf>
    <xf numFmtId="0" fontId="4" fillId="14" borderId="51" xfId="5" applyFill="1" applyBorder="1" applyAlignment="1">
      <alignment horizontal="center" vertical="center"/>
    </xf>
    <xf numFmtId="0" fontId="4" fillId="14" borderId="73" xfId="5" applyFill="1" applyBorder="1" applyAlignment="1">
      <alignment horizontal="center" vertical="center"/>
    </xf>
    <xf numFmtId="0" fontId="12" fillId="10" borderId="50" xfId="5" applyFont="1" applyFill="1" applyBorder="1" applyAlignment="1">
      <alignment horizontal="center" vertical="center"/>
    </xf>
    <xf numFmtId="0" fontId="12" fillId="10" borderId="51" xfId="5" applyFont="1" applyFill="1" applyBorder="1" applyAlignment="1">
      <alignment horizontal="center" vertical="center"/>
    </xf>
    <xf numFmtId="0" fontId="12" fillId="10" borderId="52" xfId="5" applyFont="1" applyFill="1" applyBorder="1" applyAlignment="1">
      <alignment horizontal="center" vertical="center"/>
    </xf>
    <xf numFmtId="0" fontId="4" fillId="12" borderId="53" xfId="5" applyFill="1" applyBorder="1" applyAlignment="1">
      <alignment horizontal="center" vertical="center" wrapText="1"/>
    </xf>
    <xf numFmtId="0" fontId="4" fillId="12" borderId="18" xfId="5" applyFill="1" applyBorder="1" applyAlignment="1">
      <alignment horizontal="center" vertical="center" wrapText="1"/>
    </xf>
    <xf numFmtId="0" fontId="4" fillId="12" borderId="5" xfId="5" applyFill="1" applyBorder="1" applyAlignment="1">
      <alignment horizontal="center" vertical="center" wrapText="1"/>
    </xf>
    <xf numFmtId="0" fontId="4" fillId="12" borderId="20" xfId="5" applyFill="1" applyBorder="1" applyAlignment="1">
      <alignment horizontal="center" vertical="center" wrapText="1"/>
    </xf>
    <xf numFmtId="0" fontId="4" fillId="12" borderId="7" xfId="5" applyFill="1" applyBorder="1" applyAlignment="1">
      <alignment horizontal="center" vertical="center" wrapText="1"/>
    </xf>
    <xf numFmtId="0" fontId="4" fillId="12" borderId="25" xfId="5" applyFill="1" applyBorder="1" applyAlignment="1">
      <alignment horizontal="center" vertical="center" wrapText="1"/>
    </xf>
    <xf numFmtId="0" fontId="4" fillId="11" borderId="54" xfId="5" applyFill="1" applyBorder="1" applyAlignment="1">
      <alignment horizontal="center" vertical="center" wrapText="1"/>
    </xf>
    <xf numFmtId="0" fontId="4" fillId="11" borderId="42" xfId="5" applyFill="1" applyBorder="1" applyAlignment="1">
      <alignment horizontal="center" vertical="center" wrapText="1"/>
    </xf>
    <xf numFmtId="0" fontId="4" fillId="11" borderId="34" xfId="5" applyFill="1" applyBorder="1" applyAlignment="1">
      <alignment horizontal="center" vertical="center" wrapText="1"/>
    </xf>
    <xf numFmtId="0" fontId="21" fillId="14" borderId="26" xfId="5" applyFont="1" applyFill="1" applyBorder="1" applyAlignment="1">
      <alignment horizontal="center" vertical="top" wrapText="1"/>
    </xf>
    <xf numFmtId="0" fontId="21" fillId="14" borderId="3" xfId="5" applyFont="1" applyFill="1" applyBorder="1" applyAlignment="1">
      <alignment horizontal="center" vertical="top" wrapText="1"/>
    </xf>
    <xf numFmtId="0" fontId="21" fillId="14" borderId="27" xfId="5" applyFont="1" applyFill="1" applyBorder="1" applyAlignment="1">
      <alignment horizontal="center" vertical="top" wrapText="1"/>
    </xf>
    <xf numFmtId="0" fontId="21" fillId="10" borderId="26" xfId="5" applyFont="1" applyFill="1" applyBorder="1" applyAlignment="1">
      <alignment horizontal="center" vertical="center" wrapText="1"/>
    </xf>
    <xf numFmtId="0" fontId="21" fillId="10" borderId="3" xfId="5" applyFont="1" applyFill="1" applyBorder="1" applyAlignment="1">
      <alignment horizontal="center" vertical="center" wrapText="1"/>
    </xf>
    <xf numFmtId="0" fontId="21" fillId="10" borderId="4" xfId="5" applyFont="1" applyFill="1" applyBorder="1" applyAlignment="1">
      <alignment horizontal="center" vertical="center" wrapText="1"/>
    </xf>
    <xf numFmtId="0" fontId="4" fillId="11" borderId="6" xfId="6" applyFill="1" applyBorder="1" applyAlignment="1">
      <alignment horizontal="center" vertical="center" wrapText="1"/>
    </xf>
    <xf numFmtId="0" fontId="4" fillId="11" borderId="8" xfId="6" applyFill="1" applyBorder="1" applyAlignment="1">
      <alignment horizontal="center" vertical="center" wrapText="1"/>
    </xf>
    <xf numFmtId="0" fontId="4" fillId="11" borderId="5" xfId="5" applyFill="1" applyBorder="1" applyAlignment="1">
      <alignment horizontal="center" vertical="center" wrapText="1"/>
    </xf>
    <xf numFmtId="0" fontId="4" fillId="11" borderId="0" xfId="5" applyFill="1" applyAlignment="1">
      <alignment horizontal="center" vertical="center" wrapText="1"/>
    </xf>
    <xf numFmtId="0" fontId="4" fillId="11" borderId="6" xfId="5" applyFill="1" applyBorder="1" applyAlignment="1">
      <alignment horizontal="center" vertical="center" wrapText="1"/>
    </xf>
    <xf numFmtId="0" fontId="4" fillId="11" borderId="7" xfId="5" applyFill="1" applyBorder="1" applyAlignment="1">
      <alignment horizontal="center" vertical="center" wrapText="1"/>
    </xf>
    <xf numFmtId="0" fontId="4" fillId="11" borderId="1" xfId="5" applyFill="1" applyBorder="1" applyAlignment="1">
      <alignment horizontal="center" vertical="center" wrapText="1"/>
    </xf>
    <xf numFmtId="0" fontId="4" fillId="11" borderId="8" xfId="5" applyFill="1" applyBorder="1" applyAlignment="1">
      <alignment horizontal="center" vertical="center" wrapText="1"/>
    </xf>
    <xf numFmtId="0" fontId="4" fillId="14" borderId="19" xfId="5" applyFill="1" applyBorder="1" applyAlignment="1">
      <alignment horizontal="center" vertical="center" wrapText="1"/>
    </xf>
    <xf numFmtId="0" fontId="4" fillId="14" borderId="0" xfId="5" applyFill="1" applyAlignment="1">
      <alignment horizontal="center" vertical="center" wrapText="1"/>
    </xf>
    <xf numFmtId="0" fontId="4" fillId="14" borderId="20" xfId="5" applyFill="1" applyBorder="1" applyAlignment="1">
      <alignment horizontal="center" vertical="center" wrapText="1"/>
    </xf>
    <xf numFmtId="0" fontId="4" fillId="14" borderId="24" xfId="5" applyFill="1" applyBorder="1" applyAlignment="1">
      <alignment horizontal="center" vertical="center" wrapText="1"/>
    </xf>
    <xf numFmtId="0" fontId="4" fillId="14" borderId="1" xfId="5" applyFill="1" applyBorder="1" applyAlignment="1">
      <alignment horizontal="center" vertical="center" wrapText="1"/>
    </xf>
    <xf numFmtId="0" fontId="4" fillId="14" borderId="25" xfId="5" applyFill="1" applyBorder="1" applyAlignment="1">
      <alignment horizontal="center" vertical="center" wrapText="1"/>
    </xf>
    <xf numFmtId="0" fontId="33" fillId="0" borderId="0" xfId="5" applyFont="1" applyAlignment="1">
      <alignment horizontal="left" vertical="top"/>
    </xf>
    <xf numFmtId="0" fontId="12" fillId="11" borderId="29" xfId="5" applyFont="1" applyFill="1" applyBorder="1" applyAlignment="1">
      <alignment horizontal="center" vertical="center"/>
    </xf>
    <xf numFmtId="0" fontId="12" fillId="11" borderId="30" xfId="5" applyFont="1" applyFill="1" applyBorder="1" applyAlignment="1">
      <alignment horizontal="center" vertical="center"/>
    </xf>
    <xf numFmtId="0" fontId="13" fillId="0" borderId="51" xfId="5" applyFont="1" applyBorder="1" applyAlignment="1">
      <alignment horizontal="center" vertical="center"/>
    </xf>
    <xf numFmtId="0" fontId="13" fillId="0" borderId="52" xfId="5" applyFont="1" applyBorder="1" applyAlignment="1">
      <alignment horizontal="center" vertical="center"/>
    </xf>
    <xf numFmtId="0" fontId="13" fillId="0" borderId="73" xfId="5" applyFont="1" applyBorder="1" applyAlignment="1">
      <alignment horizontal="center" vertical="center"/>
    </xf>
    <xf numFmtId="0" fontId="12" fillId="11" borderId="35" xfId="5" applyFont="1" applyFill="1" applyBorder="1" applyAlignment="1">
      <alignment horizontal="center" vertical="center"/>
    </xf>
    <xf numFmtId="0" fontId="12" fillId="11" borderId="37" xfId="5" applyFont="1" applyFill="1" applyBorder="1" applyAlignment="1">
      <alignment horizontal="center" vertical="center"/>
    </xf>
    <xf numFmtId="0" fontId="13" fillId="0" borderId="79" xfId="5" applyFont="1" applyBorder="1" applyAlignment="1">
      <alignment horizontal="center" vertical="center"/>
    </xf>
    <xf numFmtId="0" fontId="13" fillId="0" borderId="80" xfId="5" applyFont="1" applyBorder="1" applyAlignment="1">
      <alignment horizontal="center" vertical="center"/>
    </xf>
    <xf numFmtId="0" fontId="12" fillId="11" borderId="81" xfId="6" applyFont="1" applyFill="1" applyBorder="1" applyAlignment="1">
      <alignment horizontal="center" vertical="center"/>
    </xf>
    <xf numFmtId="0" fontId="12" fillId="11" borderId="79" xfId="6" applyFont="1" applyFill="1" applyBorder="1" applyAlignment="1">
      <alignment horizontal="center" vertical="center"/>
    </xf>
    <xf numFmtId="0" fontId="12" fillId="11" borderId="80" xfId="6" applyFont="1" applyFill="1" applyBorder="1" applyAlignment="1">
      <alignment horizontal="center" vertical="center"/>
    </xf>
    <xf numFmtId="0" fontId="13" fillId="0" borderId="79" xfId="6" applyFont="1" applyBorder="1" applyAlignment="1">
      <alignment horizontal="center" vertical="center"/>
    </xf>
    <xf numFmtId="0" fontId="13" fillId="0" borderId="82" xfId="6" applyFont="1" applyBorder="1" applyAlignment="1">
      <alignment horizontal="center" vertical="center"/>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9" fillId="0" borderId="65" xfId="5" applyFont="1" applyBorder="1" applyAlignment="1">
      <alignment horizontal="center" vertical="center" wrapText="1"/>
    </xf>
    <xf numFmtId="0" fontId="9" fillId="0" borderId="66" xfId="5" applyFont="1" applyBorder="1" applyAlignment="1">
      <alignment horizontal="center" vertical="center" wrapText="1"/>
    </xf>
    <xf numFmtId="0" fontId="9" fillId="0" borderId="61" xfId="9" applyFont="1" applyBorder="1" applyAlignment="1">
      <alignment horizontal="center" vertical="center" wrapText="1"/>
    </xf>
    <xf numFmtId="0" fontId="9" fillId="0" borderId="63" xfId="9" applyFont="1" applyBorder="1" applyAlignment="1">
      <alignment horizontal="center" vertical="center" wrapText="1"/>
    </xf>
    <xf numFmtId="0" fontId="9" fillId="0" borderId="70" xfId="9" applyFont="1" applyBorder="1" applyAlignment="1">
      <alignment horizontal="center" vertical="center" wrapText="1"/>
    </xf>
    <xf numFmtId="0" fontId="9" fillId="0" borderId="72" xfId="9" applyFont="1" applyBorder="1" applyAlignment="1">
      <alignment horizontal="center" vertical="center" wrapText="1"/>
    </xf>
    <xf numFmtId="0" fontId="9" fillId="0" borderId="41" xfId="5" applyFont="1" applyBorder="1" applyAlignment="1">
      <alignment horizontal="center" vertical="center" wrapText="1"/>
    </xf>
    <xf numFmtId="0" fontId="9" fillId="0" borderId="41" xfId="5" applyFont="1" applyBorder="1" applyAlignment="1">
      <alignment horizontal="center" vertical="center"/>
    </xf>
    <xf numFmtId="0" fontId="9" fillId="0" borderId="47" xfId="5" applyFont="1" applyBorder="1" applyAlignment="1">
      <alignment horizontal="center" vertical="center"/>
    </xf>
    <xf numFmtId="0" fontId="9" fillId="0" borderId="67" xfId="5" applyFont="1" applyBorder="1" applyAlignment="1">
      <alignment horizontal="center" vertical="center" shrinkToFit="1"/>
    </xf>
    <xf numFmtId="0" fontId="9" fillId="0" borderId="68" xfId="5" applyFont="1" applyBorder="1" applyAlignment="1">
      <alignment horizontal="center" vertical="center" shrinkToFit="1"/>
    </xf>
    <xf numFmtId="0" fontId="9" fillId="0" borderId="69" xfId="5" applyFont="1" applyBorder="1" applyAlignment="1">
      <alignment horizontal="center" vertical="center" shrinkToFit="1"/>
    </xf>
    <xf numFmtId="0" fontId="9" fillId="0" borderId="7" xfId="5" applyFont="1" applyBorder="1" applyAlignment="1">
      <alignment horizontal="center" vertical="center" shrinkToFit="1"/>
    </xf>
    <xf numFmtId="0" fontId="9" fillId="0" borderId="1" xfId="5" applyFont="1" applyBorder="1" applyAlignment="1">
      <alignment horizontal="center" vertical="center" shrinkToFit="1"/>
    </xf>
    <xf numFmtId="0" fontId="9" fillId="0" borderId="8" xfId="5" applyFont="1" applyBorder="1" applyAlignment="1">
      <alignment horizontal="center" vertical="center" shrinkToFit="1"/>
    </xf>
    <xf numFmtId="0" fontId="9" fillId="0" borderId="68" xfId="5" applyFont="1" applyBorder="1" applyAlignment="1">
      <alignment horizontal="center" vertical="center" wrapText="1"/>
    </xf>
    <xf numFmtId="0" fontId="9" fillId="0" borderId="69" xfId="5" applyFont="1" applyBorder="1" applyAlignment="1">
      <alignment horizontal="center" vertical="center" wrapText="1"/>
    </xf>
    <xf numFmtId="0" fontId="9" fillId="0" borderId="1" xfId="5" applyFont="1" applyBorder="1" applyAlignment="1">
      <alignment horizontal="center" vertical="center" wrapText="1"/>
    </xf>
    <xf numFmtId="0" fontId="9" fillId="0" borderId="8" xfId="5" applyFont="1" applyBorder="1" applyAlignment="1">
      <alignment horizontal="center" vertical="center" wrapText="1"/>
    </xf>
    <xf numFmtId="0" fontId="9" fillId="0" borderId="64" xfId="5" applyFont="1" applyBorder="1" applyAlignment="1">
      <alignment horizontal="center" vertical="center" shrinkToFit="1"/>
    </xf>
    <xf numFmtId="0" fontId="9" fillId="0" borderId="65" xfId="5" applyFont="1" applyBorder="1" applyAlignment="1">
      <alignment horizontal="center" vertical="center" shrinkToFit="1"/>
    </xf>
    <xf numFmtId="0" fontId="9" fillId="0" borderId="66" xfId="5" applyFont="1" applyBorder="1" applyAlignment="1">
      <alignment horizontal="center" vertical="center" shrinkToFit="1"/>
    </xf>
    <xf numFmtId="0" fontId="9" fillId="0" borderId="70" xfId="8" applyFont="1" applyBorder="1" applyAlignment="1" applyProtection="1">
      <alignment horizontal="left" vertical="center" wrapText="1"/>
      <protection locked="0"/>
    </xf>
    <xf numFmtId="0" fontId="9" fillId="0" borderId="71" xfId="8" applyFont="1" applyBorder="1" applyAlignment="1" applyProtection="1">
      <alignment horizontal="left" vertical="center" wrapText="1"/>
      <protection locked="0"/>
    </xf>
    <xf numFmtId="0" fontId="9" fillId="0" borderId="72" xfId="8" applyFont="1" applyBorder="1" applyAlignment="1" applyProtection="1">
      <alignment horizontal="left" vertical="center" wrapText="1"/>
      <protection locked="0"/>
    </xf>
    <xf numFmtId="0" fontId="9" fillId="0" borderId="61" xfId="8" applyFont="1" applyBorder="1" applyAlignment="1" applyProtection="1">
      <alignment horizontal="left" vertical="center" wrapText="1"/>
      <protection locked="0"/>
    </xf>
    <xf numFmtId="0" fontId="9" fillId="0" borderId="62" xfId="8" applyFont="1" applyBorder="1" applyAlignment="1" applyProtection="1">
      <alignment horizontal="left" vertical="center" wrapText="1"/>
      <protection locked="0"/>
    </xf>
    <xf numFmtId="0" fontId="9" fillId="0" borderId="63" xfId="8" applyFont="1" applyBorder="1" applyAlignment="1" applyProtection="1">
      <alignment horizontal="left" vertical="center" wrapText="1"/>
      <protection locked="0"/>
    </xf>
    <xf numFmtId="9" fontId="9" fillId="0" borderId="61" xfId="9" applyNumberFormat="1" applyFont="1" applyBorder="1" applyAlignment="1">
      <alignment horizontal="center" vertical="center" wrapText="1"/>
    </xf>
    <xf numFmtId="9" fontId="9" fillId="0" borderId="63" xfId="9" applyNumberFormat="1" applyFont="1" applyBorder="1" applyAlignment="1">
      <alignment horizontal="center" vertical="center" wrapText="1"/>
    </xf>
    <xf numFmtId="0" fontId="9" fillId="8" borderId="28" xfId="11" applyFont="1" applyFill="1" applyBorder="1" applyAlignment="1">
      <alignment horizontal="center" vertical="center" wrapText="1"/>
    </xf>
    <xf numFmtId="0" fontId="9" fillId="8" borderId="49" xfId="11" applyFont="1" applyFill="1" applyBorder="1" applyAlignment="1">
      <alignment horizontal="center" vertical="center" wrapText="1"/>
    </xf>
    <xf numFmtId="0" fontId="9" fillId="8" borderId="9" xfId="11" applyFont="1" applyFill="1" applyBorder="1" applyAlignment="1">
      <alignment horizontal="center" vertical="center" wrapText="1"/>
    </xf>
    <xf numFmtId="0" fontId="9" fillId="8" borderId="10" xfId="11" applyFont="1" applyFill="1" applyBorder="1" applyAlignment="1">
      <alignment horizontal="center" vertical="center" wrapText="1"/>
    </xf>
    <xf numFmtId="0" fontId="9" fillId="0" borderId="45" xfId="5" applyFont="1" applyBorder="1" applyAlignment="1">
      <alignment horizontal="center" vertical="center" wrapText="1"/>
    </xf>
    <xf numFmtId="0" fontId="9" fillId="0" borderId="45" xfId="5" applyFont="1" applyBorder="1" applyAlignment="1">
      <alignment horizontal="center" vertical="center"/>
    </xf>
    <xf numFmtId="0" fontId="9" fillId="0" borderId="2" xfId="5" applyFont="1" applyBorder="1" applyAlignment="1">
      <alignment horizontal="center" vertical="center" wrapText="1"/>
    </xf>
    <xf numFmtId="0" fontId="9" fillId="0" borderId="64" xfId="5" applyFont="1" applyBorder="1" applyAlignment="1">
      <alignment horizontal="center" vertical="center" wrapText="1"/>
    </xf>
    <xf numFmtId="0" fontId="9" fillId="0" borderId="58" xfId="9" applyFont="1" applyBorder="1" applyAlignment="1">
      <alignment horizontal="center" vertical="center" wrapText="1"/>
    </xf>
    <xf numFmtId="0" fontId="9" fillId="0" borderId="60" xfId="9" applyFont="1" applyBorder="1" applyAlignment="1">
      <alignment horizontal="center" vertical="center" wrapText="1"/>
    </xf>
    <xf numFmtId="0" fontId="9" fillId="5" borderId="49" xfId="8" applyFont="1" applyFill="1" applyBorder="1" applyAlignment="1" applyProtection="1">
      <alignment horizontal="center" vertical="center" wrapText="1"/>
      <protection locked="0"/>
    </xf>
    <xf numFmtId="0" fontId="9" fillId="5" borderId="9" xfId="8" applyFont="1" applyFill="1" applyBorder="1" applyAlignment="1" applyProtection="1">
      <alignment horizontal="center" vertical="center" wrapText="1"/>
      <protection locked="0"/>
    </xf>
    <xf numFmtId="0" fontId="9" fillId="5" borderId="10" xfId="8" applyFont="1" applyFill="1" applyBorder="1" applyAlignment="1" applyProtection="1">
      <alignment horizontal="center" vertical="center" wrapText="1"/>
      <protection locked="0"/>
    </xf>
    <xf numFmtId="0" fontId="9" fillId="8" borderId="49" xfId="11" applyFont="1" applyFill="1" applyBorder="1" applyAlignment="1">
      <alignment horizontal="center" vertical="center" shrinkToFit="1"/>
    </xf>
    <xf numFmtId="0" fontId="9" fillId="8" borderId="10" xfId="11" applyFont="1" applyFill="1" applyBorder="1" applyAlignment="1">
      <alignment horizontal="center" vertical="center" shrinkToFit="1"/>
    </xf>
    <xf numFmtId="0" fontId="9" fillId="0" borderId="58" xfId="8" applyFont="1" applyBorder="1" applyAlignment="1" applyProtection="1">
      <alignment horizontal="left" vertical="center" wrapText="1"/>
      <protection locked="0"/>
    </xf>
    <xf numFmtId="0" fontId="9" fillId="0" borderId="59" xfId="8" applyFont="1" applyBorder="1" applyAlignment="1" applyProtection="1">
      <alignment horizontal="left" vertical="center" wrapText="1"/>
      <protection locked="0"/>
    </xf>
    <xf numFmtId="0" fontId="9" fillId="0" borderId="60" xfId="8" applyFont="1" applyBorder="1" applyAlignment="1" applyProtection="1">
      <alignment horizontal="left" vertical="center" wrapText="1"/>
      <protection locked="0"/>
    </xf>
    <xf numFmtId="0" fontId="9" fillId="0" borderId="59" xfId="9" applyFont="1" applyBorder="1" applyAlignment="1">
      <alignment horizontal="center" vertical="center" wrapText="1"/>
    </xf>
    <xf numFmtId="0" fontId="14" fillId="0" borderId="0" xfId="5" applyFont="1" applyAlignment="1">
      <alignment horizontal="left"/>
    </xf>
    <xf numFmtId="0" fontId="14" fillId="0" borderId="65" xfId="5" applyFont="1" applyBorder="1" applyAlignment="1">
      <alignment horizontal="left"/>
    </xf>
    <xf numFmtId="0" fontId="9" fillId="0" borderId="67" xfId="5" applyFont="1" applyBorder="1" applyAlignment="1">
      <alignment horizontal="center" vertical="center" wrapText="1"/>
    </xf>
    <xf numFmtId="0" fontId="9" fillId="0" borderId="67" xfId="5" applyFont="1" applyBorder="1" applyAlignment="1">
      <alignment horizontal="center" vertical="center"/>
    </xf>
    <xf numFmtId="0" fontId="9" fillId="0" borderId="68" xfId="5" applyFont="1" applyBorder="1" applyAlignment="1">
      <alignment horizontal="center" vertical="center"/>
    </xf>
    <xf numFmtId="0" fontId="9" fillId="0" borderId="69" xfId="5" applyFont="1" applyBorder="1" applyAlignment="1">
      <alignment horizontal="center" vertical="center"/>
    </xf>
    <xf numFmtId="0" fontId="9" fillId="0" borderId="7" xfId="5" applyFont="1" applyBorder="1" applyAlignment="1">
      <alignment horizontal="center" vertical="center"/>
    </xf>
    <xf numFmtId="0" fontId="9" fillId="0" borderId="1" xfId="5" applyFont="1" applyBorder="1" applyAlignment="1">
      <alignment horizontal="center" vertical="center"/>
    </xf>
    <xf numFmtId="0" fontId="9" fillId="0" borderId="8" xfId="5" applyFont="1" applyBorder="1" applyAlignment="1">
      <alignment horizontal="center" vertical="center"/>
    </xf>
    <xf numFmtId="0" fontId="9" fillId="0" borderId="7" xfId="5" applyFont="1" applyBorder="1" applyAlignment="1">
      <alignment horizontal="center" vertical="center" wrapText="1"/>
    </xf>
    <xf numFmtId="0" fontId="8" fillId="0" borderId="11" xfId="4" applyFont="1" applyBorder="1" applyAlignment="1">
      <alignment horizontal="center" vertical="center" textRotation="255"/>
    </xf>
    <xf numFmtId="0" fontId="8" fillId="0" borderId="12" xfId="4" applyFont="1" applyBorder="1" applyAlignment="1">
      <alignment horizontal="center" vertical="center" textRotation="255"/>
    </xf>
    <xf numFmtId="0" fontId="8" fillId="0" borderId="15" xfId="4" applyFont="1" applyBorder="1" applyAlignment="1">
      <alignment horizontal="center" vertical="center" textRotation="255"/>
    </xf>
    <xf numFmtId="0" fontId="12" fillId="0" borderId="11" xfId="4" applyFont="1" applyBorder="1" applyAlignment="1">
      <alignment horizontal="center" vertical="center"/>
    </xf>
    <xf numFmtId="0" fontId="12" fillId="0" borderId="12" xfId="4" applyFont="1" applyBorder="1" applyAlignment="1">
      <alignment horizontal="center" vertical="center"/>
    </xf>
    <xf numFmtId="0" fontId="12" fillId="0" borderId="15" xfId="4" applyFont="1" applyBorder="1" applyAlignment="1">
      <alignment horizontal="center" vertical="center"/>
    </xf>
    <xf numFmtId="0" fontId="8" fillId="0" borderId="11" xfId="4" applyFont="1" applyBorder="1" applyAlignment="1">
      <alignment horizontal="center" vertical="center" wrapText="1"/>
    </xf>
    <xf numFmtId="0" fontId="8" fillId="0" borderId="12" xfId="4" applyFont="1" applyBorder="1" applyAlignment="1">
      <alignment vertical="center"/>
    </xf>
    <xf numFmtId="0" fontId="8" fillId="0" borderId="15" xfId="4" applyFont="1" applyBorder="1" applyAlignment="1">
      <alignment vertical="center"/>
    </xf>
    <xf numFmtId="0" fontId="6" fillId="8" borderId="2" xfId="4" applyFont="1" applyFill="1" applyBorder="1" applyAlignment="1">
      <alignment horizontal="center" vertical="center"/>
    </xf>
    <xf numFmtId="0" fontId="6" fillId="8" borderId="3" xfId="4" applyFont="1" applyFill="1" applyBorder="1" applyAlignment="1">
      <alignment horizontal="center" vertical="center"/>
    </xf>
    <xf numFmtId="0" fontId="6" fillId="8" borderId="4" xfId="4" applyFont="1" applyFill="1" applyBorder="1" applyAlignment="1">
      <alignment horizontal="center" vertical="center"/>
    </xf>
    <xf numFmtId="0" fontId="6" fillId="8" borderId="7" xfId="4" applyFont="1" applyFill="1" applyBorder="1" applyAlignment="1">
      <alignment horizontal="center" vertical="center"/>
    </xf>
    <xf numFmtId="0" fontId="6" fillId="8" borderId="1" xfId="4" applyFont="1" applyFill="1" applyBorder="1" applyAlignment="1">
      <alignment horizontal="center" vertical="center"/>
    </xf>
    <xf numFmtId="0" fontId="6" fillId="8" borderId="8" xfId="4" applyFont="1" applyFill="1" applyBorder="1" applyAlignment="1">
      <alignment horizontal="center" vertical="center"/>
    </xf>
    <xf numFmtId="0" fontId="8" fillId="0" borderId="11" xfId="4" applyFont="1" applyBorder="1" applyAlignment="1">
      <alignment horizontal="left" vertical="top" wrapText="1"/>
    </xf>
    <xf numFmtId="0" fontId="8" fillId="0" borderId="12" xfId="4" applyFont="1" applyBorder="1" applyAlignment="1">
      <alignment horizontal="left" vertical="top"/>
    </xf>
    <xf numFmtId="0" fontId="8" fillId="0" borderId="15" xfId="4" applyFont="1" applyBorder="1" applyAlignment="1">
      <alignment horizontal="left" vertical="top"/>
    </xf>
    <xf numFmtId="0" fontId="8" fillId="0" borderId="11" xfId="4" applyFont="1" applyBorder="1" applyAlignment="1">
      <alignment horizontal="left" vertical="top"/>
    </xf>
    <xf numFmtId="0" fontId="4" fillId="8" borderId="11" xfId="4" applyFont="1" applyFill="1" applyBorder="1" applyAlignment="1">
      <alignment horizontal="center" vertical="center"/>
    </xf>
    <xf numFmtId="0" fontId="4" fillId="8" borderId="15" xfId="4" applyFont="1" applyFill="1" applyBorder="1" applyAlignment="1">
      <alignment horizontal="center" vertical="center"/>
    </xf>
    <xf numFmtId="0" fontId="4" fillId="8" borderId="49" xfId="4" applyFont="1" applyFill="1" applyBorder="1" applyAlignment="1">
      <alignment horizontal="center" vertical="center"/>
    </xf>
    <xf numFmtId="0" fontId="4" fillId="8" borderId="9" xfId="4" applyFont="1" applyFill="1" applyBorder="1" applyAlignment="1">
      <alignment horizontal="center" vertical="center"/>
    </xf>
    <xf numFmtId="0" fontId="4" fillId="8" borderId="10" xfId="4" applyFont="1" applyFill="1" applyBorder="1" applyAlignment="1">
      <alignment horizontal="center" vertical="center"/>
    </xf>
    <xf numFmtId="0" fontId="8" fillId="0" borderId="12" xfId="4" applyFont="1" applyBorder="1" applyAlignment="1">
      <alignment horizontal="left" vertical="top" wrapText="1"/>
    </xf>
    <xf numFmtId="0" fontId="8" fillId="0" borderId="15" xfId="4" applyFont="1" applyBorder="1" applyAlignment="1">
      <alignment horizontal="left" vertical="top" wrapText="1"/>
    </xf>
    <xf numFmtId="0" fontId="8" fillId="0" borderId="12" xfId="4" applyFont="1" applyBorder="1" applyAlignment="1">
      <alignment horizontal="center" vertical="center" wrapText="1"/>
    </xf>
    <xf numFmtId="0" fontId="8" fillId="0" borderId="15" xfId="4" applyFont="1" applyBorder="1" applyAlignment="1">
      <alignment horizontal="center" vertical="center" wrapText="1"/>
    </xf>
    <xf numFmtId="0" fontId="6" fillId="8" borderId="5" xfId="4" applyFont="1" applyFill="1" applyBorder="1" applyAlignment="1">
      <alignment horizontal="center" vertical="center"/>
    </xf>
    <xf numFmtId="0" fontId="6" fillId="8" borderId="0" xfId="4" applyFont="1" applyFill="1" applyAlignment="1">
      <alignment horizontal="center" vertical="center"/>
    </xf>
    <xf numFmtId="0" fontId="6" fillId="8" borderId="6" xfId="4" applyFont="1" applyFill="1" applyBorder="1" applyAlignment="1">
      <alignment horizontal="center" vertical="center"/>
    </xf>
    <xf numFmtId="0" fontId="21" fillId="8" borderId="7" xfId="4" applyFont="1" applyFill="1" applyBorder="1" applyAlignment="1">
      <alignment horizontal="center" vertical="center"/>
    </xf>
    <xf numFmtId="0" fontId="21" fillId="8" borderId="1" xfId="4" applyFont="1" applyFill="1" applyBorder="1" applyAlignment="1">
      <alignment horizontal="center" vertical="center"/>
    </xf>
    <xf numFmtId="0" fontId="21" fillId="8" borderId="8" xfId="4" applyFont="1" applyFill="1" applyBorder="1" applyAlignment="1">
      <alignment horizontal="center" vertical="center"/>
    </xf>
    <xf numFmtId="0" fontId="8" fillId="0" borderId="12" xfId="4" applyFont="1" applyBorder="1" applyAlignment="1">
      <alignment vertical="top" wrapText="1"/>
    </xf>
    <xf numFmtId="0" fontId="8" fillId="0" borderId="15" xfId="4" applyFont="1" applyBorder="1" applyAlignment="1">
      <alignment vertical="top" wrapText="1"/>
    </xf>
    <xf numFmtId="0" fontId="8" fillId="0" borderId="12" xfId="4" applyFont="1" applyBorder="1" applyAlignment="1">
      <alignment horizontal="center" vertical="center"/>
    </xf>
    <xf numFmtId="0" fontId="8" fillId="0" borderId="15" xfId="4" applyFont="1" applyBorder="1" applyAlignment="1">
      <alignment horizontal="center" vertical="center"/>
    </xf>
    <xf numFmtId="0" fontId="8" fillId="0" borderId="11" xfId="4" applyFont="1" applyBorder="1" applyAlignment="1">
      <alignment vertical="top" wrapText="1"/>
    </xf>
    <xf numFmtId="0" fontId="10" fillId="0" borderId="11" xfId="4" applyFont="1" applyBorder="1" applyAlignment="1">
      <alignment horizontal="left" vertical="top" wrapText="1"/>
    </xf>
    <xf numFmtId="0" fontId="10" fillId="0" borderId="12" xfId="4" applyFont="1" applyBorder="1" applyAlignment="1">
      <alignment horizontal="left" vertical="top"/>
    </xf>
    <xf numFmtId="0" fontId="10" fillId="0" borderId="15" xfId="4" applyFont="1" applyBorder="1" applyAlignment="1">
      <alignment horizontal="left" vertical="top"/>
    </xf>
    <xf numFmtId="0" fontId="8" fillId="0" borderId="11" xfId="4" applyFont="1" applyBorder="1" applyAlignment="1">
      <alignment horizontal="center" vertical="center"/>
    </xf>
    <xf numFmtId="0" fontId="8" fillId="0" borderId="49" xfId="4" applyFont="1" applyBorder="1" applyAlignment="1">
      <alignment horizontal="center"/>
    </xf>
    <xf numFmtId="0" fontId="8" fillId="0" borderId="9" xfId="4" applyFont="1" applyBorder="1" applyAlignment="1">
      <alignment horizontal="center"/>
    </xf>
    <xf numFmtId="0" fontId="8" fillId="0" borderId="10" xfId="4" applyFont="1" applyBorder="1" applyAlignment="1">
      <alignment horizontal="center"/>
    </xf>
    <xf numFmtId="0" fontId="21" fillId="8" borderId="5" xfId="4" applyFont="1" applyFill="1" applyBorder="1" applyAlignment="1">
      <alignment horizontal="center" vertical="center"/>
    </xf>
    <xf numFmtId="0" fontId="21" fillId="8" borderId="0" xfId="4" applyFont="1" applyFill="1" applyAlignment="1">
      <alignment horizontal="center" vertical="center"/>
    </xf>
    <xf numFmtId="0" fontId="21" fillId="8" borderId="6" xfId="4" applyFont="1" applyFill="1" applyBorder="1" applyAlignment="1">
      <alignment horizontal="center" vertical="center"/>
    </xf>
    <xf numFmtId="0" fontId="44" fillId="0" borderId="12" xfId="4" applyFont="1" applyBorder="1" applyAlignment="1">
      <alignment vertical="top" wrapText="1"/>
    </xf>
    <xf numFmtId="0" fontId="44" fillId="0" borderId="15" xfId="4" applyFont="1" applyBorder="1" applyAlignment="1">
      <alignment vertical="top" wrapText="1"/>
    </xf>
    <xf numFmtId="0" fontId="21" fillId="8" borderId="2" xfId="4" applyFont="1" applyFill="1" applyBorder="1" applyAlignment="1">
      <alignment horizontal="center" vertical="center"/>
    </xf>
    <xf numFmtId="0" fontId="21" fillId="8" borderId="3" xfId="4" applyFont="1" applyFill="1" applyBorder="1" applyAlignment="1">
      <alignment horizontal="center" vertical="center"/>
    </xf>
    <xf numFmtId="0" fontId="21" fillId="8" borderId="4" xfId="4" applyFont="1" applyFill="1" applyBorder="1" applyAlignment="1">
      <alignment horizontal="center" vertical="center"/>
    </xf>
    <xf numFmtId="0" fontId="44" fillId="0" borderId="11" xfId="4" applyFont="1" applyBorder="1" applyAlignment="1">
      <alignment vertical="top" wrapText="1"/>
    </xf>
    <xf numFmtId="0" fontId="4" fillId="8" borderId="49" xfId="11" applyFont="1" applyFill="1" applyBorder="1" applyAlignment="1">
      <alignment horizontal="center" vertical="center"/>
    </xf>
    <xf numFmtId="0" fontId="4" fillId="8" borderId="9" xfId="11" applyFont="1" applyFill="1" applyBorder="1" applyAlignment="1">
      <alignment horizontal="center" vertical="center"/>
    </xf>
    <xf numFmtId="0" fontId="4" fillId="8" borderId="10" xfId="11" applyFont="1" applyFill="1" applyBorder="1" applyAlignment="1">
      <alignment horizontal="center" vertical="center"/>
    </xf>
    <xf numFmtId="0" fontId="4" fillId="8" borderId="11" xfId="11" applyFont="1" applyFill="1" applyBorder="1" applyAlignment="1">
      <alignment horizontal="center" vertical="center"/>
    </xf>
    <xf numFmtId="0" fontId="4" fillId="8" borderId="15" xfId="11" applyFont="1" applyFill="1" applyBorder="1" applyAlignment="1">
      <alignment horizontal="center" vertical="center"/>
    </xf>
    <xf numFmtId="0" fontId="8" fillId="0" borderId="11" xfId="11" applyFont="1" applyBorder="1" applyAlignment="1">
      <alignment horizontal="left" vertical="top" wrapText="1"/>
    </xf>
    <xf numFmtId="0" fontId="8" fillId="0" borderId="12" xfId="11" applyFont="1" applyBorder="1" applyAlignment="1">
      <alignment horizontal="left" vertical="top" wrapText="1"/>
    </xf>
    <xf numFmtId="0" fontId="8" fillId="0" borderId="11" xfId="11" applyFont="1" applyBorder="1" applyAlignment="1">
      <alignment horizontal="center" vertical="center" textRotation="255"/>
    </xf>
    <xf numFmtId="0" fontId="8" fillId="0" borderId="12" xfId="11" applyFont="1" applyBorder="1" applyAlignment="1">
      <alignment horizontal="center" vertical="center" textRotation="255"/>
    </xf>
    <xf numFmtId="0" fontId="8" fillId="0" borderId="15" xfId="11" applyFont="1" applyBorder="1" applyAlignment="1">
      <alignment horizontal="center" vertical="center" textRotation="255"/>
    </xf>
    <xf numFmtId="0" fontId="12" fillId="0" borderId="11" xfId="11" applyFont="1" applyBorder="1" applyAlignment="1">
      <alignment horizontal="center" vertical="center"/>
    </xf>
    <xf numFmtId="0" fontId="12" fillId="0" borderId="12" xfId="11" applyFont="1" applyBorder="1" applyAlignment="1">
      <alignment horizontal="center" vertical="center"/>
    </xf>
    <xf numFmtId="0" fontId="12" fillId="0" borderId="15" xfId="11" applyFont="1" applyBorder="1" applyAlignment="1">
      <alignment horizontal="center" vertical="center"/>
    </xf>
    <xf numFmtId="0" fontId="8" fillId="0" borderId="11" xfId="11" applyFont="1" applyBorder="1" applyAlignment="1">
      <alignment horizontal="center" vertical="center" wrapText="1"/>
    </xf>
    <xf numFmtId="0" fontId="8" fillId="0" borderId="12" xfId="11" applyFont="1" applyBorder="1" applyAlignment="1">
      <alignment horizontal="center" vertical="center" wrapText="1"/>
    </xf>
    <xf numFmtId="0" fontId="8" fillId="0" borderId="15" xfId="11" applyFont="1" applyBorder="1" applyAlignment="1">
      <alignment horizontal="center" vertical="center" wrapText="1"/>
    </xf>
    <xf numFmtId="0" fontId="8" fillId="0" borderId="15" xfId="11" applyFont="1" applyBorder="1" applyAlignment="1">
      <alignment horizontal="left" vertical="top" wrapText="1"/>
    </xf>
    <xf numFmtId="0" fontId="6" fillId="8" borderId="2" xfId="11" applyFont="1" applyFill="1" applyBorder="1" applyAlignment="1">
      <alignment horizontal="center" vertical="center"/>
    </xf>
    <xf numFmtId="0" fontId="6" fillId="8" borderId="3" xfId="11" applyFont="1" applyFill="1" applyBorder="1" applyAlignment="1">
      <alignment horizontal="center" vertical="center"/>
    </xf>
    <xf numFmtId="0" fontId="6" fillId="8" borderId="4" xfId="11" applyFont="1" applyFill="1" applyBorder="1" applyAlignment="1">
      <alignment horizontal="center" vertical="center"/>
    </xf>
    <xf numFmtId="0" fontId="6" fillId="8" borderId="7" xfId="11" applyFont="1" applyFill="1" applyBorder="1" applyAlignment="1">
      <alignment horizontal="center" vertical="center"/>
    </xf>
    <xf numFmtId="0" fontId="6" fillId="8" borderId="1" xfId="11" applyFont="1" applyFill="1" applyBorder="1" applyAlignment="1">
      <alignment horizontal="center" vertical="center"/>
    </xf>
    <xf numFmtId="0" fontId="6" fillId="8" borderId="8" xfId="11" applyFont="1" applyFill="1" applyBorder="1" applyAlignment="1">
      <alignment horizontal="center" vertical="center"/>
    </xf>
    <xf numFmtId="0" fontId="8" fillId="0" borderId="11" xfId="11" applyFont="1" applyBorder="1" applyAlignment="1">
      <alignment horizontal="center" vertical="center" wrapText="1" shrinkToFit="1"/>
    </xf>
    <xf numFmtId="0" fontId="8" fillId="0" borderId="12" xfId="11" applyFont="1" applyBorder="1" applyAlignment="1">
      <alignment horizontal="center" vertical="center" shrinkToFit="1"/>
    </xf>
    <xf numFmtId="0" fontId="8" fillId="0" borderId="15" xfId="11" applyFont="1" applyBorder="1" applyAlignment="1">
      <alignment horizontal="center" vertical="center" shrinkToFit="1"/>
    </xf>
    <xf numFmtId="0" fontId="8" fillId="0" borderId="11" xfId="11" applyFont="1" applyBorder="1" applyAlignment="1">
      <alignment horizontal="center" vertical="center"/>
    </xf>
    <xf numFmtId="0" fontId="8" fillId="0" borderId="12" xfId="11" applyFont="1" applyBorder="1" applyAlignment="1">
      <alignment horizontal="center" vertical="center"/>
    </xf>
    <xf numFmtId="0" fontId="8" fillId="0" borderId="15" xfId="11" applyFont="1" applyBorder="1" applyAlignment="1">
      <alignment horizontal="center" vertical="center"/>
    </xf>
    <xf numFmtId="0" fontId="21" fillId="8" borderId="7" xfId="11" applyFont="1" applyFill="1" applyBorder="1" applyAlignment="1">
      <alignment horizontal="center" vertical="center"/>
    </xf>
    <xf numFmtId="0" fontId="21" fillId="8" borderId="1" xfId="11" applyFont="1" applyFill="1" applyBorder="1" applyAlignment="1">
      <alignment horizontal="center" vertical="center"/>
    </xf>
    <xf numFmtId="0" fontId="21" fillId="8" borderId="8" xfId="11" applyFont="1" applyFill="1" applyBorder="1" applyAlignment="1">
      <alignment horizontal="center" vertical="center"/>
    </xf>
    <xf numFmtId="0" fontId="8" fillId="0" borderId="11" xfId="11" applyFont="1" applyBorder="1" applyAlignment="1">
      <alignment horizontal="left" vertical="top"/>
    </xf>
    <xf numFmtId="0" fontId="8" fillId="0" borderId="12" xfId="11" applyFont="1" applyBorder="1" applyAlignment="1">
      <alignment horizontal="left" vertical="top"/>
    </xf>
    <xf numFmtId="0" fontId="8" fillId="0" borderId="15" xfId="11" applyFont="1" applyBorder="1" applyAlignment="1">
      <alignment horizontal="left" vertical="top"/>
    </xf>
    <xf numFmtId="0" fontId="8" fillId="0" borderId="12" xfId="11" applyFont="1" applyBorder="1" applyAlignment="1">
      <alignment vertical="center"/>
    </xf>
    <xf numFmtId="0" fontId="8" fillId="0" borderId="15" xfId="11" applyFont="1" applyBorder="1" applyAlignment="1">
      <alignment vertical="center"/>
    </xf>
    <xf numFmtId="0" fontId="8" fillId="0" borderId="11" xfId="11" applyFont="1" applyBorder="1" applyAlignment="1">
      <alignment vertical="top" wrapText="1"/>
    </xf>
    <xf numFmtId="0" fontId="8" fillId="0" borderId="12" xfId="11" applyFont="1" applyBorder="1" applyAlignment="1">
      <alignment vertical="top" wrapText="1"/>
    </xf>
    <xf numFmtId="0" fontId="8" fillId="0" borderId="15" xfId="11" applyFont="1" applyBorder="1" applyAlignment="1">
      <alignment vertical="top" wrapText="1"/>
    </xf>
    <xf numFmtId="0" fontId="10" fillId="0" borderId="11" xfId="11" applyFont="1" applyBorder="1" applyAlignment="1">
      <alignment horizontal="left" vertical="top" wrapText="1"/>
    </xf>
    <xf numFmtId="0" fontId="10" fillId="0" borderId="12" xfId="11" applyFont="1" applyBorder="1" applyAlignment="1">
      <alignment horizontal="left" vertical="top"/>
    </xf>
    <xf numFmtId="0" fontId="10" fillId="0" borderId="15" xfId="11" applyFont="1" applyBorder="1" applyAlignment="1">
      <alignment horizontal="left" vertical="top"/>
    </xf>
    <xf numFmtId="0" fontId="6" fillId="8" borderId="5" xfId="11" applyFont="1" applyFill="1" applyBorder="1" applyAlignment="1">
      <alignment horizontal="center" vertical="center"/>
    </xf>
    <xf numFmtId="0" fontId="6" fillId="8" borderId="0" xfId="11" applyFont="1" applyFill="1" applyAlignment="1">
      <alignment horizontal="center" vertical="center"/>
    </xf>
    <xf numFmtId="0" fontId="6" fillId="8" borderId="6" xfId="11" applyFont="1" applyFill="1" applyBorder="1" applyAlignment="1">
      <alignment horizontal="center" vertical="center"/>
    </xf>
    <xf numFmtId="0" fontId="13" fillId="0" borderId="4" xfId="6" applyFont="1" applyBorder="1" applyAlignment="1">
      <alignment vertical="center"/>
    </xf>
    <xf numFmtId="0" fontId="13" fillId="0" borderId="6" xfId="6" applyFont="1" applyBorder="1" applyAlignment="1">
      <alignment vertical="center"/>
    </xf>
    <xf numFmtId="0" fontId="13" fillId="0" borderId="0" xfId="6" applyFont="1" applyAlignment="1">
      <alignment vertical="center"/>
    </xf>
    <xf numFmtId="0" fontId="13" fillId="0" borderId="1" xfId="6" applyFont="1" applyBorder="1" applyAlignment="1">
      <alignment vertical="center"/>
    </xf>
    <xf numFmtId="0" fontId="13" fillId="0" borderId="8" xfId="6" applyFont="1" applyBorder="1" applyAlignment="1">
      <alignment vertical="center"/>
    </xf>
    <xf numFmtId="0" fontId="13" fillId="0" borderId="57" xfId="6" applyFont="1" applyBorder="1" applyAlignment="1">
      <alignment vertical="center"/>
    </xf>
  </cellXfs>
  <cellStyles count="14">
    <cellStyle name="ハイパーリンク" xfId="3" builtinId="8"/>
    <cellStyle name="ハイパーリンク 2" xfId="7" xr:uid="{00000000-0005-0000-0000-000001000000}"/>
    <cellStyle name="通貨 2" xfId="10" xr:uid="{00000000-0005-0000-0000-000002000000}"/>
    <cellStyle name="標準" xfId="0" builtinId="0"/>
    <cellStyle name="標準 2" xfId="2" xr:uid="{00000000-0005-0000-0000-000004000000}"/>
    <cellStyle name="標準 3" xfId="4" xr:uid="{00000000-0005-0000-0000-000005000000}"/>
    <cellStyle name="標準 3 2" xfId="11" xr:uid="{72C80D90-3273-417E-94D6-43E53016B80D}"/>
    <cellStyle name="標準 3 3" xfId="13" xr:uid="{8744782B-561E-4859-9368-DC158ED74B7A}"/>
    <cellStyle name="標準 4 2" xfId="12" xr:uid="{55BB9E18-0838-4E38-84E7-2B8DEE2C5329}"/>
    <cellStyle name="標準_07下期業績評定表（三川14名）修正" xfId="5" xr:uid="{00000000-0005-0000-0000-000006000000}"/>
    <cellStyle name="標準_21.人事考課表（管理職）（能力）(原紙）" xfId="8" xr:uid="{00000000-0005-0000-0000-000007000000}"/>
    <cellStyle name="標準_M-netキャリアプランシート" xfId="1" xr:uid="{00000000-0005-0000-0000-000008000000}"/>
    <cellStyle name="標準_人事考課シート" xfId="9" xr:uid="{00000000-0005-0000-0000-000009000000}"/>
    <cellStyle name="標準_図18◆目標管理カード　様式３" xfId="6" xr:uid="{00000000-0005-0000-0000-00000A000000}"/>
  </cellStyles>
  <dxfs count="0"/>
  <tableStyles count="0" defaultTableStyle="TableStyleMedium2" defaultPivotStyle="PivotStyleLight16"/>
  <colors>
    <mruColors>
      <color rgb="FFFFFF99"/>
      <color rgb="FFFFFFCC"/>
      <color rgb="FF99FFCC"/>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187903</xdr:colOff>
      <xdr:row>19</xdr:row>
      <xdr:rowOff>10391</xdr:rowOff>
    </xdr:from>
    <xdr:to>
      <xdr:col>5</xdr:col>
      <xdr:colOff>1502834</xdr:colOff>
      <xdr:row>21</xdr:row>
      <xdr:rowOff>25977</xdr:rowOff>
    </xdr:to>
    <xdr:sp macro="" textlink="">
      <xdr:nvSpPr>
        <xdr:cNvPr id="2" name="WordArt 2">
          <a:extLst>
            <a:ext uri="{FF2B5EF4-FFF2-40B4-BE49-F238E27FC236}">
              <a16:creationId xmlns:a16="http://schemas.microsoft.com/office/drawing/2014/main" id="{00000000-0008-0000-0100-000002000000}"/>
            </a:ext>
          </a:extLst>
        </xdr:cNvPr>
        <xdr:cNvSpPr>
          <a:spLocks noChangeArrowheads="1" noChangeShapeType="1" noTextEdit="1"/>
        </xdr:cNvSpPr>
      </xdr:nvSpPr>
      <xdr:spPr bwMode="auto">
        <a:xfrm>
          <a:off x="187903" y="2920808"/>
          <a:ext cx="4754514" cy="311919"/>
        </a:xfrm>
        <a:prstGeom prst="rect">
          <a:avLst/>
        </a:prstGeom>
        <a:extLst>
          <a:ext uri="{AF507438-7753-43E0-B8FC-AC1667EBCBE1}">
            <a14:hiddenEffects xmlns:a14="http://schemas.microsoft.com/office/drawing/2010/main">
              <a:effectLst/>
            </a14:hiddenEffects>
          </a:ext>
        </a:extLst>
      </xdr:spPr>
      <xdr:txBody>
        <a:bodyPr wrap="none" fromWordArt="1">
          <a:prstTxWarp prst="textSlantUp">
            <a:avLst>
              <a:gd name="adj" fmla="val 0"/>
            </a:avLst>
          </a:prstTxWarp>
        </a:bodyPr>
        <a:lstStyle/>
        <a:p>
          <a:pPr algn="ctr" rtl="0">
            <a:buNone/>
          </a:pPr>
          <a:r>
            <a:rPr lang="ja-JP" altLang="en-US" sz="2400" kern="10" spc="0">
              <a:ln w="9525">
                <a:solidFill>
                  <a:srgbClr val="000000"/>
                </a:solidFill>
                <a:round/>
                <a:headEnd/>
                <a:tailEnd/>
              </a:ln>
              <a:solidFill>
                <a:srgbClr val="000000"/>
              </a:solidFill>
              <a:effectLst/>
              <a:latin typeface="ＭＳ Ｐゴシック"/>
              <a:ea typeface="ＭＳ Ｐゴシック"/>
            </a:rPr>
            <a:t>キャリアプラン制度ハンドブック</a:t>
          </a:r>
        </a:p>
      </xdr:txBody>
    </xdr:sp>
    <xdr:clientData/>
  </xdr:twoCellAnchor>
  <xdr:twoCellAnchor>
    <xdr:from>
      <xdr:col>0</xdr:col>
      <xdr:colOff>180975</xdr:colOff>
      <xdr:row>27</xdr:row>
      <xdr:rowOff>88901</xdr:rowOff>
    </xdr:from>
    <xdr:to>
      <xdr:col>3</xdr:col>
      <xdr:colOff>295275</xdr:colOff>
      <xdr:row>42</xdr:row>
      <xdr:rowOff>69850</xdr:rowOff>
    </xdr:to>
    <xdr:grpSp>
      <xdr:nvGrpSpPr>
        <xdr:cNvPr id="4" name="Group 160">
          <a:extLst>
            <a:ext uri="{FF2B5EF4-FFF2-40B4-BE49-F238E27FC236}">
              <a16:creationId xmlns:a16="http://schemas.microsoft.com/office/drawing/2014/main" id="{00000000-0008-0000-0100-000004000000}"/>
            </a:ext>
          </a:extLst>
        </xdr:cNvPr>
        <xdr:cNvGrpSpPr>
          <a:grpSpLocks/>
        </xdr:cNvGrpSpPr>
      </xdr:nvGrpSpPr>
      <xdr:grpSpPr bwMode="auto">
        <a:xfrm>
          <a:off x="180975" y="3794126"/>
          <a:ext cx="1914525" cy="2781299"/>
          <a:chOff x="22" y="427"/>
          <a:chExt cx="180" cy="293"/>
        </a:xfrm>
      </xdr:grpSpPr>
      <xdr:pic>
        <xdr:nvPicPr>
          <xdr:cNvPr id="5" name="図 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 y="697"/>
            <a:ext cx="173" cy="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 name="図 10">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 y="427"/>
            <a:ext cx="180" cy="2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0</xdr:col>
      <xdr:colOff>333375</xdr:colOff>
      <xdr:row>68</xdr:row>
      <xdr:rowOff>114300</xdr:rowOff>
    </xdr:from>
    <xdr:to>
      <xdr:col>7</xdr:col>
      <xdr:colOff>314325</xdr:colOff>
      <xdr:row>81</xdr:row>
      <xdr:rowOff>85725</xdr:rowOff>
    </xdr:to>
    <xdr:sp macro="" textlink="">
      <xdr:nvSpPr>
        <xdr:cNvPr id="7" name="テキスト ボックス 1">
          <a:extLst>
            <a:ext uri="{FF2B5EF4-FFF2-40B4-BE49-F238E27FC236}">
              <a16:creationId xmlns:a16="http://schemas.microsoft.com/office/drawing/2014/main" id="{00000000-0008-0000-0100-000007000000}"/>
            </a:ext>
          </a:extLst>
        </xdr:cNvPr>
        <xdr:cNvSpPr txBox="1">
          <a:spLocks noChangeArrowheads="1"/>
        </xdr:cNvSpPr>
      </xdr:nvSpPr>
      <xdr:spPr bwMode="auto">
        <a:xfrm>
          <a:off x="333375" y="10582275"/>
          <a:ext cx="7019925" cy="1828800"/>
        </a:xfrm>
        <a:prstGeom prst="rect">
          <a:avLst/>
        </a:prstGeom>
        <a:noFill/>
        <a:ln w="25400" algn="ctr">
          <a:solidFill>
            <a:srgbClr val="F79646"/>
          </a:solidFill>
          <a:miter lim="800000"/>
          <a:headEnd/>
          <a:tailEnd/>
        </a:ln>
      </xdr:spPr>
      <xdr:txBody>
        <a:bodyPr vertOverflow="clip" wrap="square" lIns="27432" tIns="18288" rIns="0" bIns="18288" anchor="ctr" upright="1"/>
        <a:lstStyle/>
        <a:p>
          <a:pPr algn="l" rtl="0">
            <a:defRPr sz="1000"/>
          </a:pPr>
          <a:r>
            <a:rPr lang="ja-JP" altLang="en-US" sz="1100" b="0" i="0" u="none" strike="noStrike" baseline="0">
              <a:solidFill>
                <a:srgbClr val="000000"/>
              </a:solidFill>
              <a:latin typeface="+mn-ea"/>
              <a:ea typeface="+mn-ea"/>
            </a:rPr>
            <a:t>　キャリアプラン制度と職群別資格制度は、2011年10月からの1年間の試行を経て、2012年10月から本番運用しました。</a:t>
          </a:r>
        </a:p>
        <a:p>
          <a:pPr algn="l" rtl="0">
            <a:lnSpc>
              <a:spcPts val="1300"/>
            </a:lnSpc>
            <a:defRPr sz="1000"/>
          </a:pPr>
          <a:r>
            <a:rPr lang="ja-JP" altLang="en-US" sz="1100" b="0" i="0" u="none" strike="noStrike" baseline="0">
              <a:solidFill>
                <a:srgbClr val="000000"/>
              </a:solidFill>
              <a:latin typeface="+mn-ea"/>
              <a:ea typeface="+mn-ea"/>
            </a:rPr>
            <a:t>　</a:t>
          </a:r>
          <a:r>
            <a:rPr lang="ja-JP" altLang="ja-JP" sz="1100" b="0" i="0" baseline="0">
              <a:effectLst/>
              <a:latin typeface="+mn-ea"/>
              <a:ea typeface="+mn-ea"/>
              <a:cs typeface="+mn-cs"/>
            </a:rPr>
            <a:t>職群別資格制度</a:t>
          </a:r>
          <a:r>
            <a:rPr lang="ja-JP" altLang="en-US" sz="1100" b="0" i="0" baseline="0">
              <a:effectLst/>
              <a:latin typeface="+mn-ea"/>
              <a:ea typeface="+mn-ea"/>
              <a:cs typeface="+mn-cs"/>
            </a:rPr>
            <a:t>は、</a:t>
          </a:r>
          <a:r>
            <a:rPr lang="ja-JP" altLang="en-US" sz="1100" b="0" i="0" u="none" strike="noStrike" baseline="0">
              <a:solidFill>
                <a:srgbClr val="000000"/>
              </a:solidFill>
              <a:latin typeface="+mn-ea"/>
              <a:ea typeface="+mn-ea"/>
            </a:rPr>
            <a:t>2013年4月の新人事考課制度から考課指標とリンクし、また、</a:t>
          </a:r>
          <a:r>
            <a:rPr lang="en-US" altLang="ja-JP" sz="1100" b="0" i="0" u="none" strike="noStrike" baseline="0">
              <a:solidFill>
                <a:srgbClr val="000000"/>
              </a:solidFill>
              <a:latin typeface="+mn-ea"/>
              <a:ea typeface="+mn-ea"/>
            </a:rPr>
            <a:t>2014</a:t>
          </a:r>
          <a:r>
            <a:rPr lang="ja-JP" altLang="en-US" sz="1100" b="0" i="0" u="none" strike="noStrike" baseline="0">
              <a:solidFill>
                <a:srgbClr val="000000"/>
              </a:solidFill>
              <a:latin typeface="+mn-ea"/>
              <a:ea typeface="+mn-ea"/>
            </a:rPr>
            <a:t>年</a:t>
          </a:r>
          <a:r>
            <a:rPr lang="en-US" altLang="ja-JP" sz="1100" b="0" i="0" u="none" strike="noStrike" baseline="0">
              <a:solidFill>
                <a:srgbClr val="000000"/>
              </a:solidFill>
              <a:latin typeface="+mn-ea"/>
              <a:ea typeface="+mn-ea"/>
            </a:rPr>
            <a:t>4</a:t>
          </a:r>
          <a:r>
            <a:rPr lang="ja-JP" altLang="en-US" sz="1100" b="0" i="0" u="none" strike="noStrike" baseline="0">
              <a:solidFill>
                <a:srgbClr val="000000"/>
              </a:solidFill>
              <a:latin typeface="+mn-ea"/>
              <a:ea typeface="+mn-ea"/>
            </a:rPr>
            <a:t>月の昇給昇格から、賃金制度とも連動しています。</a:t>
          </a:r>
        </a:p>
        <a:p>
          <a:pPr algn="l" rtl="0">
            <a:lnSpc>
              <a:spcPts val="1300"/>
            </a:lnSpc>
            <a:defRPr sz="1000"/>
          </a:pPr>
          <a:r>
            <a:rPr lang="ja-JP" altLang="en-US" sz="1100" b="0" i="0" u="none" strike="noStrike" baseline="0">
              <a:solidFill>
                <a:srgbClr val="000000"/>
              </a:solidFill>
              <a:latin typeface="+mn-ea"/>
              <a:ea typeface="+mn-ea"/>
            </a:rPr>
            <a:t>　導入した２つの制度は、人事制度の基礎（判断基準）になります。職群定義や全社資格基準で不具合があれば、柔軟に修正し、実態にあった内容にしていきます。</a:t>
          </a:r>
        </a:p>
        <a:p>
          <a:pPr algn="l" rtl="0">
            <a:lnSpc>
              <a:spcPts val="1300"/>
            </a:lnSpc>
            <a:defRPr sz="1000"/>
          </a:pPr>
          <a:r>
            <a:rPr lang="ja-JP" altLang="en-US" sz="1100" b="0" i="0" u="none" strike="noStrike" baseline="0">
              <a:solidFill>
                <a:srgbClr val="000000"/>
              </a:solidFill>
              <a:latin typeface="+mn-ea"/>
              <a:ea typeface="+mn-ea"/>
            </a:rPr>
            <a:t>　ぜひ、２つの制度を活用して頂き、ご意見、ご要望をお待ちしています。</a:t>
          </a:r>
        </a:p>
        <a:p>
          <a:pPr algn="l" rtl="0">
            <a:lnSpc>
              <a:spcPts val="1300"/>
            </a:lnSpc>
            <a:defRPr sz="1000"/>
          </a:pPr>
          <a:endParaRPr lang="ja-JP" altLang="en-US" sz="1100" b="0" i="0" u="none" strike="noStrike" baseline="0">
            <a:solidFill>
              <a:srgbClr val="000000"/>
            </a:solidFill>
            <a:latin typeface="+mn-ea"/>
            <a:ea typeface="+mn-ea"/>
          </a:endParaRPr>
        </a:p>
        <a:p>
          <a:pPr algn="l" rtl="0">
            <a:defRPr sz="1000"/>
          </a:pPr>
          <a:r>
            <a:rPr lang="ja-JP" altLang="en-US" sz="1100" b="0" i="0" u="none" strike="noStrike" baseline="0">
              <a:solidFill>
                <a:srgbClr val="000000"/>
              </a:solidFill>
              <a:latin typeface="+mn-ea"/>
              <a:ea typeface="+mn-ea"/>
            </a:rPr>
            <a:t>ご意見・ご要望は、バリューアップセンター　人事担当にてメール（</a:t>
          </a:r>
          <a:r>
            <a:rPr lang="en-US" altLang="ja-JP" sz="1100" b="0" i="0" u="none" strike="noStrike" baseline="0">
              <a:solidFill>
                <a:srgbClr val="000000"/>
              </a:solidFill>
              <a:latin typeface="+mn-ea"/>
              <a:ea typeface="+mn-ea"/>
            </a:rPr>
            <a:t>nct_</a:t>
          </a:r>
          <a:r>
            <a:rPr lang="ja-JP" altLang="en-US" sz="1100" b="0" i="0" u="none" strike="noStrike" baseline="0">
              <a:solidFill>
                <a:srgbClr val="000000"/>
              </a:solidFill>
              <a:latin typeface="+mn-ea"/>
              <a:ea typeface="+mn-ea"/>
            </a:rPr>
            <a:t>jinji@comthink.co.jp）、お電話(06)6448-8660で受け付けています。</a:t>
          </a:r>
        </a:p>
        <a:p>
          <a:pPr algn="l" rtl="0">
            <a:lnSpc>
              <a:spcPts val="1300"/>
            </a:lnSpc>
            <a:defRPr sz="1000"/>
          </a:pPr>
          <a:r>
            <a:rPr lang="ja-JP" altLang="en-US" sz="1100" b="0" i="0" u="none" strike="noStrike" baseline="0">
              <a:solidFill>
                <a:srgbClr val="000000"/>
              </a:solidFill>
              <a:latin typeface="+mn-ea"/>
              <a:ea typeface="+mn-ea"/>
            </a:rPr>
            <a:t>頂いた情報は秘密厳守でご対応致します。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34</xdr:row>
      <xdr:rowOff>247650</xdr:rowOff>
    </xdr:from>
    <xdr:to>
      <xdr:col>6</xdr:col>
      <xdr:colOff>0</xdr:colOff>
      <xdr:row>35</xdr:row>
      <xdr:rowOff>142875</xdr:rowOff>
    </xdr:to>
    <xdr:sp macro="" textlink="">
      <xdr:nvSpPr>
        <xdr:cNvPr id="2" name="AutoShape 7">
          <a:extLst>
            <a:ext uri="{FF2B5EF4-FFF2-40B4-BE49-F238E27FC236}">
              <a16:creationId xmlns:a16="http://schemas.microsoft.com/office/drawing/2014/main" id="{00000000-0008-0000-0400-000002000000}"/>
            </a:ext>
          </a:extLst>
        </xdr:cNvPr>
        <xdr:cNvSpPr>
          <a:spLocks noChangeArrowheads="1"/>
        </xdr:cNvSpPr>
      </xdr:nvSpPr>
      <xdr:spPr bwMode="auto">
        <a:xfrm rot="-5400000">
          <a:off x="4567237" y="9501188"/>
          <a:ext cx="657225" cy="0"/>
        </a:xfrm>
        <a:prstGeom prst="rightArrow">
          <a:avLst>
            <a:gd name="adj1" fmla="val 41667"/>
            <a:gd name="adj2" fmla="val -2147483648"/>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553800</xdr:colOff>
      <xdr:row>26</xdr:row>
      <xdr:rowOff>76675</xdr:rowOff>
    </xdr:from>
    <xdr:to>
      <xdr:col>2</xdr:col>
      <xdr:colOff>707659</xdr:colOff>
      <xdr:row>26</xdr:row>
      <xdr:rowOff>248125</xdr:rowOff>
    </xdr:to>
    <xdr:sp macro="" textlink="">
      <xdr:nvSpPr>
        <xdr:cNvPr id="4" name="AutoShape 4">
          <a:extLst>
            <a:ext uri="{FF2B5EF4-FFF2-40B4-BE49-F238E27FC236}">
              <a16:creationId xmlns:a16="http://schemas.microsoft.com/office/drawing/2014/main" id="{00000000-0008-0000-0400-000004000000}"/>
            </a:ext>
          </a:extLst>
        </xdr:cNvPr>
        <xdr:cNvSpPr>
          <a:spLocks noChangeArrowheads="1"/>
        </xdr:cNvSpPr>
      </xdr:nvSpPr>
      <xdr:spPr bwMode="auto">
        <a:xfrm>
          <a:off x="2244214" y="6855847"/>
          <a:ext cx="153859" cy="171450"/>
        </a:xfrm>
        <a:prstGeom prst="leftArrow">
          <a:avLst>
            <a:gd name="adj1" fmla="val 42056"/>
            <a:gd name="adj2" fmla="val 46430"/>
          </a:avLst>
        </a:prstGeom>
        <a:solidFill>
          <a:srgbClr val="FFFFFF"/>
        </a:solidFill>
        <a:ln w="6350">
          <a:solidFill>
            <a:srgbClr val="000000"/>
          </a:solidFill>
          <a:miter lim="800000"/>
          <a:headEnd/>
          <a:tailEnd/>
        </a:ln>
      </xdr:spPr>
    </xdr:sp>
    <xdr:clientData/>
  </xdr:twoCellAnchor>
  <xdr:twoCellAnchor>
    <xdr:from>
      <xdr:col>4</xdr:col>
      <xdr:colOff>247030</xdr:colOff>
      <xdr:row>26</xdr:row>
      <xdr:rowOff>96017</xdr:rowOff>
    </xdr:from>
    <xdr:to>
      <xdr:col>4</xdr:col>
      <xdr:colOff>494680</xdr:colOff>
      <xdr:row>26</xdr:row>
      <xdr:rowOff>267467</xdr:rowOff>
    </xdr:to>
    <xdr:sp macro="" textlink="">
      <xdr:nvSpPr>
        <xdr:cNvPr id="5" name="AutoShape 3">
          <a:extLst>
            <a:ext uri="{FF2B5EF4-FFF2-40B4-BE49-F238E27FC236}">
              <a16:creationId xmlns:a16="http://schemas.microsoft.com/office/drawing/2014/main" id="{00000000-0008-0000-0400-000005000000}"/>
            </a:ext>
          </a:extLst>
        </xdr:cNvPr>
        <xdr:cNvSpPr>
          <a:spLocks noChangeArrowheads="1"/>
        </xdr:cNvSpPr>
      </xdr:nvSpPr>
      <xdr:spPr bwMode="auto">
        <a:xfrm>
          <a:off x="3461444" y="6875189"/>
          <a:ext cx="247650" cy="171450"/>
        </a:xfrm>
        <a:prstGeom prst="leftArrow">
          <a:avLst>
            <a:gd name="adj1" fmla="val 42056"/>
            <a:gd name="adj2" fmla="val 46430"/>
          </a:avLst>
        </a:prstGeom>
        <a:solidFill>
          <a:srgbClr val="000000"/>
        </a:solidFill>
        <a:ln w="6350">
          <a:solidFill>
            <a:srgbClr val="000000"/>
          </a:solidFill>
          <a:miter lim="800000"/>
          <a:headEnd/>
          <a:tailEnd/>
        </a:ln>
      </xdr:spPr>
    </xdr:sp>
    <xdr:clientData/>
  </xdr:twoCellAnchor>
  <xdr:twoCellAnchor>
    <xdr:from>
      <xdr:col>3</xdr:col>
      <xdr:colOff>622896</xdr:colOff>
      <xdr:row>33</xdr:row>
      <xdr:rowOff>281999</xdr:rowOff>
    </xdr:from>
    <xdr:to>
      <xdr:col>5</xdr:col>
      <xdr:colOff>174438</xdr:colOff>
      <xdr:row>34</xdr:row>
      <xdr:rowOff>141207</xdr:rowOff>
    </xdr:to>
    <xdr:grpSp>
      <xdr:nvGrpSpPr>
        <xdr:cNvPr id="6" name="グループ化 1">
          <a:extLst>
            <a:ext uri="{FF2B5EF4-FFF2-40B4-BE49-F238E27FC236}">
              <a16:creationId xmlns:a16="http://schemas.microsoft.com/office/drawing/2014/main" id="{00000000-0008-0000-0400-000006000000}"/>
            </a:ext>
          </a:extLst>
        </xdr:cNvPr>
        <xdr:cNvGrpSpPr>
          <a:grpSpLocks/>
        </xdr:cNvGrpSpPr>
      </xdr:nvGrpSpPr>
      <xdr:grpSpPr bwMode="auto">
        <a:xfrm>
          <a:off x="3051771" y="9321224"/>
          <a:ext cx="942192" cy="173533"/>
          <a:chOff x="-780109" y="1965348"/>
          <a:chExt cx="1152564" cy="47091"/>
        </a:xfrm>
      </xdr:grpSpPr>
      <xdr:sp macro="" textlink="">
        <xdr:nvSpPr>
          <xdr:cNvPr id="7" name="AutoShape 18">
            <a:extLst>
              <a:ext uri="{FF2B5EF4-FFF2-40B4-BE49-F238E27FC236}">
                <a16:creationId xmlns:a16="http://schemas.microsoft.com/office/drawing/2014/main" id="{00000000-0008-0000-0400-000007000000}"/>
              </a:ext>
            </a:extLst>
          </xdr:cNvPr>
          <xdr:cNvSpPr>
            <a:spLocks noChangeArrowheads="1"/>
          </xdr:cNvSpPr>
        </xdr:nvSpPr>
        <xdr:spPr bwMode="auto">
          <a:xfrm rot="12165657" flipH="1">
            <a:off x="-757239" y="1967709"/>
            <a:ext cx="1129694" cy="44730"/>
          </a:xfrm>
          <a:prstGeom prst="rightArrow">
            <a:avLst>
              <a:gd name="adj1" fmla="val 43370"/>
              <a:gd name="adj2" fmla="val 142896"/>
            </a:avLst>
          </a:prstGeom>
          <a:solidFill>
            <a:srgbClr xmlns:mc="http://schemas.openxmlformats.org/markup-compatibility/2006" xmlns:a14="http://schemas.microsoft.com/office/drawing/2010/main" val="000000" mc:Ignorable="a14" a14:legacySpreadsheetColorIndex="8"/>
          </a:solidFill>
          <a:ln w="6350">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8" name="AutoShape 18">
            <a:extLst>
              <a:ext uri="{FF2B5EF4-FFF2-40B4-BE49-F238E27FC236}">
                <a16:creationId xmlns:a16="http://schemas.microsoft.com/office/drawing/2014/main" id="{00000000-0008-0000-0400-000008000000}"/>
              </a:ext>
            </a:extLst>
          </xdr:cNvPr>
          <xdr:cNvSpPr>
            <a:spLocks noChangeArrowheads="1"/>
          </xdr:cNvSpPr>
        </xdr:nvSpPr>
        <xdr:spPr bwMode="auto">
          <a:xfrm rot="9434343">
            <a:off x="-780109" y="1965348"/>
            <a:ext cx="1065352" cy="45951"/>
          </a:xfrm>
          <a:prstGeom prst="rightArrow">
            <a:avLst>
              <a:gd name="adj1" fmla="val 43370"/>
              <a:gd name="adj2" fmla="val 142896"/>
            </a:avLst>
          </a:prstGeom>
          <a:solidFill>
            <a:srgbClr xmlns:mc="http://schemas.openxmlformats.org/markup-compatibility/2006" xmlns:a14="http://schemas.microsoft.com/office/drawing/2010/main" val="000000" mc:Ignorable="a14" a14:legacySpreadsheetColorIndex="8"/>
          </a:solidFill>
          <a:ln w="6350">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6</xdr:col>
      <xdr:colOff>0</xdr:colOff>
      <xdr:row>34</xdr:row>
      <xdr:rowOff>247650</xdr:rowOff>
    </xdr:from>
    <xdr:to>
      <xdr:col>6</xdr:col>
      <xdr:colOff>0</xdr:colOff>
      <xdr:row>35</xdr:row>
      <xdr:rowOff>142875</xdr:rowOff>
    </xdr:to>
    <xdr:sp macro="" textlink="">
      <xdr:nvSpPr>
        <xdr:cNvPr id="16" name="AutoShape 7">
          <a:extLst>
            <a:ext uri="{FF2B5EF4-FFF2-40B4-BE49-F238E27FC236}">
              <a16:creationId xmlns:a16="http://schemas.microsoft.com/office/drawing/2014/main" id="{A6424F02-D5D4-4A54-8514-57B026F7F338}"/>
            </a:ext>
          </a:extLst>
        </xdr:cNvPr>
        <xdr:cNvSpPr>
          <a:spLocks noChangeArrowheads="1"/>
        </xdr:cNvSpPr>
      </xdr:nvSpPr>
      <xdr:spPr bwMode="auto">
        <a:xfrm rot="-5400000">
          <a:off x="4410075" y="8877300"/>
          <a:ext cx="514350" cy="0"/>
        </a:xfrm>
        <a:prstGeom prst="rightArrow">
          <a:avLst>
            <a:gd name="adj1" fmla="val 41667"/>
            <a:gd name="adj2" fmla="val -2147483648"/>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635955</xdr:colOff>
      <xdr:row>35</xdr:row>
      <xdr:rowOff>130724</xdr:rowOff>
    </xdr:from>
    <xdr:to>
      <xdr:col>4</xdr:col>
      <xdr:colOff>136978</xdr:colOff>
      <xdr:row>36</xdr:row>
      <xdr:rowOff>216558</xdr:rowOff>
    </xdr:to>
    <xdr:sp macro="" textlink="">
      <xdr:nvSpPr>
        <xdr:cNvPr id="17" name="AutoShape 12">
          <a:extLst>
            <a:ext uri="{FF2B5EF4-FFF2-40B4-BE49-F238E27FC236}">
              <a16:creationId xmlns:a16="http://schemas.microsoft.com/office/drawing/2014/main" id="{0A74488C-35E0-4748-BE7B-D283497920F2}"/>
            </a:ext>
          </a:extLst>
        </xdr:cNvPr>
        <xdr:cNvSpPr>
          <a:spLocks noChangeArrowheads="1"/>
        </xdr:cNvSpPr>
      </xdr:nvSpPr>
      <xdr:spPr bwMode="auto">
        <a:xfrm rot="13871342">
          <a:off x="3041204" y="9908716"/>
          <a:ext cx="401145" cy="219230"/>
        </a:xfrm>
        <a:prstGeom prst="rightArrow">
          <a:avLst>
            <a:gd name="adj1" fmla="val 41667"/>
            <a:gd name="adj2" fmla="val 59704"/>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180743</xdr:colOff>
      <xdr:row>35</xdr:row>
      <xdr:rowOff>144438</xdr:rowOff>
    </xdr:from>
    <xdr:to>
      <xdr:col>5</xdr:col>
      <xdr:colOff>389516</xdr:colOff>
      <xdr:row>38</xdr:row>
      <xdr:rowOff>247946</xdr:rowOff>
    </xdr:to>
    <xdr:sp macro="" textlink="">
      <xdr:nvSpPr>
        <xdr:cNvPr id="18" name="AutoShape 12">
          <a:extLst>
            <a:ext uri="{FF2B5EF4-FFF2-40B4-BE49-F238E27FC236}">
              <a16:creationId xmlns:a16="http://schemas.microsoft.com/office/drawing/2014/main" id="{EC2D446B-CA81-4D61-9725-43D4179161A1}"/>
            </a:ext>
          </a:extLst>
        </xdr:cNvPr>
        <xdr:cNvSpPr>
          <a:spLocks noChangeArrowheads="1"/>
        </xdr:cNvSpPr>
      </xdr:nvSpPr>
      <xdr:spPr bwMode="auto">
        <a:xfrm rot="7202693" flipH="1">
          <a:off x="3469686" y="10475150"/>
          <a:ext cx="1496129" cy="208773"/>
        </a:xfrm>
        <a:prstGeom prst="rightArrow">
          <a:avLst>
            <a:gd name="adj1" fmla="val 41667"/>
            <a:gd name="adj2" fmla="val 59704"/>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343319</xdr:colOff>
      <xdr:row>35</xdr:row>
      <xdr:rowOff>193790</xdr:rowOff>
    </xdr:from>
    <xdr:to>
      <xdr:col>3</xdr:col>
      <xdr:colOff>544316</xdr:colOff>
      <xdr:row>38</xdr:row>
      <xdr:rowOff>209922</xdr:rowOff>
    </xdr:to>
    <xdr:sp macro="" textlink="">
      <xdr:nvSpPr>
        <xdr:cNvPr id="19" name="AutoShape 12">
          <a:extLst>
            <a:ext uri="{FF2B5EF4-FFF2-40B4-BE49-F238E27FC236}">
              <a16:creationId xmlns:a16="http://schemas.microsoft.com/office/drawing/2014/main" id="{FE249B27-F9F2-416E-96DD-DDBA8B62E102}"/>
            </a:ext>
          </a:extLst>
        </xdr:cNvPr>
        <xdr:cNvSpPr>
          <a:spLocks noChangeArrowheads="1"/>
        </xdr:cNvSpPr>
      </xdr:nvSpPr>
      <xdr:spPr bwMode="auto">
        <a:xfrm rot="3611842" flipH="1" flipV="1">
          <a:off x="2235648" y="10484702"/>
          <a:ext cx="1408753" cy="200997"/>
        </a:xfrm>
        <a:prstGeom prst="rightArrow">
          <a:avLst>
            <a:gd name="adj1" fmla="val 41667"/>
            <a:gd name="adj2" fmla="val 59704"/>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0</xdr:colOff>
      <xdr:row>34</xdr:row>
      <xdr:rowOff>247650</xdr:rowOff>
    </xdr:from>
    <xdr:to>
      <xdr:col>6</xdr:col>
      <xdr:colOff>0</xdr:colOff>
      <xdr:row>35</xdr:row>
      <xdr:rowOff>142875</xdr:rowOff>
    </xdr:to>
    <xdr:sp macro="" textlink="">
      <xdr:nvSpPr>
        <xdr:cNvPr id="24" name="AutoShape 7">
          <a:extLst>
            <a:ext uri="{FF2B5EF4-FFF2-40B4-BE49-F238E27FC236}">
              <a16:creationId xmlns:a16="http://schemas.microsoft.com/office/drawing/2014/main" id="{EFBDEB5A-630D-4907-912E-E591E33197D0}"/>
            </a:ext>
          </a:extLst>
        </xdr:cNvPr>
        <xdr:cNvSpPr>
          <a:spLocks noChangeArrowheads="1"/>
        </xdr:cNvSpPr>
      </xdr:nvSpPr>
      <xdr:spPr bwMode="auto">
        <a:xfrm rot="-5400000">
          <a:off x="4410075" y="8877300"/>
          <a:ext cx="514350" cy="0"/>
        </a:xfrm>
        <a:prstGeom prst="rightArrow">
          <a:avLst>
            <a:gd name="adj1" fmla="val 41667"/>
            <a:gd name="adj2" fmla="val -2147483648"/>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586907</xdr:colOff>
      <xdr:row>35</xdr:row>
      <xdr:rowOff>125469</xdr:rowOff>
    </xdr:from>
    <xdr:to>
      <xdr:col>5</xdr:col>
      <xdr:colOff>87930</xdr:colOff>
      <xdr:row>36</xdr:row>
      <xdr:rowOff>211303</xdr:rowOff>
    </xdr:to>
    <xdr:sp macro="" textlink="">
      <xdr:nvSpPr>
        <xdr:cNvPr id="3" name="AutoShape 12">
          <a:extLst>
            <a:ext uri="{FF2B5EF4-FFF2-40B4-BE49-F238E27FC236}">
              <a16:creationId xmlns:a16="http://schemas.microsoft.com/office/drawing/2014/main" id="{C10BB594-6D72-4B10-893F-26CF0145F8AA}"/>
            </a:ext>
          </a:extLst>
        </xdr:cNvPr>
        <xdr:cNvSpPr>
          <a:spLocks noChangeArrowheads="1"/>
        </xdr:cNvSpPr>
      </xdr:nvSpPr>
      <xdr:spPr bwMode="auto">
        <a:xfrm rot="18275137">
          <a:off x="3710363" y="9903461"/>
          <a:ext cx="401145" cy="219230"/>
        </a:xfrm>
        <a:prstGeom prst="rightArrow">
          <a:avLst>
            <a:gd name="adj1" fmla="val 41667"/>
            <a:gd name="adj2" fmla="val 59704"/>
          </a:avLst>
        </a:prstGeom>
        <a:solidFill>
          <a:srgbClr xmlns:mc="http://schemas.openxmlformats.org/markup-compatibility/2006" xmlns:a14="http://schemas.microsoft.com/office/drawing/2010/main" val="FFFFFF" mc:Ignorable="a14" a14:legacySpreadsheetColorIndex="65"/>
        </a:solidFill>
        <a:ln w="6350">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352425</xdr:colOff>
      <xdr:row>57</xdr:row>
      <xdr:rowOff>123825</xdr:rowOff>
    </xdr:from>
    <xdr:to>
      <xdr:col>14</xdr:col>
      <xdr:colOff>438150</xdr:colOff>
      <xdr:row>83</xdr:row>
      <xdr:rowOff>19050</xdr:rowOff>
    </xdr:to>
    <xdr:pic>
      <xdr:nvPicPr>
        <xdr:cNvPr id="2" name="Picture 116" descr="2">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8458200"/>
          <a:ext cx="7553325" cy="3609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295275</xdr:colOff>
      <xdr:row>8</xdr:row>
      <xdr:rowOff>114300</xdr:rowOff>
    </xdr:from>
    <xdr:to>
      <xdr:col>17</xdr:col>
      <xdr:colOff>371475</xdr:colOff>
      <xdr:row>36</xdr:row>
      <xdr:rowOff>38100</xdr:rowOff>
    </xdr:to>
    <xdr:pic>
      <xdr:nvPicPr>
        <xdr:cNvPr id="3" name="Picture 115" descr="1">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5" y="1352550"/>
          <a:ext cx="9144000" cy="392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238125</xdr:colOff>
      <xdr:row>10</xdr:row>
      <xdr:rowOff>29633</xdr:rowOff>
    </xdr:from>
    <xdr:to>
      <xdr:col>17</xdr:col>
      <xdr:colOff>447675</xdr:colOff>
      <xdr:row>13</xdr:row>
      <xdr:rowOff>39158</xdr:rowOff>
    </xdr:to>
    <xdr:sp macro="" textlink="">
      <xdr:nvSpPr>
        <xdr:cNvPr id="4" name="正方形/長方形 3">
          <a:extLst>
            <a:ext uri="{FF2B5EF4-FFF2-40B4-BE49-F238E27FC236}">
              <a16:creationId xmlns:a16="http://schemas.microsoft.com/office/drawing/2014/main" id="{00000000-0008-0000-0500-000004000000}"/>
            </a:ext>
          </a:extLst>
        </xdr:cNvPr>
        <xdr:cNvSpPr/>
      </xdr:nvSpPr>
      <xdr:spPr>
        <a:xfrm>
          <a:off x="2989792" y="1606550"/>
          <a:ext cx="9152466" cy="4540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6</xdr:col>
      <xdr:colOff>323849</xdr:colOff>
      <xdr:row>1</xdr:row>
      <xdr:rowOff>137583</xdr:rowOff>
    </xdr:from>
    <xdr:to>
      <xdr:col>15</xdr:col>
      <xdr:colOff>402167</xdr:colOff>
      <xdr:row>7</xdr:row>
      <xdr:rowOff>123824</xdr:rowOff>
    </xdr:to>
    <xdr:sp macro="" textlink="">
      <xdr:nvSpPr>
        <xdr:cNvPr id="5" name="線吹き出し 2 (枠付き) 4">
          <a:extLst>
            <a:ext uri="{FF2B5EF4-FFF2-40B4-BE49-F238E27FC236}">
              <a16:creationId xmlns:a16="http://schemas.microsoft.com/office/drawing/2014/main" id="{00000000-0008-0000-0500-000005000000}"/>
            </a:ext>
          </a:extLst>
        </xdr:cNvPr>
        <xdr:cNvSpPr/>
      </xdr:nvSpPr>
      <xdr:spPr>
        <a:xfrm>
          <a:off x="4451349" y="381000"/>
          <a:ext cx="6269568" cy="875241"/>
        </a:xfrm>
        <a:prstGeom prst="borderCallout2">
          <a:avLst>
            <a:gd name="adj1" fmla="val 43425"/>
            <a:gd name="adj2" fmla="val -553"/>
            <a:gd name="adj3" fmla="val 60309"/>
            <a:gd name="adj4" fmla="val -8077"/>
            <a:gd name="adj5" fmla="val 142515"/>
            <a:gd name="adj6" fmla="val -1328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rtl="0">
            <a:defRPr sz="1000"/>
          </a:pPr>
          <a:r>
            <a:rPr lang="ja-JP" altLang="en-US" sz="1100" b="0" i="0" u="none" strike="noStrike" baseline="0">
              <a:solidFill>
                <a:srgbClr val="000000"/>
              </a:solidFill>
              <a:latin typeface="ＭＳ Ｐゴシック"/>
              <a:ea typeface="ＭＳ Ｐゴシック"/>
            </a:rPr>
            <a:t>期待する業務遂行レベル（あるべき姿・求める業務成果）は、この資格を端的に表現しています。</a:t>
          </a:r>
          <a:endParaRPr lang="ja-JP" altLang="en-US" sz="1100" b="0" i="0" u="none" strike="noStrike" baseline="0">
            <a:solidFill>
              <a:srgbClr val="000000"/>
            </a:solidFill>
            <a:latin typeface="Calibri"/>
            <a:cs typeface="Calibri"/>
          </a:endParaRPr>
        </a:p>
        <a:p>
          <a:pPr algn="l" rtl="0">
            <a:defRPr sz="1000"/>
          </a:pPr>
          <a:r>
            <a:rPr lang="ja-JP" altLang="en-US" sz="1100" b="0" i="0" u="none" strike="noStrike" baseline="0">
              <a:solidFill>
                <a:srgbClr val="000000"/>
              </a:solidFill>
              <a:latin typeface="ＭＳ Ｐゴシック"/>
              <a:ea typeface="ＭＳ Ｐゴシック"/>
            </a:rPr>
            <a:t>計画（</a:t>
          </a:r>
          <a:r>
            <a:rPr lang="en-US" altLang="ja-JP" sz="1100" b="0" i="0" u="none" strike="noStrike" baseline="0">
              <a:solidFill>
                <a:srgbClr val="000000"/>
              </a:solidFill>
              <a:latin typeface="Calibri"/>
              <a:cs typeface="Calibri"/>
            </a:rPr>
            <a:t>Plan</a:t>
          </a:r>
          <a:r>
            <a:rPr lang="ja-JP" altLang="en-US" sz="1100" b="0" i="0" u="none" strike="noStrike" baseline="0">
              <a:solidFill>
                <a:srgbClr val="000000"/>
              </a:solidFill>
              <a:latin typeface="ＭＳ Ｐゴシック"/>
              <a:ea typeface="ＭＳ Ｐゴシック"/>
            </a:rPr>
            <a:t>）・実行（</a:t>
          </a:r>
          <a:r>
            <a:rPr lang="en-US" altLang="ja-JP" sz="1100" b="0" i="0" u="none" strike="noStrike" baseline="0">
              <a:solidFill>
                <a:srgbClr val="000000"/>
              </a:solidFill>
              <a:latin typeface="Calibri"/>
              <a:cs typeface="Calibri"/>
            </a:rPr>
            <a:t>Do</a:t>
          </a:r>
          <a:r>
            <a:rPr lang="ja-JP" altLang="en-US" sz="1100" b="0" i="0" u="none" strike="noStrike" baseline="0">
              <a:solidFill>
                <a:srgbClr val="000000"/>
              </a:solidFill>
              <a:latin typeface="ＭＳ Ｐゴシック"/>
              <a:ea typeface="ＭＳ Ｐゴシック"/>
            </a:rPr>
            <a:t>）・評価（</a:t>
          </a:r>
          <a:r>
            <a:rPr lang="en-US" altLang="ja-JP" sz="1100" b="0" i="0" u="none" strike="noStrike" baseline="0">
              <a:solidFill>
                <a:srgbClr val="000000"/>
              </a:solidFill>
              <a:latin typeface="Calibri"/>
              <a:cs typeface="Calibri"/>
            </a:rPr>
            <a:t>Check</a:t>
          </a:r>
          <a:r>
            <a:rPr lang="ja-JP" altLang="en-US" sz="1100" b="0" i="0" u="none" strike="noStrike" baseline="0">
              <a:solidFill>
                <a:srgbClr val="000000"/>
              </a:solidFill>
              <a:latin typeface="ＭＳ Ｐゴシック"/>
              <a:ea typeface="ＭＳ Ｐゴシック"/>
            </a:rPr>
            <a:t>）</a:t>
          </a:r>
          <a:r>
            <a:rPr lang="en-US" altLang="ja-JP" sz="1100" b="0" i="0" u="none" strike="noStrike" baseline="0">
              <a:solidFill>
                <a:srgbClr val="000000"/>
              </a:solidFill>
              <a:latin typeface="Calibri"/>
              <a:cs typeface="Calibri"/>
            </a:rPr>
            <a:t>/</a:t>
          </a:r>
          <a:r>
            <a:rPr lang="ja-JP" altLang="en-US" sz="1100" b="0" i="0" u="none" strike="noStrike" baseline="0">
              <a:solidFill>
                <a:srgbClr val="000000"/>
              </a:solidFill>
              <a:latin typeface="ＭＳ Ｐゴシック"/>
              <a:ea typeface="ＭＳ Ｐゴシック"/>
            </a:rPr>
            <a:t>改善（</a:t>
          </a:r>
          <a:r>
            <a:rPr lang="en-US" altLang="ja-JP" sz="1100" b="0" i="0" u="none" strike="noStrike" baseline="0">
              <a:solidFill>
                <a:srgbClr val="000000"/>
              </a:solidFill>
              <a:latin typeface="Calibri"/>
              <a:cs typeface="Calibri"/>
            </a:rPr>
            <a:t>Action)</a:t>
          </a:r>
          <a:r>
            <a:rPr lang="ja-JP" altLang="en-US" sz="1100" b="0" i="0" u="none" strike="noStrike" baseline="0">
              <a:solidFill>
                <a:srgbClr val="000000"/>
              </a:solidFill>
              <a:latin typeface="ＭＳ Ｐゴシック"/>
              <a:ea typeface="ＭＳ Ｐゴシック"/>
            </a:rPr>
            <a:t>は、仕事の基本である</a:t>
          </a:r>
          <a:r>
            <a:rPr lang="en-US" altLang="ja-JP" sz="1100" b="0" i="0" u="none" strike="noStrike" baseline="0">
              <a:solidFill>
                <a:srgbClr val="000000"/>
              </a:solidFill>
              <a:latin typeface="Calibri"/>
              <a:cs typeface="Calibri"/>
            </a:rPr>
            <a:t>PDCA</a:t>
          </a:r>
          <a:r>
            <a:rPr lang="ja-JP" altLang="en-US" sz="1100" b="0" i="0" u="none" strike="noStrike" baseline="0">
              <a:solidFill>
                <a:srgbClr val="000000"/>
              </a:solidFill>
              <a:latin typeface="ＭＳ Ｐゴシック"/>
              <a:ea typeface="ＭＳ Ｐゴシック"/>
            </a:rPr>
            <a:t>を元に</a:t>
          </a:r>
        </a:p>
        <a:p>
          <a:pPr algn="l" rtl="0">
            <a:defRPr sz="1000"/>
          </a:pPr>
          <a:r>
            <a:rPr lang="ja-JP" altLang="en-US" sz="1100" b="0" i="0" u="none" strike="noStrike" baseline="0">
              <a:solidFill>
                <a:srgbClr val="000000"/>
              </a:solidFill>
              <a:latin typeface="ＭＳ Ｐゴシック"/>
              <a:ea typeface="ＭＳ Ｐゴシック"/>
            </a:rPr>
            <a:t>どのような行動を期待しているかを具体的に記述しています。</a:t>
          </a:r>
          <a:endParaRPr lang="ja-JP" altLang="en-US" sz="1100" b="0" i="0" u="none" strike="noStrike" baseline="0">
            <a:solidFill>
              <a:srgbClr val="000000"/>
            </a:solidFill>
            <a:latin typeface="Calibri"/>
            <a:cs typeface="Calibri"/>
          </a:endParaRPr>
        </a:p>
      </xdr:txBody>
    </xdr:sp>
    <xdr:clientData/>
  </xdr:twoCellAnchor>
  <xdr:twoCellAnchor>
    <xdr:from>
      <xdr:col>3</xdr:col>
      <xdr:colOff>257175</xdr:colOff>
      <xdr:row>16</xdr:row>
      <xdr:rowOff>76200</xdr:rowOff>
    </xdr:from>
    <xdr:to>
      <xdr:col>4</xdr:col>
      <xdr:colOff>447675</xdr:colOff>
      <xdr:row>20</xdr:row>
      <xdr:rowOff>76200</xdr:rowOff>
    </xdr:to>
    <xdr:sp macro="" textlink="">
      <xdr:nvSpPr>
        <xdr:cNvPr id="6" name="円/楕円 5">
          <a:extLst>
            <a:ext uri="{FF2B5EF4-FFF2-40B4-BE49-F238E27FC236}">
              <a16:creationId xmlns:a16="http://schemas.microsoft.com/office/drawing/2014/main" id="{00000000-0008-0000-0500-000006000000}"/>
            </a:ext>
          </a:extLst>
        </xdr:cNvPr>
        <xdr:cNvSpPr/>
      </xdr:nvSpPr>
      <xdr:spPr>
        <a:xfrm>
          <a:off x="1857375" y="2457450"/>
          <a:ext cx="723900" cy="5715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xdr:col>
      <xdr:colOff>266700</xdr:colOff>
      <xdr:row>28</xdr:row>
      <xdr:rowOff>38100</xdr:rowOff>
    </xdr:from>
    <xdr:to>
      <xdr:col>4</xdr:col>
      <xdr:colOff>457200</xdr:colOff>
      <xdr:row>32</xdr:row>
      <xdr:rowOff>38100</xdr:rowOff>
    </xdr:to>
    <xdr:sp macro="" textlink="">
      <xdr:nvSpPr>
        <xdr:cNvPr id="7" name="円/楕円 6">
          <a:extLst>
            <a:ext uri="{FF2B5EF4-FFF2-40B4-BE49-F238E27FC236}">
              <a16:creationId xmlns:a16="http://schemas.microsoft.com/office/drawing/2014/main" id="{00000000-0008-0000-0500-000007000000}"/>
            </a:ext>
          </a:extLst>
        </xdr:cNvPr>
        <xdr:cNvSpPr/>
      </xdr:nvSpPr>
      <xdr:spPr>
        <a:xfrm>
          <a:off x="1866900" y="4133850"/>
          <a:ext cx="723900" cy="5715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xdr:col>
      <xdr:colOff>276225</xdr:colOff>
      <xdr:row>38</xdr:row>
      <xdr:rowOff>47625</xdr:rowOff>
    </xdr:from>
    <xdr:to>
      <xdr:col>14</xdr:col>
      <xdr:colOff>677334</xdr:colOff>
      <xdr:row>48</xdr:row>
      <xdr:rowOff>63500</xdr:rowOff>
    </xdr:to>
    <xdr:sp macro="" textlink="">
      <xdr:nvSpPr>
        <xdr:cNvPr id="8" name="線吹き出し 2 (枠付き) 7">
          <a:extLst>
            <a:ext uri="{FF2B5EF4-FFF2-40B4-BE49-F238E27FC236}">
              <a16:creationId xmlns:a16="http://schemas.microsoft.com/office/drawing/2014/main" id="{00000000-0008-0000-0500-000008000000}"/>
            </a:ext>
          </a:extLst>
        </xdr:cNvPr>
        <xdr:cNvSpPr/>
      </xdr:nvSpPr>
      <xdr:spPr>
        <a:xfrm>
          <a:off x="3027892" y="5773208"/>
          <a:ext cx="7280275" cy="1497542"/>
        </a:xfrm>
        <a:prstGeom prst="borderCallout2">
          <a:avLst>
            <a:gd name="adj1" fmla="val 43425"/>
            <a:gd name="adj2" fmla="val -553"/>
            <a:gd name="adj3" fmla="val 18784"/>
            <a:gd name="adj4" fmla="val -8401"/>
            <a:gd name="adj5" fmla="val -49409"/>
            <a:gd name="adj6" fmla="val -712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rtl="0">
            <a:defRPr sz="1000"/>
          </a:pPr>
          <a:r>
            <a:rPr lang="ja-JP" altLang="en-US" sz="1100" b="0" i="0" u="none" strike="noStrike" baseline="0">
              <a:solidFill>
                <a:srgbClr val="000000"/>
              </a:solidFill>
              <a:latin typeface="ＭＳ Ｐゴシック"/>
              <a:ea typeface="ＭＳ Ｐゴシック"/>
            </a:rPr>
            <a:t>期待する業務水準で</a:t>
          </a:r>
          <a:r>
            <a:rPr lang="en-US" altLang="ja-JP" sz="1100" b="0" i="0" u="none" strike="noStrike" baseline="0">
              <a:solidFill>
                <a:srgbClr val="000000"/>
              </a:solidFill>
              <a:latin typeface="ＭＳ Ｐゴシック"/>
              <a:ea typeface="ＭＳ Ｐゴシック"/>
            </a:rPr>
            <a:t>R4</a:t>
          </a:r>
          <a:r>
            <a:rPr lang="ja-JP" altLang="en-US" sz="1100" b="0" i="0" u="none" strike="noStrike" baseline="0">
              <a:solidFill>
                <a:srgbClr val="000000"/>
              </a:solidFill>
              <a:latin typeface="ＭＳ Ｐゴシック"/>
              <a:ea typeface="ＭＳ Ｐゴシック"/>
            </a:rPr>
            <a:t>「高度伝承業務」、</a:t>
          </a:r>
          <a:r>
            <a:rPr lang="en-US" altLang="ja-JP" sz="1100" b="0" i="0" u="none" strike="noStrike" baseline="0">
              <a:solidFill>
                <a:srgbClr val="000000"/>
              </a:solidFill>
              <a:latin typeface="ＭＳ Ｐゴシック"/>
              <a:ea typeface="ＭＳ Ｐゴシック"/>
            </a:rPr>
            <a:t>R</a:t>
          </a:r>
          <a:r>
            <a:rPr lang="ja-JP" altLang="en-US" sz="1100" b="0" i="0" u="none" strike="noStrike" baseline="0">
              <a:solidFill>
                <a:srgbClr val="000000"/>
              </a:solidFill>
              <a:latin typeface="ＭＳ Ｐゴシック"/>
              <a:ea typeface="ＭＳ Ｐゴシック"/>
            </a:rPr>
            <a:t>３「高度熟練業務」などのレベルが書かれています。</a:t>
          </a:r>
        </a:p>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伝承業務とは、技術やスキルを後進に伝承できるだけの知識とスキル、ノウハウ、経験を持っているレベルです。</a:t>
          </a:r>
        </a:p>
        <a:p>
          <a:pPr algn="l" rtl="0">
            <a:lnSpc>
              <a:spcPts val="1300"/>
            </a:lnSpc>
            <a:defRPr sz="1000"/>
          </a:pPr>
          <a:r>
            <a:rPr lang="ja-JP" altLang="en-US" sz="1100" b="0" i="0" u="none" strike="noStrike" baseline="0">
              <a:solidFill>
                <a:srgbClr val="000000"/>
              </a:solidFill>
              <a:latin typeface="ＭＳ Ｐゴシック"/>
              <a:ea typeface="ＭＳ Ｐゴシック"/>
            </a:rPr>
            <a:t>熟練業務とは、業務に熟練しており下位者に日常的な指導がレベルです。</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このレベル差を上司や部下とよく話し合って、職群・部門で概ね決めておきましょう。</a:t>
          </a:r>
        </a:p>
      </xdr:txBody>
    </xdr:sp>
    <xdr:clientData/>
  </xdr:twoCellAnchor>
  <xdr:twoCellAnchor>
    <xdr:from>
      <xdr:col>0</xdr:col>
      <xdr:colOff>180974</xdr:colOff>
      <xdr:row>57</xdr:row>
      <xdr:rowOff>123825</xdr:rowOff>
    </xdr:from>
    <xdr:to>
      <xdr:col>15</xdr:col>
      <xdr:colOff>190499</xdr:colOff>
      <xdr:row>60</xdr:row>
      <xdr:rowOff>133350</xdr:rowOff>
    </xdr:to>
    <xdr:sp macro="" textlink="">
      <xdr:nvSpPr>
        <xdr:cNvPr id="9" name="正方形/長方形 8">
          <a:extLst>
            <a:ext uri="{FF2B5EF4-FFF2-40B4-BE49-F238E27FC236}">
              <a16:creationId xmlns:a16="http://schemas.microsoft.com/office/drawing/2014/main" id="{00000000-0008-0000-0500-000009000000}"/>
            </a:ext>
          </a:extLst>
        </xdr:cNvPr>
        <xdr:cNvSpPr/>
      </xdr:nvSpPr>
      <xdr:spPr>
        <a:xfrm>
          <a:off x="180974" y="8458200"/>
          <a:ext cx="8010525" cy="438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xdr:col>
      <xdr:colOff>38100</xdr:colOff>
      <xdr:row>85</xdr:row>
      <xdr:rowOff>9527</xdr:rowOff>
    </xdr:from>
    <xdr:to>
      <xdr:col>13</xdr:col>
      <xdr:colOff>677333</xdr:colOff>
      <xdr:row>93</xdr:row>
      <xdr:rowOff>84668</xdr:rowOff>
    </xdr:to>
    <xdr:sp macro="" textlink="">
      <xdr:nvSpPr>
        <xdr:cNvPr id="10" name="線吹き出し 2 (枠付き) 9">
          <a:extLst>
            <a:ext uri="{FF2B5EF4-FFF2-40B4-BE49-F238E27FC236}">
              <a16:creationId xmlns:a16="http://schemas.microsoft.com/office/drawing/2014/main" id="{00000000-0008-0000-0500-00000A000000}"/>
            </a:ext>
          </a:extLst>
        </xdr:cNvPr>
        <xdr:cNvSpPr/>
      </xdr:nvSpPr>
      <xdr:spPr>
        <a:xfrm>
          <a:off x="1413933" y="12794194"/>
          <a:ext cx="8206317" cy="1260474"/>
        </a:xfrm>
        <a:prstGeom prst="borderCallout2">
          <a:avLst>
            <a:gd name="adj1" fmla="val 43425"/>
            <a:gd name="adj2" fmla="val -553"/>
            <a:gd name="adj3" fmla="val 18784"/>
            <a:gd name="adj4" fmla="val -8401"/>
            <a:gd name="adj5" fmla="val -282944"/>
            <a:gd name="adj6" fmla="val 438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rtl="0">
            <a:defRPr sz="1000"/>
          </a:pPr>
          <a:r>
            <a:rPr lang="ja-JP" altLang="en-US" sz="1100" b="0" i="0" u="none" strike="noStrike" baseline="0">
              <a:solidFill>
                <a:srgbClr val="000000"/>
              </a:solidFill>
              <a:latin typeface="ＭＳ Ｐゴシック"/>
              <a:ea typeface="ＭＳ Ｐゴシック"/>
            </a:rPr>
            <a:t>求める能力要件を６項目にまとめています。</a:t>
          </a:r>
        </a:p>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能力を保有していても、行動・言動がなければ能力を発揮したと言えません。</a:t>
          </a:r>
        </a:p>
        <a:p>
          <a:pPr algn="l" rtl="0">
            <a:defRPr sz="1000"/>
          </a:pPr>
          <a:r>
            <a:rPr lang="ja-JP" altLang="en-US" sz="1100" b="0" i="0" u="none" strike="noStrike" baseline="0">
              <a:solidFill>
                <a:srgbClr val="000000"/>
              </a:solidFill>
              <a:latin typeface="ＭＳ Ｐゴシック"/>
              <a:ea typeface="ＭＳ Ｐゴシック"/>
            </a:rPr>
            <a:t>６つの能力は、上記の期待する業務遂行</a:t>
          </a:r>
          <a:r>
            <a:rPr lang="ja-JP" altLang="en-US" sz="1100" b="0" i="0" u="none" strike="noStrike" baseline="0">
              <a:solidFill>
                <a:sysClr val="windowText" lastClr="000000"/>
              </a:solidFill>
              <a:latin typeface="ＭＳ Ｐゴシック"/>
              <a:ea typeface="ＭＳ Ｐゴシック"/>
            </a:rPr>
            <a:t>を通して発揮されますが、どの能力は発揮できて、どれは発揮できていないかを整理するために記述しています。重複していますが、項目別に見つめることでより具体的な行動・言動を確認できます。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114300</xdr:colOff>
      <xdr:row>29</xdr:row>
      <xdr:rowOff>152400</xdr:rowOff>
    </xdr:from>
    <xdr:to>
      <xdr:col>16</xdr:col>
      <xdr:colOff>219075</xdr:colOff>
      <xdr:row>32</xdr:row>
      <xdr:rowOff>158750</xdr:rowOff>
    </xdr:to>
    <xdr:sp macro="" textlink="">
      <xdr:nvSpPr>
        <xdr:cNvPr id="2" name="テキスト ボックス 1">
          <a:extLst>
            <a:ext uri="{FF2B5EF4-FFF2-40B4-BE49-F238E27FC236}">
              <a16:creationId xmlns:a16="http://schemas.microsoft.com/office/drawing/2014/main" id="{47E322C4-2B15-43A1-B1A1-0240D231569E}"/>
            </a:ext>
          </a:extLst>
        </xdr:cNvPr>
        <xdr:cNvSpPr txBox="1"/>
      </xdr:nvSpPr>
      <xdr:spPr>
        <a:xfrm>
          <a:off x="2971800" y="7753350"/>
          <a:ext cx="4124325" cy="749300"/>
        </a:xfrm>
        <a:prstGeom prst="rect">
          <a:avLst/>
        </a:prstGeom>
        <a:solidFill>
          <a:schemeClr val="accent3">
            <a:lumMod val="20000"/>
            <a:lumOff val="80000"/>
          </a:schemeClr>
        </a:solidFill>
        <a:ln w="158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rPr>
            <a:t>※</a:t>
          </a:r>
          <a:r>
            <a:rPr kumimoji="1" lang="ja-JP" altLang="en-US" sz="1200"/>
            <a:t>任意目標は最低１項目は提示する</a:t>
          </a:r>
          <a:endParaRPr kumimoji="1" lang="en-US" altLang="ja-JP" sz="1200"/>
        </a:p>
        <a:p>
          <a:r>
            <a:rPr kumimoji="1" lang="ja-JP" altLang="en-US" sz="1200"/>
            <a:t>　　状況によっては複数でも可とする（ウエイト調整可）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447675</xdr:colOff>
      <xdr:row>3</xdr:row>
      <xdr:rowOff>95250</xdr:rowOff>
    </xdr:from>
    <xdr:to>
      <xdr:col>6</xdr:col>
      <xdr:colOff>1543050</xdr:colOff>
      <xdr:row>3</xdr:row>
      <xdr:rowOff>419100</xdr:rowOff>
    </xdr:to>
    <xdr:sp macro="" textlink="">
      <xdr:nvSpPr>
        <xdr:cNvPr id="2" name="Text Box 3">
          <a:extLst>
            <a:ext uri="{FF2B5EF4-FFF2-40B4-BE49-F238E27FC236}">
              <a16:creationId xmlns:a16="http://schemas.microsoft.com/office/drawing/2014/main" id="{00000000-0008-0000-0C00-000002000000}"/>
            </a:ext>
          </a:extLst>
        </xdr:cNvPr>
        <xdr:cNvSpPr txBox="1">
          <a:spLocks noChangeArrowheads="1"/>
        </xdr:cNvSpPr>
      </xdr:nvSpPr>
      <xdr:spPr bwMode="auto">
        <a:xfrm>
          <a:off x="1123950" y="723900"/>
          <a:ext cx="7029450" cy="323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0" anchor="t" upright="1"/>
        <a:lstStyle/>
        <a:p>
          <a:pPr algn="ctr" rtl="0">
            <a:defRPr sz="1000"/>
          </a:pPr>
          <a:r>
            <a:rPr lang="ja-JP" altLang="en-US" sz="1600" b="0" i="0" u="none" strike="noStrike" baseline="0">
              <a:solidFill>
                <a:srgbClr val="000000"/>
              </a:solidFill>
              <a:latin typeface="ＭＳ Ｐゴシック"/>
              <a:ea typeface="ＭＳ Ｐゴシック"/>
            </a:rPr>
            <a:t>経営職は、（営業・事務）シートを参照のこと</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447675</xdr:colOff>
      <xdr:row>19</xdr:row>
      <xdr:rowOff>95250</xdr:rowOff>
    </xdr:from>
    <xdr:to>
      <xdr:col>6</xdr:col>
      <xdr:colOff>1543050</xdr:colOff>
      <xdr:row>19</xdr:row>
      <xdr:rowOff>419100</xdr:rowOff>
    </xdr:to>
    <xdr:sp macro="" textlink="">
      <xdr:nvSpPr>
        <xdr:cNvPr id="2" name="Text Box 3">
          <a:extLst>
            <a:ext uri="{FF2B5EF4-FFF2-40B4-BE49-F238E27FC236}">
              <a16:creationId xmlns:a16="http://schemas.microsoft.com/office/drawing/2014/main" id="{00000000-0008-0000-0D00-000002000000}"/>
            </a:ext>
          </a:extLst>
        </xdr:cNvPr>
        <xdr:cNvSpPr txBox="1">
          <a:spLocks noChangeArrowheads="1"/>
        </xdr:cNvSpPr>
      </xdr:nvSpPr>
      <xdr:spPr bwMode="auto">
        <a:xfrm>
          <a:off x="1133475" y="723900"/>
          <a:ext cx="7029450" cy="3238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0" anchor="t" upright="1"/>
        <a:lstStyle/>
        <a:p>
          <a:pPr algn="ctr" rtl="0">
            <a:defRPr sz="1000"/>
          </a:pPr>
          <a:r>
            <a:rPr lang="ja-JP" altLang="en-US" sz="1600" b="0" i="0" u="none" strike="noStrike" baseline="0">
              <a:solidFill>
                <a:srgbClr val="000000"/>
              </a:solidFill>
              <a:latin typeface="ＭＳ ゴシック"/>
              <a:ea typeface="ＭＳ ゴシック"/>
            </a:rPr>
            <a:t>経営職は、（営業・事務）シートを参照のこと</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1.bin"/><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56"/>
  <sheetViews>
    <sheetView showGridLines="0" tabSelected="1" topLeftCell="A31" workbookViewId="0">
      <selection activeCell="D57" sqref="D57"/>
    </sheetView>
  </sheetViews>
  <sheetFormatPr defaultRowHeight="10.9"/>
  <cols>
    <col min="1" max="1" width="2.140625" style="36" customWidth="1"/>
    <col min="2" max="2" width="3.28515625" style="36" customWidth="1"/>
    <col min="3" max="3" width="2.42578125" style="36" customWidth="1"/>
    <col min="4" max="258" width="9" style="36"/>
    <col min="259" max="259" width="2.42578125" style="36" customWidth="1"/>
    <col min="260" max="514" width="9" style="36"/>
    <col min="515" max="515" width="2.42578125" style="36" customWidth="1"/>
    <col min="516" max="770" width="9" style="36"/>
    <col min="771" max="771" width="2.42578125" style="36" customWidth="1"/>
    <col min="772" max="1026" width="9" style="36"/>
    <col min="1027" max="1027" width="2.42578125" style="36" customWidth="1"/>
    <col min="1028" max="1282" width="9" style="36"/>
    <col min="1283" max="1283" width="2.42578125" style="36" customWidth="1"/>
    <col min="1284" max="1538" width="9" style="36"/>
    <col min="1539" max="1539" width="2.42578125" style="36" customWidth="1"/>
    <col min="1540" max="1794" width="9" style="36"/>
    <col min="1795" max="1795" width="2.42578125" style="36" customWidth="1"/>
    <col min="1796" max="2050" width="9" style="36"/>
    <col min="2051" max="2051" width="2.42578125" style="36" customWidth="1"/>
    <col min="2052" max="2306" width="9" style="36"/>
    <col min="2307" max="2307" width="2.42578125" style="36" customWidth="1"/>
    <col min="2308" max="2562" width="9" style="36"/>
    <col min="2563" max="2563" width="2.42578125" style="36" customWidth="1"/>
    <col min="2564" max="2818" width="9" style="36"/>
    <col min="2819" max="2819" width="2.42578125" style="36" customWidth="1"/>
    <col min="2820" max="3074" width="9" style="36"/>
    <col min="3075" max="3075" width="2.42578125" style="36" customWidth="1"/>
    <col min="3076" max="3330" width="9" style="36"/>
    <col min="3331" max="3331" width="2.42578125" style="36" customWidth="1"/>
    <col min="3332" max="3586" width="9" style="36"/>
    <col min="3587" max="3587" width="2.42578125" style="36" customWidth="1"/>
    <col min="3588" max="3842" width="9" style="36"/>
    <col min="3843" max="3843" width="2.42578125" style="36" customWidth="1"/>
    <col min="3844" max="4098" width="9" style="36"/>
    <col min="4099" max="4099" width="2.42578125" style="36" customWidth="1"/>
    <col min="4100" max="4354" width="9" style="36"/>
    <col min="4355" max="4355" width="2.42578125" style="36" customWidth="1"/>
    <col min="4356" max="4610" width="9" style="36"/>
    <col min="4611" max="4611" width="2.42578125" style="36" customWidth="1"/>
    <col min="4612" max="4866" width="9" style="36"/>
    <col min="4867" max="4867" width="2.42578125" style="36" customWidth="1"/>
    <col min="4868" max="5122" width="9" style="36"/>
    <col min="5123" max="5123" width="2.42578125" style="36" customWidth="1"/>
    <col min="5124" max="5378" width="9" style="36"/>
    <col min="5379" max="5379" width="2.42578125" style="36" customWidth="1"/>
    <col min="5380" max="5634" width="9" style="36"/>
    <col min="5635" max="5635" width="2.42578125" style="36" customWidth="1"/>
    <col min="5636" max="5890" width="9" style="36"/>
    <col min="5891" max="5891" width="2.42578125" style="36" customWidth="1"/>
    <col min="5892" max="6146" width="9" style="36"/>
    <col min="6147" max="6147" width="2.42578125" style="36" customWidth="1"/>
    <col min="6148" max="6402" width="9" style="36"/>
    <col min="6403" max="6403" width="2.42578125" style="36" customWidth="1"/>
    <col min="6404" max="6658" width="9" style="36"/>
    <col min="6659" max="6659" width="2.42578125" style="36" customWidth="1"/>
    <col min="6660" max="6914" width="9" style="36"/>
    <col min="6915" max="6915" width="2.42578125" style="36" customWidth="1"/>
    <col min="6916" max="7170" width="9" style="36"/>
    <col min="7171" max="7171" width="2.42578125" style="36" customWidth="1"/>
    <col min="7172" max="7426" width="9" style="36"/>
    <col min="7427" max="7427" width="2.42578125" style="36" customWidth="1"/>
    <col min="7428" max="7682" width="9" style="36"/>
    <col min="7683" max="7683" width="2.42578125" style="36" customWidth="1"/>
    <col min="7684" max="7938" width="9" style="36"/>
    <col min="7939" max="7939" width="2.42578125" style="36" customWidth="1"/>
    <col min="7940" max="8194" width="9" style="36"/>
    <col min="8195" max="8195" width="2.42578125" style="36" customWidth="1"/>
    <col min="8196" max="8450" width="9" style="36"/>
    <col min="8451" max="8451" width="2.42578125" style="36" customWidth="1"/>
    <col min="8452" max="8706" width="9" style="36"/>
    <col min="8707" max="8707" width="2.42578125" style="36" customWidth="1"/>
    <col min="8708" max="8962" width="9" style="36"/>
    <col min="8963" max="8963" width="2.42578125" style="36" customWidth="1"/>
    <col min="8964" max="9218" width="9" style="36"/>
    <col min="9219" max="9219" width="2.42578125" style="36" customWidth="1"/>
    <col min="9220" max="9474" width="9" style="36"/>
    <col min="9475" max="9475" width="2.42578125" style="36" customWidth="1"/>
    <col min="9476" max="9730" width="9" style="36"/>
    <col min="9731" max="9731" width="2.42578125" style="36" customWidth="1"/>
    <col min="9732" max="9986" width="9" style="36"/>
    <col min="9987" max="9987" width="2.42578125" style="36" customWidth="1"/>
    <col min="9988" max="10242" width="9" style="36"/>
    <col min="10243" max="10243" width="2.42578125" style="36" customWidth="1"/>
    <col min="10244" max="10498" width="9" style="36"/>
    <col min="10499" max="10499" width="2.42578125" style="36" customWidth="1"/>
    <col min="10500" max="10754" width="9" style="36"/>
    <col min="10755" max="10755" width="2.42578125" style="36" customWidth="1"/>
    <col min="10756" max="11010" width="9" style="36"/>
    <col min="11011" max="11011" width="2.42578125" style="36" customWidth="1"/>
    <col min="11012" max="11266" width="9" style="36"/>
    <col min="11267" max="11267" width="2.42578125" style="36" customWidth="1"/>
    <col min="11268" max="11522" width="9" style="36"/>
    <col min="11523" max="11523" width="2.42578125" style="36" customWidth="1"/>
    <col min="11524" max="11778" width="9" style="36"/>
    <col min="11779" max="11779" width="2.42578125" style="36" customWidth="1"/>
    <col min="11780" max="12034" width="9" style="36"/>
    <col min="12035" max="12035" width="2.42578125" style="36" customWidth="1"/>
    <col min="12036" max="12290" width="9" style="36"/>
    <col min="12291" max="12291" width="2.42578125" style="36" customWidth="1"/>
    <col min="12292" max="12546" width="9" style="36"/>
    <col min="12547" max="12547" width="2.42578125" style="36" customWidth="1"/>
    <col min="12548" max="12802" width="9" style="36"/>
    <col min="12803" max="12803" width="2.42578125" style="36" customWidth="1"/>
    <col min="12804" max="13058" width="9" style="36"/>
    <col min="13059" max="13059" width="2.42578125" style="36" customWidth="1"/>
    <col min="13060" max="13314" width="9" style="36"/>
    <col min="13315" max="13315" width="2.42578125" style="36" customWidth="1"/>
    <col min="13316" max="13570" width="9" style="36"/>
    <col min="13571" max="13571" width="2.42578125" style="36" customWidth="1"/>
    <col min="13572" max="13826" width="9" style="36"/>
    <col min="13827" max="13827" width="2.42578125" style="36" customWidth="1"/>
    <col min="13828" max="14082" width="9" style="36"/>
    <col min="14083" max="14083" width="2.42578125" style="36" customWidth="1"/>
    <col min="14084" max="14338" width="9" style="36"/>
    <col min="14339" max="14339" width="2.42578125" style="36" customWidth="1"/>
    <col min="14340" max="14594" width="9" style="36"/>
    <col min="14595" max="14595" width="2.42578125" style="36" customWidth="1"/>
    <col min="14596" max="14850" width="9" style="36"/>
    <col min="14851" max="14851" width="2.42578125" style="36" customWidth="1"/>
    <col min="14852" max="15106" width="9" style="36"/>
    <col min="15107" max="15107" width="2.42578125" style="36" customWidth="1"/>
    <col min="15108" max="15362" width="9" style="36"/>
    <col min="15363" max="15363" width="2.42578125" style="36" customWidth="1"/>
    <col min="15364" max="15618" width="9" style="36"/>
    <col min="15619" max="15619" width="2.42578125" style="36" customWidth="1"/>
    <col min="15620" max="15874" width="9" style="36"/>
    <col min="15875" max="15875" width="2.42578125" style="36" customWidth="1"/>
    <col min="15876" max="16130" width="9" style="36"/>
    <col min="16131" max="16131" width="2.42578125" style="36" customWidth="1"/>
    <col min="16132" max="16384" width="9" style="36"/>
  </cols>
  <sheetData>
    <row r="2" spans="1:6" ht="14.45">
      <c r="B2" s="17" t="s">
        <v>0</v>
      </c>
    </row>
    <row r="5" spans="1:6" ht="13.15">
      <c r="C5" s="62" t="s">
        <v>1</v>
      </c>
    </row>
    <row r="7" spans="1:6" ht="13.15">
      <c r="C7" s="14" t="s">
        <v>2</v>
      </c>
    </row>
    <row r="8" spans="1:6" ht="13.15">
      <c r="A8" s="63"/>
      <c r="D8" s="14" t="s">
        <v>3</v>
      </c>
      <c r="E8" s="14"/>
      <c r="F8" s="14"/>
    </row>
    <row r="9" spans="1:6" ht="13.15">
      <c r="C9" s="14"/>
      <c r="D9" s="14" t="s">
        <v>4</v>
      </c>
    </row>
    <row r="10" spans="1:6" ht="13.15">
      <c r="D10" s="14" t="s">
        <v>5</v>
      </c>
    </row>
    <row r="12" spans="1:6" ht="14.45">
      <c r="B12" s="17" t="s">
        <v>6</v>
      </c>
    </row>
    <row r="14" spans="1:6" ht="13.15">
      <c r="C14" s="62" t="s">
        <v>7</v>
      </c>
    </row>
    <row r="16" spans="1:6" ht="13.15">
      <c r="C16" s="14" t="s">
        <v>2</v>
      </c>
    </row>
    <row r="17" spans="2:4" ht="13.15">
      <c r="D17" s="14" t="s">
        <v>8</v>
      </c>
    </row>
    <row r="19" spans="2:4" ht="14.45">
      <c r="B19" s="17" t="s">
        <v>9</v>
      </c>
    </row>
    <row r="21" spans="2:4" ht="13.15">
      <c r="C21" s="62" t="s">
        <v>10</v>
      </c>
    </row>
    <row r="23" spans="2:4" ht="13.15">
      <c r="C23" s="14" t="s">
        <v>2</v>
      </c>
    </row>
    <row r="24" spans="2:4" ht="13.15">
      <c r="D24" s="14" t="s">
        <v>8</v>
      </c>
    </row>
    <row r="25" spans="2:4" ht="13.15">
      <c r="D25" s="14" t="s">
        <v>11</v>
      </c>
    </row>
    <row r="27" spans="2:4" ht="14.45">
      <c r="B27" s="17" t="s">
        <v>12</v>
      </c>
    </row>
    <row r="29" spans="2:4" ht="13.15">
      <c r="C29" s="62" t="s">
        <v>13</v>
      </c>
    </row>
    <row r="31" spans="2:4" ht="13.15">
      <c r="C31" s="14" t="s">
        <v>2</v>
      </c>
    </row>
    <row r="32" spans="2:4" ht="13.15">
      <c r="D32" s="14" t="s">
        <v>14</v>
      </c>
    </row>
    <row r="33" spans="2:4" ht="13.15">
      <c r="D33" s="14" t="s">
        <v>5</v>
      </c>
    </row>
    <row r="34" spans="2:4" ht="13.15">
      <c r="D34" s="14" t="s">
        <v>15</v>
      </c>
    </row>
    <row r="35" spans="2:4" ht="13.15">
      <c r="D35" s="14" t="s">
        <v>16</v>
      </c>
    </row>
    <row r="37" spans="2:4" ht="14.45">
      <c r="B37" s="17" t="s">
        <v>17</v>
      </c>
    </row>
    <row r="39" spans="2:4" ht="13.15">
      <c r="C39" s="62" t="s">
        <v>18</v>
      </c>
    </row>
    <row r="41" spans="2:4" ht="13.15">
      <c r="C41" s="14" t="s">
        <v>2</v>
      </c>
    </row>
    <row r="42" spans="2:4" ht="13.15">
      <c r="D42" s="14" t="s">
        <v>19</v>
      </c>
    </row>
    <row r="43" spans="2:4" ht="13.15">
      <c r="D43" s="14" t="s">
        <v>20</v>
      </c>
    </row>
    <row r="44" spans="2:4" ht="13.15">
      <c r="D44" s="14" t="s">
        <v>21</v>
      </c>
    </row>
    <row r="45" spans="2:4" ht="13.15">
      <c r="D45" s="14" t="s">
        <v>22</v>
      </c>
    </row>
    <row r="46" spans="2:4" ht="13.15">
      <c r="D46" s="14" t="s">
        <v>15</v>
      </c>
    </row>
    <row r="47" spans="2:4" ht="13.15">
      <c r="D47" s="14" t="s">
        <v>11</v>
      </c>
    </row>
    <row r="48" spans="2:4" ht="13.15">
      <c r="D48" s="14" t="s">
        <v>16</v>
      </c>
    </row>
    <row r="50" spans="2:4" ht="14.45">
      <c r="B50" s="17" t="s">
        <v>23</v>
      </c>
    </row>
    <row r="52" spans="2:4" ht="13.15">
      <c r="C52" s="62" t="s">
        <v>24</v>
      </c>
    </row>
    <row r="53" spans="2:4" ht="13.15">
      <c r="C53" s="62" t="s">
        <v>25</v>
      </c>
    </row>
    <row r="55" spans="2:4" ht="13.15">
      <c r="C55" s="14" t="s">
        <v>2</v>
      </c>
    </row>
    <row r="56" spans="2:4" ht="13.15">
      <c r="D56" s="14" t="s">
        <v>14</v>
      </c>
    </row>
  </sheetData>
  <phoneticPr fontId="2"/>
  <pageMargins left="0.9055118110236221" right="0.23622047244094491" top="0.74803149606299213" bottom="0.74803149606299213" header="0.31496062992125984" footer="0.31496062992125984"/>
  <pageSetup paperSize="9"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8:G84"/>
  <sheetViews>
    <sheetView showGridLines="0" topLeftCell="A20" zoomScale="90" zoomScaleNormal="100" workbookViewId="0">
      <selection activeCell="G31" sqref="G31:G36"/>
    </sheetView>
  </sheetViews>
  <sheetFormatPr defaultRowHeight="10.9"/>
  <cols>
    <col min="1" max="5" width="9" style="36"/>
    <col min="6" max="6" width="50.28515625" style="36" bestFit="1" customWidth="1"/>
    <col min="7" max="7" width="9" style="36"/>
    <col min="8" max="8" width="7.85546875" style="36" customWidth="1"/>
    <col min="9" max="261" width="9" style="36"/>
    <col min="262" max="262" width="50.28515625" style="36" bestFit="1" customWidth="1"/>
    <col min="263" max="263" width="9" style="36"/>
    <col min="264" max="264" width="7.85546875" style="36" customWidth="1"/>
    <col min="265" max="517" width="9" style="36"/>
    <col min="518" max="518" width="50.28515625" style="36" bestFit="1" customWidth="1"/>
    <col min="519" max="519" width="9" style="36"/>
    <col min="520" max="520" width="7.85546875" style="36" customWidth="1"/>
    <col min="521" max="773" width="9" style="36"/>
    <col min="774" max="774" width="50.28515625" style="36" bestFit="1" customWidth="1"/>
    <col min="775" max="775" width="9" style="36"/>
    <col min="776" max="776" width="7.85546875" style="36" customWidth="1"/>
    <col min="777" max="1029" width="9" style="36"/>
    <col min="1030" max="1030" width="50.28515625" style="36" bestFit="1" customWidth="1"/>
    <col min="1031" max="1031" width="9" style="36"/>
    <col min="1032" max="1032" width="7.85546875" style="36" customWidth="1"/>
    <col min="1033" max="1285" width="9" style="36"/>
    <col min="1286" max="1286" width="50.28515625" style="36" bestFit="1" customWidth="1"/>
    <col min="1287" max="1287" width="9" style="36"/>
    <col min="1288" max="1288" width="7.85546875" style="36" customWidth="1"/>
    <col min="1289" max="1541" width="9" style="36"/>
    <col min="1542" max="1542" width="50.28515625" style="36" bestFit="1" customWidth="1"/>
    <col min="1543" max="1543" width="9" style="36"/>
    <col min="1544" max="1544" width="7.85546875" style="36" customWidth="1"/>
    <col min="1545" max="1797" width="9" style="36"/>
    <col min="1798" max="1798" width="50.28515625" style="36" bestFit="1" customWidth="1"/>
    <col min="1799" max="1799" width="9" style="36"/>
    <col min="1800" max="1800" width="7.85546875" style="36" customWidth="1"/>
    <col min="1801" max="2053" width="9" style="36"/>
    <col min="2054" max="2054" width="50.28515625" style="36" bestFit="1" customWidth="1"/>
    <col min="2055" max="2055" width="9" style="36"/>
    <col min="2056" max="2056" width="7.85546875" style="36" customWidth="1"/>
    <col min="2057" max="2309" width="9" style="36"/>
    <col min="2310" max="2310" width="50.28515625" style="36" bestFit="1" customWidth="1"/>
    <col min="2311" max="2311" width="9" style="36"/>
    <col min="2312" max="2312" width="7.85546875" style="36" customWidth="1"/>
    <col min="2313" max="2565" width="9" style="36"/>
    <col min="2566" max="2566" width="50.28515625" style="36" bestFit="1" customWidth="1"/>
    <col min="2567" max="2567" width="9" style="36"/>
    <col min="2568" max="2568" width="7.85546875" style="36" customWidth="1"/>
    <col min="2569" max="2821" width="9" style="36"/>
    <col min="2822" max="2822" width="50.28515625" style="36" bestFit="1" customWidth="1"/>
    <col min="2823" max="2823" width="9" style="36"/>
    <col min="2824" max="2824" width="7.85546875" style="36" customWidth="1"/>
    <col min="2825" max="3077" width="9" style="36"/>
    <col min="3078" max="3078" width="50.28515625" style="36" bestFit="1" customWidth="1"/>
    <col min="3079" max="3079" width="9" style="36"/>
    <col min="3080" max="3080" width="7.85546875" style="36" customWidth="1"/>
    <col min="3081" max="3333" width="9" style="36"/>
    <col min="3334" max="3334" width="50.28515625" style="36" bestFit="1" customWidth="1"/>
    <col min="3335" max="3335" width="9" style="36"/>
    <col min="3336" max="3336" width="7.85546875" style="36" customWidth="1"/>
    <col min="3337" max="3589" width="9" style="36"/>
    <col min="3590" max="3590" width="50.28515625" style="36" bestFit="1" customWidth="1"/>
    <col min="3591" max="3591" width="9" style="36"/>
    <col min="3592" max="3592" width="7.85546875" style="36" customWidth="1"/>
    <col min="3593" max="3845" width="9" style="36"/>
    <col min="3846" max="3846" width="50.28515625" style="36" bestFit="1" customWidth="1"/>
    <col min="3847" max="3847" width="9" style="36"/>
    <col min="3848" max="3848" width="7.85546875" style="36" customWidth="1"/>
    <col min="3849" max="4101" width="9" style="36"/>
    <col min="4102" max="4102" width="50.28515625" style="36" bestFit="1" customWidth="1"/>
    <col min="4103" max="4103" width="9" style="36"/>
    <col min="4104" max="4104" width="7.85546875" style="36" customWidth="1"/>
    <col min="4105" max="4357" width="9" style="36"/>
    <col min="4358" max="4358" width="50.28515625" style="36" bestFit="1" customWidth="1"/>
    <col min="4359" max="4359" width="9" style="36"/>
    <col min="4360" max="4360" width="7.85546875" style="36" customWidth="1"/>
    <col min="4361" max="4613" width="9" style="36"/>
    <col min="4614" max="4614" width="50.28515625" style="36" bestFit="1" customWidth="1"/>
    <col min="4615" max="4615" width="9" style="36"/>
    <col min="4616" max="4616" width="7.85546875" style="36" customWidth="1"/>
    <col min="4617" max="4869" width="9" style="36"/>
    <col min="4870" max="4870" width="50.28515625" style="36" bestFit="1" customWidth="1"/>
    <col min="4871" max="4871" width="9" style="36"/>
    <col min="4872" max="4872" width="7.85546875" style="36" customWidth="1"/>
    <col min="4873" max="5125" width="9" style="36"/>
    <col min="5126" max="5126" width="50.28515625" style="36" bestFit="1" customWidth="1"/>
    <col min="5127" max="5127" width="9" style="36"/>
    <col min="5128" max="5128" width="7.85546875" style="36" customWidth="1"/>
    <col min="5129" max="5381" width="9" style="36"/>
    <col min="5382" max="5382" width="50.28515625" style="36" bestFit="1" customWidth="1"/>
    <col min="5383" max="5383" width="9" style="36"/>
    <col min="5384" max="5384" width="7.85546875" style="36" customWidth="1"/>
    <col min="5385" max="5637" width="9" style="36"/>
    <col min="5638" max="5638" width="50.28515625" style="36" bestFit="1" customWidth="1"/>
    <col min="5639" max="5639" width="9" style="36"/>
    <col min="5640" max="5640" width="7.85546875" style="36" customWidth="1"/>
    <col min="5641" max="5893" width="9" style="36"/>
    <col min="5894" max="5894" width="50.28515625" style="36" bestFit="1" customWidth="1"/>
    <col min="5895" max="5895" width="9" style="36"/>
    <col min="5896" max="5896" width="7.85546875" style="36" customWidth="1"/>
    <col min="5897" max="6149" width="9" style="36"/>
    <col min="6150" max="6150" width="50.28515625" style="36" bestFit="1" customWidth="1"/>
    <col min="6151" max="6151" width="9" style="36"/>
    <col min="6152" max="6152" width="7.85546875" style="36" customWidth="1"/>
    <col min="6153" max="6405" width="9" style="36"/>
    <col min="6406" max="6406" width="50.28515625" style="36" bestFit="1" customWidth="1"/>
    <col min="6407" max="6407" width="9" style="36"/>
    <col min="6408" max="6408" width="7.85546875" style="36" customWidth="1"/>
    <col min="6409" max="6661" width="9" style="36"/>
    <col min="6662" max="6662" width="50.28515625" style="36" bestFit="1" customWidth="1"/>
    <col min="6663" max="6663" width="9" style="36"/>
    <col min="6664" max="6664" width="7.85546875" style="36" customWidth="1"/>
    <col min="6665" max="6917" width="9" style="36"/>
    <col min="6918" max="6918" width="50.28515625" style="36" bestFit="1" customWidth="1"/>
    <col min="6919" max="6919" width="9" style="36"/>
    <col min="6920" max="6920" width="7.85546875" style="36" customWidth="1"/>
    <col min="6921" max="7173" width="9" style="36"/>
    <col min="7174" max="7174" width="50.28515625" style="36" bestFit="1" customWidth="1"/>
    <col min="7175" max="7175" width="9" style="36"/>
    <col min="7176" max="7176" width="7.85546875" style="36" customWidth="1"/>
    <col min="7177" max="7429" width="9" style="36"/>
    <col min="7430" max="7430" width="50.28515625" style="36" bestFit="1" customWidth="1"/>
    <col min="7431" max="7431" width="9" style="36"/>
    <col min="7432" max="7432" width="7.85546875" style="36" customWidth="1"/>
    <col min="7433" max="7685" width="9" style="36"/>
    <col min="7686" max="7686" width="50.28515625" style="36" bestFit="1" customWidth="1"/>
    <col min="7687" max="7687" width="9" style="36"/>
    <col min="7688" max="7688" width="7.85546875" style="36" customWidth="1"/>
    <col min="7689" max="7941" width="9" style="36"/>
    <col min="7942" max="7942" width="50.28515625" style="36" bestFit="1" customWidth="1"/>
    <col min="7943" max="7943" width="9" style="36"/>
    <col min="7944" max="7944" width="7.85546875" style="36" customWidth="1"/>
    <col min="7945" max="8197" width="9" style="36"/>
    <col min="8198" max="8198" width="50.28515625" style="36" bestFit="1" customWidth="1"/>
    <col min="8199" max="8199" width="9" style="36"/>
    <col min="8200" max="8200" width="7.85546875" style="36" customWidth="1"/>
    <col min="8201" max="8453" width="9" style="36"/>
    <col min="8454" max="8454" width="50.28515625" style="36" bestFit="1" customWidth="1"/>
    <col min="8455" max="8455" width="9" style="36"/>
    <col min="8456" max="8456" width="7.85546875" style="36" customWidth="1"/>
    <col min="8457" max="8709" width="9" style="36"/>
    <col min="8710" max="8710" width="50.28515625" style="36" bestFit="1" customWidth="1"/>
    <col min="8711" max="8711" width="9" style="36"/>
    <col min="8712" max="8712" width="7.85546875" style="36" customWidth="1"/>
    <col min="8713" max="8965" width="9" style="36"/>
    <col min="8966" max="8966" width="50.28515625" style="36" bestFit="1" customWidth="1"/>
    <col min="8967" max="8967" width="9" style="36"/>
    <col min="8968" max="8968" width="7.85546875" style="36" customWidth="1"/>
    <col min="8969" max="9221" width="9" style="36"/>
    <col min="9222" max="9222" width="50.28515625" style="36" bestFit="1" customWidth="1"/>
    <col min="9223" max="9223" width="9" style="36"/>
    <col min="9224" max="9224" width="7.85546875" style="36" customWidth="1"/>
    <col min="9225" max="9477" width="9" style="36"/>
    <col min="9478" max="9478" width="50.28515625" style="36" bestFit="1" customWidth="1"/>
    <col min="9479" max="9479" width="9" style="36"/>
    <col min="9480" max="9480" width="7.85546875" style="36" customWidth="1"/>
    <col min="9481" max="9733" width="9" style="36"/>
    <col min="9734" max="9734" width="50.28515625" style="36" bestFit="1" customWidth="1"/>
    <col min="9735" max="9735" width="9" style="36"/>
    <col min="9736" max="9736" width="7.85546875" style="36" customWidth="1"/>
    <col min="9737" max="9989" width="9" style="36"/>
    <col min="9990" max="9990" width="50.28515625" style="36" bestFit="1" customWidth="1"/>
    <col min="9991" max="9991" width="9" style="36"/>
    <col min="9992" max="9992" width="7.85546875" style="36" customWidth="1"/>
    <col min="9993" max="10245" width="9" style="36"/>
    <col min="10246" max="10246" width="50.28515625" style="36" bestFit="1" customWidth="1"/>
    <col min="10247" max="10247" width="9" style="36"/>
    <col min="10248" max="10248" width="7.85546875" style="36" customWidth="1"/>
    <col min="10249" max="10501" width="9" style="36"/>
    <col min="10502" max="10502" width="50.28515625" style="36" bestFit="1" customWidth="1"/>
    <col min="10503" max="10503" width="9" style="36"/>
    <col min="10504" max="10504" width="7.85546875" style="36" customWidth="1"/>
    <col min="10505" max="10757" width="9" style="36"/>
    <col min="10758" max="10758" width="50.28515625" style="36" bestFit="1" customWidth="1"/>
    <col min="10759" max="10759" width="9" style="36"/>
    <col min="10760" max="10760" width="7.85546875" style="36" customWidth="1"/>
    <col min="10761" max="11013" width="9" style="36"/>
    <col min="11014" max="11014" width="50.28515625" style="36" bestFit="1" customWidth="1"/>
    <col min="11015" max="11015" width="9" style="36"/>
    <col min="11016" max="11016" width="7.85546875" style="36" customWidth="1"/>
    <col min="11017" max="11269" width="9" style="36"/>
    <col min="11270" max="11270" width="50.28515625" style="36" bestFit="1" customWidth="1"/>
    <col min="11271" max="11271" width="9" style="36"/>
    <col min="11272" max="11272" width="7.85546875" style="36" customWidth="1"/>
    <col min="11273" max="11525" width="9" style="36"/>
    <col min="11526" max="11526" width="50.28515625" style="36" bestFit="1" customWidth="1"/>
    <col min="11527" max="11527" width="9" style="36"/>
    <col min="11528" max="11528" width="7.85546875" style="36" customWidth="1"/>
    <col min="11529" max="11781" width="9" style="36"/>
    <col min="11782" max="11782" width="50.28515625" style="36" bestFit="1" customWidth="1"/>
    <col min="11783" max="11783" width="9" style="36"/>
    <col min="11784" max="11784" width="7.85546875" style="36" customWidth="1"/>
    <col min="11785" max="12037" width="9" style="36"/>
    <col min="12038" max="12038" width="50.28515625" style="36" bestFit="1" customWidth="1"/>
    <col min="12039" max="12039" width="9" style="36"/>
    <col min="12040" max="12040" width="7.85546875" style="36" customWidth="1"/>
    <col min="12041" max="12293" width="9" style="36"/>
    <col min="12294" max="12294" width="50.28515625" style="36" bestFit="1" customWidth="1"/>
    <col min="12295" max="12295" width="9" style="36"/>
    <col min="12296" max="12296" width="7.85546875" style="36" customWidth="1"/>
    <col min="12297" max="12549" width="9" style="36"/>
    <col min="12550" max="12550" width="50.28515625" style="36" bestFit="1" customWidth="1"/>
    <col min="12551" max="12551" width="9" style="36"/>
    <col min="12552" max="12552" width="7.85546875" style="36" customWidth="1"/>
    <col min="12553" max="12805" width="9" style="36"/>
    <col min="12806" max="12806" width="50.28515625" style="36" bestFit="1" customWidth="1"/>
    <col min="12807" max="12807" width="9" style="36"/>
    <col min="12808" max="12808" width="7.85546875" style="36" customWidth="1"/>
    <col min="12809" max="13061" width="9" style="36"/>
    <col min="13062" max="13062" width="50.28515625" style="36" bestFit="1" customWidth="1"/>
    <col min="13063" max="13063" width="9" style="36"/>
    <col min="13064" max="13064" width="7.85546875" style="36" customWidth="1"/>
    <col min="13065" max="13317" width="9" style="36"/>
    <col min="13318" max="13318" width="50.28515625" style="36" bestFit="1" customWidth="1"/>
    <col min="13319" max="13319" width="9" style="36"/>
    <col min="13320" max="13320" width="7.85546875" style="36" customWidth="1"/>
    <col min="13321" max="13573" width="9" style="36"/>
    <col min="13574" max="13574" width="50.28515625" style="36" bestFit="1" customWidth="1"/>
    <col min="13575" max="13575" width="9" style="36"/>
    <col min="13576" max="13576" width="7.85546875" style="36" customWidth="1"/>
    <col min="13577" max="13829" width="9" style="36"/>
    <col min="13830" max="13830" width="50.28515625" style="36" bestFit="1" customWidth="1"/>
    <col min="13831" max="13831" width="9" style="36"/>
    <col min="13832" max="13832" width="7.85546875" style="36" customWidth="1"/>
    <col min="13833" max="14085" width="9" style="36"/>
    <col min="14086" max="14086" width="50.28515625" style="36" bestFit="1" customWidth="1"/>
    <col min="14087" max="14087" width="9" style="36"/>
    <col min="14088" max="14088" width="7.85546875" style="36" customWidth="1"/>
    <col min="14089" max="14341" width="9" style="36"/>
    <col min="14342" max="14342" width="50.28515625" style="36" bestFit="1" customWidth="1"/>
    <col min="14343" max="14343" width="9" style="36"/>
    <col min="14344" max="14344" width="7.85546875" style="36" customWidth="1"/>
    <col min="14345" max="14597" width="9" style="36"/>
    <col min="14598" max="14598" width="50.28515625" style="36" bestFit="1" customWidth="1"/>
    <col min="14599" max="14599" width="9" style="36"/>
    <col min="14600" max="14600" width="7.85546875" style="36" customWidth="1"/>
    <col min="14601" max="14853" width="9" style="36"/>
    <col min="14854" max="14854" width="50.28515625" style="36" bestFit="1" customWidth="1"/>
    <col min="14855" max="14855" width="9" style="36"/>
    <col min="14856" max="14856" width="7.85546875" style="36" customWidth="1"/>
    <col min="14857" max="15109" width="9" style="36"/>
    <col min="15110" max="15110" width="50.28515625" style="36" bestFit="1" customWidth="1"/>
    <col min="15111" max="15111" width="9" style="36"/>
    <col min="15112" max="15112" width="7.85546875" style="36" customWidth="1"/>
    <col min="15113" max="15365" width="9" style="36"/>
    <col min="15366" max="15366" width="50.28515625" style="36" bestFit="1" customWidth="1"/>
    <col min="15367" max="15367" width="9" style="36"/>
    <col min="15368" max="15368" width="7.85546875" style="36" customWidth="1"/>
    <col min="15369" max="15621" width="9" style="36"/>
    <col min="15622" max="15622" width="50.28515625" style="36" bestFit="1" customWidth="1"/>
    <col min="15623" max="15623" width="9" style="36"/>
    <col min="15624" max="15624" width="7.85546875" style="36" customWidth="1"/>
    <col min="15625" max="15877" width="9" style="36"/>
    <col min="15878" max="15878" width="50.28515625" style="36" bestFit="1" customWidth="1"/>
    <col min="15879" max="15879" width="9" style="36"/>
    <col min="15880" max="15880" width="7.85546875" style="36" customWidth="1"/>
    <col min="15881" max="16133" width="9" style="36"/>
    <col min="16134" max="16134" width="50.28515625" style="36" bestFit="1" customWidth="1"/>
    <col min="16135" max="16135" width="9" style="36"/>
    <col min="16136" max="16136" width="7.85546875" style="36" customWidth="1"/>
    <col min="16137" max="16384" width="9" style="36"/>
  </cols>
  <sheetData>
    <row r="18" spans="1:7" ht="19.149999999999999">
      <c r="A18" s="66" t="s">
        <v>26</v>
      </c>
      <c r="G18" s="4" t="s">
        <v>27</v>
      </c>
    </row>
    <row r="29" spans="1:7" ht="15" customHeight="1">
      <c r="E29" s="14"/>
      <c r="F29" s="14" t="s">
        <v>28</v>
      </c>
    </row>
    <row r="30" spans="1:7" ht="15" customHeight="1">
      <c r="E30" s="14">
        <v>1</v>
      </c>
      <c r="F30" s="64" t="s">
        <v>29</v>
      </c>
    </row>
    <row r="31" spans="1:7" ht="15" customHeight="1">
      <c r="E31" s="14">
        <v>2</v>
      </c>
      <c r="F31" s="64" t="s">
        <v>30</v>
      </c>
    </row>
    <row r="32" spans="1:7" ht="15" customHeight="1">
      <c r="E32" s="14">
        <v>3</v>
      </c>
      <c r="F32" s="64" t="s">
        <v>31</v>
      </c>
    </row>
    <row r="33" spans="5:6" ht="15" customHeight="1">
      <c r="E33" s="14">
        <v>4</v>
      </c>
      <c r="F33" s="64" t="s">
        <v>32</v>
      </c>
    </row>
    <row r="34" spans="5:6" ht="15" customHeight="1">
      <c r="E34" s="14">
        <v>5</v>
      </c>
      <c r="F34" s="64" t="s">
        <v>33</v>
      </c>
    </row>
    <row r="35" spans="5:6" ht="15" customHeight="1">
      <c r="E35" s="14">
        <v>6</v>
      </c>
      <c r="F35" s="64" t="s">
        <v>34</v>
      </c>
    </row>
    <row r="36" spans="5:6" ht="15" customHeight="1">
      <c r="E36" s="14">
        <v>7</v>
      </c>
      <c r="F36" s="127" t="s">
        <v>35</v>
      </c>
    </row>
    <row r="37" spans="5:6" ht="15" customHeight="1">
      <c r="E37" s="14">
        <v>8</v>
      </c>
      <c r="F37" s="127" t="s">
        <v>36</v>
      </c>
    </row>
    <row r="38" spans="5:6" ht="15" customHeight="1">
      <c r="E38" s="14">
        <v>9</v>
      </c>
      <c r="F38" s="127" t="s">
        <v>37</v>
      </c>
    </row>
    <row r="39" spans="5:6" ht="15" customHeight="1">
      <c r="E39" s="14">
        <v>10</v>
      </c>
      <c r="F39" s="127" t="s">
        <v>38</v>
      </c>
    </row>
    <row r="40" spans="5:6" ht="15" customHeight="1">
      <c r="E40" s="14">
        <v>11</v>
      </c>
      <c r="F40" s="127" t="s">
        <v>39</v>
      </c>
    </row>
    <row r="41" spans="5:6" ht="15" customHeight="1">
      <c r="E41" s="14">
        <v>12</v>
      </c>
      <c r="F41" s="127" t="s">
        <v>40</v>
      </c>
    </row>
    <row r="42" spans="5:6" ht="15" customHeight="1">
      <c r="E42" s="14">
        <v>13</v>
      </c>
      <c r="F42" s="127" t="s">
        <v>41</v>
      </c>
    </row>
    <row r="43" spans="5:6" ht="15" customHeight="1">
      <c r="E43" s="14"/>
      <c r="F43" s="64"/>
    </row>
    <row r="84" spans="1:1" ht="12">
      <c r="A84" s="65" t="s">
        <v>42</v>
      </c>
    </row>
  </sheetData>
  <phoneticPr fontId="2"/>
  <hyperlinks>
    <hyperlink ref="F30" location="当社の理念・指針!A1" display="人事システム構築指針" xr:uid="{00000000-0004-0000-0100-000000000000}"/>
    <hyperlink ref="F31" location="キャリアプラン制度解説!A1" display="キャリアプラン制度　解説" xr:uid="{00000000-0004-0000-0100-000001000000}"/>
    <hyperlink ref="F32" location="職群別資格制度解説!A1" display="職群資格制度の趣旨" xr:uid="{00000000-0004-0000-0100-000002000000}"/>
    <hyperlink ref="F34" location="作成方法!A1" display="わたしのキャリアプランの作成方法" xr:uid="{00000000-0004-0000-0100-000003000000}"/>
    <hyperlink ref="F35" location="よくある質問!A1" display="よくある質問" xr:uid="{00000000-0004-0000-0100-000004000000}"/>
    <hyperlink ref="F33" location="全社資格基準の見方!A1" display="全社資格基準の見方" xr:uid="{00000000-0004-0000-0100-000005000000}"/>
    <hyperlink ref="F38" location="'全社資格基準　（営業・事務・パンチャー）'!A1" display="全社資格基準　経営職群・管理職群・一般職群（営業・事務・パンチャー）" xr:uid="{00000000-0004-0000-0100-000006000000}"/>
    <hyperlink ref="F40" location="'全社資格基準　（スペシャリスト）'!A1" display="全社資格基準　スペシャリスト職" xr:uid="{00000000-0004-0000-0100-000007000000}"/>
    <hyperlink ref="F36" location="'目標管理・ｷｬﾘｱﾌﾟﾗﾝ (作成用)'!A1" display="目標管理・キャリアプランシート（作成用）" xr:uid="{00000000-0004-0000-0100-000008000000}"/>
    <hyperlink ref="F37" location="'目標管理・ｷｬﾘｱﾌﾟﾗﾝ (記入例)'!A1" display="目標管理・キャリアプランシート（記入例）" xr:uid="{00000000-0004-0000-0100-000009000000}"/>
    <hyperlink ref="F39" location="'全社資格基準　（開発・評価）'!A1" display="全社資格基準　開発・評価（T～R～M2）" xr:uid="{00000000-0004-0000-0100-00000A000000}"/>
    <hyperlink ref="F41" location="'全社資格基準　（運用）'!A1" display="全社資格基準　運用（T～R～M2）" xr:uid="{00000000-0004-0000-0100-00000B000000}"/>
    <hyperlink ref="F42" location="有効に使おう!A1" display="キャリアプランを有効に使おう" xr:uid="{00000000-0004-0000-0100-00000C000000}"/>
  </hyperlinks>
  <pageMargins left="0.9055118110236221" right="0.23622047244094491" top="0.74803149606299213" bottom="0.74803149606299213" header="0.31496062992125984" footer="0.31496062992125984"/>
  <pageSetup paperSize="9" scale="76"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66"/>
  <sheetViews>
    <sheetView showGridLines="0" zoomScale="90" zoomScaleNormal="90" zoomScaleSheetLayoutView="100" workbookViewId="0">
      <selection activeCell="G31" sqref="G31:G36"/>
    </sheetView>
  </sheetViews>
  <sheetFormatPr defaultRowHeight="10.9"/>
  <cols>
    <col min="1" max="1" width="76" style="36" bestFit="1" customWidth="1"/>
    <col min="2" max="256" width="9" style="36"/>
    <col min="257" max="257" width="86.140625" style="36" customWidth="1"/>
    <col min="258" max="512" width="9" style="36"/>
    <col min="513" max="513" width="86.140625" style="36" customWidth="1"/>
    <col min="514" max="768" width="9" style="36"/>
    <col min="769" max="769" width="86.140625" style="36" customWidth="1"/>
    <col min="770" max="1024" width="9" style="36"/>
    <col min="1025" max="1025" width="86.140625" style="36" customWidth="1"/>
    <col min="1026" max="1280" width="9" style="36"/>
    <col min="1281" max="1281" width="86.140625" style="36" customWidth="1"/>
    <col min="1282" max="1536" width="9" style="36"/>
    <col min="1537" max="1537" width="86.140625" style="36" customWidth="1"/>
    <col min="1538" max="1792" width="9" style="36"/>
    <col min="1793" max="1793" width="86.140625" style="36" customWidth="1"/>
    <col min="1794" max="2048" width="9" style="36"/>
    <col min="2049" max="2049" width="86.140625" style="36" customWidth="1"/>
    <col min="2050" max="2304" width="9" style="36"/>
    <col min="2305" max="2305" width="86.140625" style="36" customWidth="1"/>
    <col min="2306" max="2560" width="9" style="36"/>
    <col min="2561" max="2561" width="86.140625" style="36" customWidth="1"/>
    <col min="2562" max="2816" width="9" style="36"/>
    <col min="2817" max="2817" width="86.140625" style="36" customWidth="1"/>
    <col min="2818" max="3072" width="9" style="36"/>
    <col min="3073" max="3073" width="86.140625" style="36" customWidth="1"/>
    <col min="3074" max="3328" width="9" style="36"/>
    <col min="3329" max="3329" width="86.140625" style="36" customWidth="1"/>
    <col min="3330" max="3584" width="9" style="36"/>
    <col min="3585" max="3585" width="86.140625" style="36" customWidth="1"/>
    <col min="3586" max="3840" width="9" style="36"/>
    <col min="3841" max="3841" width="86.140625" style="36" customWidth="1"/>
    <col min="3842" max="4096" width="9" style="36"/>
    <col min="4097" max="4097" width="86.140625" style="36" customWidth="1"/>
    <col min="4098" max="4352" width="9" style="36"/>
    <col min="4353" max="4353" width="86.140625" style="36" customWidth="1"/>
    <col min="4354" max="4608" width="9" style="36"/>
    <col min="4609" max="4609" width="86.140625" style="36" customWidth="1"/>
    <col min="4610" max="4864" width="9" style="36"/>
    <col min="4865" max="4865" width="86.140625" style="36" customWidth="1"/>
    <col min="4866" max="5120" width="9" style="36"/>
    <col min="5121" max="5121" width="86.140625" style="36" customWidth="1"/>
    <col min="5122" max="5376" width="9" style="36"/>
    <col min="5377" max="5377" width="86.140625" style="36" customWidth="1"/>
    <col min="5378" max="5632" width="9" style="36"/>
    <col min="5633" max="5633" width="86.140625" style="36" customWidth="1"/>
    <col min="5634" max="5888" width="9" style="36"/>
    <col min="5889" max="5889" width="86.140625" style="36" customWidth="1"/>
    <col min="5890" max="6144" width="9" style="36"/>
    <col min="6145" max="6145" width="86.140625" style="36" customWidth="1"/>
    <col min="6146" max="6400" width="9" style="36"/>
    <col min="6401" max="6401" width="86.140625" style="36" customWidth="1"/>
    <col min="6402" max="6656" width="9" style="36"/>
    <col min="6657" max="6657" width="86.140625" style="36" customWidth="1"/>
    <col min="6658" max="6912" width="9" style="36"/>
    <col min="6913" max="6913" width="86.140625" style="36" customWidth="1"/>
    <col min="6914" max="7168" width="9" style="36"/>
    <col min="7169" max="7169" width="86.140625" style="36" customWidth="1"/>
    <col min="7170" max="7424" width="9" style="36"/>
    <col min="7425" max="7425" width="86.140625" style="36" customWidth="1"/>
    <col min="7426" max="7680" width="9" style="36"/>
    <col min="7681" max="7681" width="86.140625" style="36" customWidth="1"/>
    <col min="7682" max="7936" width="9" style="36"/>
    <col min="7937" max="7937" width="86.140625" style="36" customWidth="1"/>
    <col min="7938" max="8192" width="9" style="36"/>
    <col min="8193" max="8193" width="86.140625" style="36" customWidth="1"/>
    <col min="8194" max="8448" width="9" style="36"/>
    <col min="8449" max="8449" width="86.140625" style="36" customWidth="1"/>
    <col min="8450" max="8704" width="9" style="36"/>
    <col min="8705" max="8705" width="86.140625" style="36" customWidth="1"/>
    <col min="8706" max="8960" width="9" style="36"/>
    <col min="8961" max="8961" width="86.140625" style="36" customWidth="1"/>
    <col min="8962" max="9216" width="9" style="36"/>
    <col min="9217" max="9217" width="86.140625" style="36" customWidth="1"/>
    <col min="9218" max="9472" width="9" style="36"/>
    <col min="9473" max="9473" width="86.140625" style="36" customWidth="1"/>
    <col min="9474" max="9728" width="9" style="36"/>
    <col min="9729" max="9729" width="86.140625" style="36" customWidth="1"/>
    <col min="9730" max="9984" width="9" style="36"/>
    <col min="9985" max="9985" width="86.140625" style="36" customWidth="1"/>
    <col min="9986" max="10240" width="9" style="36"/>
    <col min="10241" max="10241" width="86.140625" style="36" customWidth="1"/>
    <col min="10242" max="10496" width="9" style="36"/>
    <col min="10497" max="10497" width="86.140625" style="36" customWidth="1"/>
    <col min="10498" max="10752" width="9" style="36"/>
    <col min="10753" max="10753" width="86.140625" style="36" customWidth="1"/>
    <col min="10754" max="11008" width="9" style="36"/>
    <col min="11009" max="11009" width="86.140625" style="36" customWidth="1"/>
    <col min="11010" max="11264" width="9" style="36"/>
    <col min="11265" max="11265" width="86.140625" style="36" customWidth="1"/>
    <col min="11266" max="11520" width="9" style="36"/>
    <col min="11521" max="11521" width="86.140625" style="36" customWidth="1"/>
    <col min="11522" max="11776" width="9" style="36"/>
    <col min="11777" max="11777" width="86.140625" style="36" customWidth="1"/>
    <col min="11778" max="12032" width="9" style="36"/>
    <col min="12033" max="12033" width="86.140625" style="36" customWidth="1"/>
    <col min="12034" max="12288" width="9" style="36"/>
    <col min="12289" max="12289" width="86.140625" style="36" customWidth="1"/>
    <col min="12290" max="12544" width="9" style="36"/>
    <col min="12545" max="12545" width="86.140625" style="36" customWidth="1"/>
    <col min="12546" max="12800" width="9" style="36"/>
    <col min="12801" max="12801" width="86.140625" style="36" customWidth="1"/>
    <col min="12802" max="13056" width="9" style="36"/>
    <col min="13057" max="13057" width="86.140625" style="36" customWidth="1"/>
    <col min="13058" max="13312" width="9" style="36"/>
    <col min="13313" max="13313" width="86.140625" style="36" customWidth="1"/>
    <col min="13314" max="13568" width="9" style="36"/>
    <col min="13569" max="13569" width="86.140625" style="36" customWidth="1"/>
    <col min="13570" max="13824" width="9" style="36"/>
    <col min="13825" max="13825" width="86.140625" style="36" customWidth="1"/>
    <col min="13826" max="14080" width="9" style="36"/>
    <col min="14081" max="14081" width="86.140625" style="36" customWidth="1"/>
    <col min="14082" max="14336" width="9" style="36"/>
    <col min="14337" max="14337" width="86.140625" style="36" customWidth="1"/>
    <col min="14338" max="14592" width="9" style="36"/>
    <col min="14593" max="14593" width="86.140625" style="36" customWidth="1"/>
    <col min="14594" max="14848" width="9" style="36"/>
    <col min="14849" max="14849" width="86.140625" style="36" customWidth="1"/>
    <col min="14850" max="15104" width="9" style="36"/>
    <col min="15105" max="15105" width="86.140625" style="36" customWidth="1"/>
    <col min="15106" max="15360" width="9" style="36"/>
    <col min="15361" max="15361" width="86.140625" style="36" customWidth="1"/>
    <col min="15362" max="15616" width="9" style="36"/>
    <col min="15617" max="15617" width="86.140625" style="36" customWidth="1"/>
    <col min="15618" max="15872" width="9" style="36"/>
    <col min="15873" max="15873" width="86.140625" style="36" customWidth="1"/>
    <col min="15874" max="16128" width="9" style="36"/>
    <col min="16129" max="16129" width="86.140625" style="36" customWidth="1"/>
    <col min="16130" max="16384" width="9" style="36"/>
  </cols>
  <sheetData>
    <row r="1" spans="1:1" ht="19.149999999999999">
      <c r="A1" s="59" t="s">
        <v>43</v>
      </c>
    </row>
    <row r="2" spans="1:1" ht="13.15">
      <c r="A2" s="60"/>
    </row>
    <row r="3" spans="1:1" ht="13.15">
      <c r="A3" s="60"/>
    </row>
    <row r="4" spans="1:1" ht="13.15">
      <c r="A4" s="60"/>
    </row>
    <row r="5" spans="1:1" s="14" customFormat="1" ht="14.45">
      <c r="A5" s="79" t="s">
        <v>44</v>
      </c>
    </row>
    <row r="6" spans="1:1" s="14" customFormat="1" ht="14.45">
      <c r="A6" s="80" t="s">
        <v>45</v>
      </c>
    </row>
    <row r="7" spans="1:1" s="14" customFormat="1" ht="13.15">
      <c r="A7" s="67"/>
    </row>
    <row r="8" spans="1:1" s="14" customFormat="1" ht="15" customHeight="1">
      <c r="A8" s="67" t="s">
        <v>46</v>
      </c>
    </row>
    <row r="9" spans="1:1" s="14" customFormat="1" ht="15" customHeight="1">
      <c r="A9" s="67" t="s">
        <v>47</v>
      </c>
    </row>
    <row r="10" spans="1:1" s="14" customFormat="1" ht="15" customHeight="1">
      <c r="A10" s="67" t="s">
        <v>48</v>
      </c>
    </row>
    <row r="11" spans="1:1" s="14" customFormat="1" ht="15" customHeight="1">
      <c r="A11" s="67" t="s">
        <v>49</v>
      </c>
    </row>
    <row r="12" spans="1:1" s="14" customFormat="1" ht="15" customHeight="1">
      <c r="A12" s="67" t="s">
        <v>50</v>
      </c>
    </row>
    <row r="13" spans="1:1" s="14" customFormat="1" ht="15" customHeight="1">
      <c r="A13" s="67" t="s">
        <v>51</v>
      </c>
    </row>
    <row r="14" spans="1:1" s="14" customFormat="1" ht="13.15">
      <c r="A14" s="67" t="s">
        <v>52</v>
      </c>
    </row>
    <row r="15" spans="1:1" s="14" customFormat="1" ht="13.15">
      <c r="A15" s="67"/>
    </row>
    <row r="16" spans="1:1" s="14" customFormat="1" ht="14.45">
      <c r="A16" s="79" t="s">
        <v>53</v>
      </c>
    </row>
    <row r="17" spans="1:1" s="14" customFormat="1" ht="15" customHeight="1">
      <c r="A17" s="67" t="s">
        <v>54</v>
      </c>
    </row>
    <row r="18" spans="1:1" s="14" customFormat="1" ht="15" customHeight="1">
      <c r="A18" s="5" t="s">
        <v>55</v>
      </c>
    </row>
    <row r="19" spans="1:1" s="14" customFormat="1" ht="13.15">
      <c r="A19" s="67"/>
    </row>
    <row r="20" spans="1:1" s="14" customFormat="1" ht="13.15">
      <c r="A20" s="67"/>
    </row>
    <row r="21" spans="1:1" s="14" customFormat="1" ht="14.45">
      <c r="A21" s="79" t="s">
        <v>56</v>
      </c>
    </row>
    <row r="22" spans="1:1" s="14" customFormat="1" ht="15" customHeight="1">
      <c r="A22" s="68" t="s">
        <v>57</v>
      </c>
    </row>
    <row r="23" spans="1:1" s="14" customFormat="1" ht="15" customHeight="1">
      <c r="A23" s="68" t="s">
        <v>58</v>
      </c>
    </row>
    <row r="24" spans="1:1" s="14" customFormat="1" ht="15" customHeight="1">
      <c r="A24" s="68" t="s">
        <v>59</v>
      </c>
    </row>
    <row r="25" spans="1:1" s="14" customFormat="1" ht="15" customHeight="1">
      <c r="A25" s="68" t="s">
        <v>60</v>
      </c>
    </row>
    <row r="26" spans="1:1" s="14" customFormat="1" ht="15" customHeight="1">
      <c r="A26" s="68" t="s">
        <v>61</v>
      </c>
    </row>
    <row r="27" spans="1:1" s="14" customFormat="1" ht="15" customHeight="1">
      <c r="A27" s="68" t="s">
        <v>62</v>
      </c>
    </row>
    <row r="28" spans="1:1" s="14" customFormat="1" ht="13.15">
      <c r="A28" s="67"/>
    </row>
    <row r="29" spans="1:1" s="14" customFormat="1" ht="13.15">
      <c r="A29" s="67"/>
    </row>
    <row r="30" spans="1:1" s="14" customFormat="1" ht="14.45">
      <c r="A30" s="79" t="s">
        <v>63</v>
      </c>
    </row>
    <row r="31" spans="1:1" s="14" customFormat="1" ht="15" customHeight="1">
      <c r="A31" s="5" t="s">
        <v>64</v>
      </c>
    </row>
    <row r="32" spans="1:1" s="14" customFormat="1" ht="15" customHeight="1">
      <c r="A32" s="5" t="s">
        <v>65</v>
      </c>
    </row>
    <row r="33" spans="1:1" s="14" customFormat="1" ht="13.15">
      <c r="A33" s="67"/>
    </row>
    <row r="34" spans="1:1" s="14" customFormat="1" ht="15" customHeight="1">
      <c r="A34" s="67" t="s">
        <v>66</v>
      </c>
    </row>
    <row r="35" spans="1:1" s="14" customFormat="1" ht="15" customHeight="1">
      <c r="A35" s="67" t="s">
        <v>67</v>
      </c>
    </row>
    <row r="36" spans="1:1" s="14" customFormat="1" ht="15" customHeight="1">
      <c r="A36" s="67" t="s">
        <v>68</v>
      </c>
    </row>
    <row r="37" spans="1:1" s="14" customFormat="1" ht="13.15">
      <c r="A37" s="67"/>
    </row>
    <row r="38" spans="1:1" s="14" customFormat="1" ht="13.15">
      <c r="A38" s="67"/>
    </row>
    <row r="39" spans="1:1" s="14" customFormat="1" ht="14.45">
      <c r="A39" s="79" t="s">
        <v>69</v>
      </c>
    </row>
    <row r="40" spans="1:1" s="14" customFormat="1" ht="14.45">
      <c r="A40" s="81" t="s">
        <v>70</v>
      </c>
    </row>
    <row r="41" spans="1:1" s="14" customFormat="1" ht="13.15">
      <c r="A41" s="67"/>
    </row>
    <row r="42" spans="1:1" s="14" customFormat="1" ht="15" customHeight="1">
      <c r="A42" s="67" t="s">
        <v>71</v>
      </c>
    </row>
    <row r="43" spans="1:1" s="14" customFormat="1" ht="15" customHeight="1">
      <c r="A43" s="67" t="s">
        <v>72</v>
      </c>
    </row>
    <row r="44" spans="1:1" s="14" customFormat="1" ht="15" customHeight="1">
      <c r="A44" s="67" t="s">
        <v>73</v>
      </c>
    </row>
    <row r="45" spans="1:1" s="14" customFormat="1" ht="15" customHeight="1">
      <c r="A45" s="67" t="s">
        <v>74</v>
      </c>
    </row>
    <row r="46" spans="1:1" s="14" customFormat="1" ht="13.15">
      <c r="A46" s="67"/>
    </row>
    <row r="47" spans="1:1" s="14" customFormat="1" ht="13.15">
      <c r="A47" s="67"/>
    </row>
    <row r="48" spans="1:1" s="57" customFormat="1" ht="14.45">
      <c r="A48" s="79" t="s">
        <v>75</v>
      </c>
    </row>
    <row r="49" spans="1:1" s="57" customFormat="1" ht="15" customHeight="1">
      <c r="A49" s="79" t="s">
        <v>76</v>
      </c>
    </row>
    <row r="50" spans="1:1" s="57" customFormat="1" ht="15" customHeight="1">
      <c r="A50" s="79" t="s">
        <v>77</v>
      </c>
    </row>
    <row r="51" spans="1:1" s="57" customFormat="1" ht="15" customHeight="1">
      <c r="A51" s="79" t="s">
        <v>78</v>
      </c>
    </row>
    <row r="52" spans="1:1" s="57" customFormat="1" ht="15" customHeight="1">
      <c r="A52" s="79" t="s">
        <v>79</v>
      </c>
    </row>
    <row r="53" spans="1:1" s="57" customFormat="1" ht="15" customHeight="1">
      <c r="A53" s="79" t="s">
        <v>80</v>
      </c>
    </row>
    <row r="54" spans="1:1" s="14" customFormat="1" ht="13.15"/>
    <row r="55" spans="1:1" s="14" customFormat="1" ht="13.15"/>
    <row r="56" spans="1:1" s="14" customFormat="1" ht="13.15"/>
    <row r="57" spans="1:1" s="14" customFormat="1" ht="13.15"/>
    <row r="58" spans="1:1" s="14" customFormat="1" ht="13.15"/>
    <row r="59" spans="1:1" s="14" customFormat="1" ht="13.15"/>
    <row r="60" spans="1:1" s="14" customFormat="1" ht="13.15"/>
    <row r="61" spans="1:1" s="14" customFormat="1" ht="13.15"/>
    <row r="62" spans="1:1" s="14" customFormat="1" ht="13.15"/>
    <row r="63" spans="1:1" s="14" customFormat="1" ht="13.15"/>
    <row r="64" spans="1:1" s="14" customFormat="1" ht="13.15"/>
    <row r="65" s="14" customFormat="1" ht="13.15"/>
    <row r="66" s="14" customFormat="1" ht="13.15"/>
  </sheetData>
  <phoneticPr fontId="2"/>
  <pageMargins left="0.9055118110236221" right="0.9055118110236221" top="0.74803149606299213" bottom="0.70866141732283472"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63"/>
  <sheetViews>
    <sheetView showGridLines="0" zoomScale="90" zoomScaleNormal="90" workbookViewId="0">
      <selection activeCell="G31" sqref="G31:G36"/>
    </sheetView>
  </sheetViews>
  <sheetFormatPr defaultColWidth="9" defaultRowHeight="13.15"/>
  <cols>
    <col min="1" max="1" width="3.42578125" style="14" customWidth="1"/>
    <col min="2" max="16384" width="9" style="14"/>
  </cols>
  <sheetData>
    <row r="1" spans="1:15">
      <c r="A1" s="14" t="s">
        <v>30</v>
      </c>
      <c r="K1" s="69" t="str">
        <f>'表紙・目次（リンク）'!G18</f>
        <v>2021年度版</v>
      </c>
    </row>
    <row r="3" spans="1:15" ht="14.45">
      <c r="A3" s="17" t="s">
        <v>81</v>
      </c>
      <c r="E3" s="36"/>
    </row>
    <row r="4" spans="1:15" ht="13.5" customHeight="1">
      <c r="A4" s="70"/>
      <c r="B4" s="70"/>
      <c r="C4" s="70"/>
      <c r="D4" s="70"/>
      <c r="E4" s="70"/>
      <c r="F4" s="70"/>
      <c r="G4" s="70"/>
      <c r="H4" s="70"/>
      <c r="I4" s="70"/>
      <c r="J4" s="70"/>
      <c r="K4" s="70"/>
    </row>
    <row r="5" spans="1:15">
      <c r="B5" s="235" t="s">
        <v>82</v>
      </c>
      <c r="C5" s="236"/>
      <c r="D5" s="236"/>
      <c r="E5" s="236"/>
      <c r="F5" s="236"/>
      <c r="G5" s="236"/>
      <c r="H5" s="236"/>
      <c r="I5" s="236"/>
      <c r="J5" s="236"/>
      <c r="K5" s="236"/>
      <c r="M5" s="82"/>
    </row>
    <row r="6" spans="1:15">
      <c r="B6" s="236"/>
      <c r="C6" s="236"/>
      <c r="D6" s="236"/>
      <c r="E6" s="236"/>
      <c r="F6" s="236"/>
      <c r="G6" s="236"/>
      <c r="H6" s="236"/>
      <c r="I6" s="236"/>
      <c r="J6" s="236"/>
      <c r="K6" s="236"/>
    </row>
    <row r="7" spans="1:15">
      <c r="B7" s="236"/>
      <c r="C7" s="236"/>
      <c r="D7" s="236"/>
      <c r="E7" s="236"/>
      <c r="F7" s="236"/>
      <c r="G7" s="236"/>
      <c r="H7" s="236"/>
      <c r="I7" s="236"/>
      <c r="J7" s="236"/>
      <c r="K7" s="236"/>
    </row>
    <row r="8" spans="1:15">
      <c r="B8" s="236"/>
      <c r="C8" s="236"/>
      <c r="D8" s="236"/>
      <c r="E8" s="236"/>
      <c r="F8" s="236"/>
      <c r="G8" s="236"/>
      <c r="H8" s="236"/>
      <c r="I8" s="236"/>
      <c r="J8" s="236"/>
      <c r="K8" s="236"/>
      <c r="M8" s="82"/>
      <c r="O8" s="82"/>
    </row>
    <row r="9" spans="1:15">
      <c r="B9" s="236"/>
      <c r="C9" s="236"/>
      <c r="D9" s="236"/>
      <c r="E9" s="236"/>
      <c r="F9" s="236"/>
      <c r="G9" s="236"/>
      <c r="H9" s="236"/>
      <c r="I9" s="236"/>
      <c r="J9" s="236"/>
      <c r="K9" s="236"/>
    </row>
    <row r="10" spans="1:15">
      <c r="B10" s="236"/>
      <c r="C10" s="236"/>
      <c r="D10" s="236"/>
      <c r="E10" s="236"/>
      <c r="F10" s="236"/>
      <c r="G10" s="236"/>
      <c r="H10" s="236"/>
      <c r="I10" s="236"/>
      <c r="J10" s="236"/>
      <c r="K10" s="236"/>
    </row>
    <row r="11" spans="1:15">
      <c r="B11" s="236"/>
      <c r="C11" s="236"/>
      <c r="D11" s="236"/>
      <c r="E11" s="236"/>
      <c r="F11" s="236"/>
      <c r="G11" s="236"/>
      <c r="H11" s="236"/>
      <c r="I11" s="236"/>
      <c r="J11" s="236"/>
      <c r="K11" s="236"/>
    </row>
    <row r="12" spans="1:15">
      <c r="B12" s="236"/>
      <c r="C12" s="236"/>
      <c r="D12" s="236"/>
      <c r="E12" s="236"/>
      <c r="F12" s="236"/>
      <c r="G12" s="236"/>
      <c r="H12" s="236"/>
      <c r="I12" s="236"/>
      <c r="J12" s="236"/>
      <c r="K12" s="236"/>
    </row>
    <row r="13" spans="1:15">
      <c r="B13" s="236"/>
      <c r="C13" s="236"/>
      <c r="D13" s="236"/>
      <c r="E13" s="236"/>
      <c r="F13" s="236"/>
      <c r="G13" s="236"/>
      <c r="H13" s="236"/>
      <c r="I13" s="236"/>
      <c r="J13" s="236"/>
      <c r="K13" s="236"/>
    </row>
    <row r="14" spans="1:15">
      <c r="B14" s="236"/>
      <c r="C14" s="236"/>
      <c r="D14" s="236"/>
      <c r="E14" s="236"/>
      <c r="F14" s="236"/>
      <c r="G14" s="236"/>
      <c r="H14" s="236"/>
      <c r="I14" s="236"/>
      <c r="J14" s="236"/>
      <c r="K14" s="236"/>
    </row>
    <row r="15" spans="1:15">
      <c r="B15" s="236"/>
      <c r="C15" s="236"/>
      <c r="D15" s="236"/>
      <c r="E15" s="236"/>
      <c r="F15" s="236"/>
      <c r="G15" s="236"/>
      <c r="H15" s="236"/>
      <c r="I15" s="236"/>
      <c r="J15" s="236"/>
      <c r="K15" s="236"/>
    </row>
    <row r="16" spans="1:15">
      <c r="B16" s="236"/>
      <c r="C16" s="236"/>
      <c r="D16" s="236"/>
      <c r="E16" s="236"/>
      <c r="F16" s="236"/>
      <c r="G16" s="236"/>
      <c r="H16" s="236"/>
      <c r="I16" s="236"/>
      <c r="J16" s="236"/>
      <c r="K16" s="236"/>
    </row>
    <row r="17" spans="1:11">
      <c r="B17" s="236"/>
      <c r="C17" s="236"/>
      <c r="D17" s="236"/>
      <c r="E17" s="236"/>
      <c r="F17" s="236"/>
      <c r="G17" s="236"/>
      <c r="H17" s="236"/>
      <c r="I17" s="236"/>
      <c r="J17" s="236"/>
      <c r="K17" s="236"/>
    </row>
    <row r="18" spans="1:11">
      <c r="B18" s="236"/>
      <c r="C18" s="236"/>
      <c r="D18" s="236"/>
      <c r="E18" s="236"/>
      <c r="F18" s="236"/>
      <c r="G18" s="236"/>
      <c r="H18" s="236"/>
      <c r="I18" s="236"/>
      <c r="J18" s="236"/>
      <c r="K18" s="236"/>
    </row>
    <row r="19" spans="1:11">
      <c r="B19" s="236"/>
      <c r="C19" s="236"/>
      <c r="D19" s="236"/>
      <c r="E19" s="236"/>
      <c r="F19" s="236"/>
      <c r="G19" s="236"/>
      <c r="H19" s="236"/>
      <c r="I19" s="236"/>
      <c r="J19" s="236"/>
      <c r="K19" s="236"/>
    </row>
    <row r="20" spans="1:11">
      <c r="B20" s="236"/>
      <c r="C20" s="236"/>
      <c r="D20" s="236"/>
      <c r="E20" s="236"/>
      <c r="F20" s="236"/>
      <c r="G20" s="236"/>
      <c r="H20" s="236"/>
      <c r="I20" s="236"/>
      <c r="J20" s="236"/>
      <c r="K20" s="236"/>
    </row>
    <row r="21" spans="1:11">
      <c r="B21" s="236"/>
      <c r="C21" s="236"/>
      <c r="D21" s="236"/>
      <c r="E21" s="236"/>
      <c r="F21" s="236"/>
      <c r="G21" s="236"/>
      <c r="H21" s="236"/>
      <c r="I21" s="236"/>
      <c r="J21" s="236"/>
      <c r="K21" s="236"/>
    </row>
    <row r="22" spans="1:11">
      <c r="B22" s="236"/>
      <c r="C22" s="236"/>
      <c r="D22" s="236"/>
      <c r="E22" s="236"/>
      <c r="F22" s="236"/>
      <c r="G22" s="236"/>
      <c r="H22" s="236"/>
      <c r="I22" s="236"/>
      <c r="J22" s="236"/>
      <c r="K22" s="236"/>
    </row>
    <row r="23" spans="1:11">
      <c r="B23" s="236"/>
      <c r="C23" s="236"/>
      <c r="D23" s="236"/>
      <c r="E23" s="236"/>
      <c r="F23" s="236"/>
      <c r="G23" s="236"/>
      <c r="H23" s="236"/>
      <c r="I23" s="236"/>
      <c r="J23" s="236"/>
      <c r="K23" s="236"/>
    </row>
    <row r="24" spans="1:11">
      <c r="B24" s="236"/>
      <c r="C24" s="236"/>
      <c r="D24" s="236"/>
      <c r="E24" s="236"/>
      <c r="F24" s="236"/>
      <c r="G24" s="236"/>
      <c r="H24" s="236"/>
      <c r="I24" s="236"/>
      <c r="J24" s="236"/>
      <c r="K24" s="236"/>
    </row>
    <row r="25" spans="1:11">
      <c r="B25" s="236"/>
      <c r="C25" s="236"/>
      <c r="D25" s="236"/>
      <c r="E25" s="236"/>
      <c r="F25" s="236"/>
      <c r="G25" s="236"/>
      <c r="H25" s="236"/>
      <c r="I25" s="236"/>
      <c r="J25" s="236"/>
      <c r="K25" s="236"/>
    </row>
    <row r="26" spans="1:11">
      <c r="B26" s="236"/>
      <c r="C26" s="236"/>
      <c r="D26" s="236"/>
      <c r="E26" s="236"/>
      <c r="F26" s="236"/>
      <c r="G26" s="236"/>
      <c r="H26" s="236"/>
      <c r="I26" s="236"/>
      <c r="J26" s="236"/>
      <c r="K26" s="236"/>
    </row>
    <row r="27" spans="1:11">
      <c r="B27" s="236"/>
      <c r="C27" s="236"/>
      <c r="D27" s="236"/>
      <c r="E27" s="236"/>
      <c r="F27" s="236"/>
      <c r="G27" s="236"/>
      <c r="H27" s="236"/>
      <c r="I27" s="236"/>
      <c r="J27" s="236"/>
      <c r="K27" s="236"/>
    </row>
    <row r="28" spans="1:11">
      <c r="B28" s="236"/>
      <c r="C28" s="236"/>
      <c r="D28" s="236"/>
      <c r="E28" s="236"/>
      <c r="F28" s="236"/>
      <c r="G28" s="236"/>
      <c r="H28" s="236"/>
      <c r="I28" s="236"/>
      <c r="J28" s="236"/>
      <c r="K28" s="236"/>
    </row>
    <row r="29" spans="1:11">
      <c r="A29" s="70"/>
      <c r="B29" s="70"/>
      <c r="C29" s="70"/>
      <c r="D29" s="70"/>
      <c r="E29" s="70"/>
      <c r="F29" s="70"/>
      <c r="G29" s="70"/>
      <c r="H29" s="70"/>
      <c r="I29" s="70"/>
      <c r="J29" s="70"/>
      <c r="K29" s="70"/>
    </row>
    <row r="30" spans="1:11" ht="14.45">
      <c r="A30" s="17" t="s">
        <v>83</v>
      </c>
    </row>
    <row r="31" spans="1:11" ht="13.5" customHeight="1">
      <c r="A31" s="71"/>
      <c r="B31" s="71"/>
      <c r="C31" s="71"/>
      <c r="D31" s="71"/>
      <c r="E31" s="71"/>
      <c r="F31" s="71"/>
      <c r="G31" s="71"/>
      <c r="H31" s="61"/>
      <c r="I31" s="71"/>
      <c r="J31" s="71"/>
      <c r="K31" s="71"/>
    </row>
    <row r="32" spans="1:11">
      <c r="A32" s="71"/>
      <c r="B32" s="235" t="s">
        <v>84</v>
      </c>
      <c r="C32" s="236"/>
      <c r="D32" s="236"/>
      <c r="E32" s="236"/>
      <c r="F32" s="236"/>
      <c r="G32" s="236"/>
      <c r="H32" s="236"/>
      <c r="I32" s="236"/>
      <c r="J32" s="236"/>
      <c r="K32" s="236"/>
    </row>
    <row r="33" spans="1:14">
      <c r="A33" s="71"/>
      <c r="B33" s="236"/>
      <c r="C33" s="236"/>
      <c r="D33" s="236"/>
      <c r="E33" s="236"/>
      <c r="F33" s="236"/>
      <c r="G33" s="236"/>
      <c r="H33" s="236"/>
      <c r="I33" s="236"/>
      <c r="J33" s="236"/>
      <c r="K33" s="236"/>
    </row>
    <row r="34" spans="1:14">
      <c r="A34" s="71"/>
      <c r="B34" s="236"/>
      <c r="C34" s="236"/>
      <c r="D34" s="236"/>
      <c r="E34" s="236"/>
      <c r="F34" s="236"/>
      <c r="G34" s="236"/>
      <c r="H34" s="236"/>
      <c r="I34" s="236"/>
      <c r="J34" s="236"/>
      <c r="K34" s="236"/>
    </row>
    <row r="35" spans="1:14">
      <c r="A35" s="71"/>
      <c r="B35" s="236"/>
      <c r="C35" s="236"/>
      <c r="D35" s="236"/>
      <c r="E35" s="236"/>
      <c r="F35" s="236"/>
      <c r="G35" s="236"/>
      <c r="H35" s="236"/>
      <c r="I35" s="236"/>
      <c r="J35" s="236"/>
      <c r="K35" s="236"/>
      <c r="N35" s="82"/>
    </row>
    <row r="36" spans="1:14">
      <c r="A36" s="71"/>
      <c r="B36" s="236"/>
      <c r="C36" s="236"/>
      <c r="D36" s="236"/>
      <c r="E36" s="236"/>
      <c r="F36" s="236"/>
      <c r="G36" s="236"/>
      <c r="H36" s="236"/>
      <c r="I36" s="236"/>
      <c r="J36" s="236"/>
      <c r="K36" s="236"/>
      <c r="N36" s="82"/>
    </row>
    <row r="37" spans="1:14">
      <c r="A37" s="71"/>
      <c r="B37" s="236"/>
      <c r="C37" s="236"/>
      <c r="D37" s="236"/>
      <c r="E37" s="236"/>
      <c r="F37" s="236"/>
      <c r="G37" s="236"/>
      <c r="H37" s="236"/>
      <c r="I37" s="236"/>
      <c r="J37" s="236"/>
      <c r="K37" s="236"/>
      <c r="N37" s="82"/>
    </row>
    <row r="38" spans="1:14">
      <c r="A38" s="71"/>
      <c r="B38" s="236"/>
      <c r="C38" s="236"/>
      <c r="D38" s="236"/>
      <c r="E38" s="236"/>
      <c r="F38" s="236"/>
      <c r="G38" s="236"/>
      <c r="H38" s="236"/>
      <c r="I38" s="236"/>
      <c r="J38" s="236"/>
      <c r="K38" s="236"/>
      <c r="N38" s="82"/>
    </row>
    <row r="39" spans="1:14">
      <c r="A39" s="71"/>
      <c r="B39" s="236"/>
      <c r="C39" s="236"/>
      <c r="D39" s="236"/>
      <c r="E39" s="236"/>
      <c r="F39" s="236"/>
      <c r="G39" s="236"/>
      <c r="H39" s="236"/>
      <c r="I39" s="236"/>
      <c r="J39" s="236"/>
      <c r="K39" s="236"/>
      <c r="N39" s="82"/>
    </row>
    <row r="40" spans="1:14">
      <c r="A40" s="71"/>
      <c r="B40" s="236"/>
      <c r="C40" s="236"/>
      <c r="D40" s="236"/>
      <c r="E40" s="236"/>
      <c r="F40" s="236"/>
      <c r="G40" s="236"/>
      <c r="H40" s="236"/>
      <c r="I40" s="236"/>
      <c r="J40" s="236"/>
      <c r="K40" s="236"/>
      <c r="N40" s="82"/>
    </row>
    <row r="41" spans="1:14">
      <c r="A41" s="71"/>
      <c r="B41" s="236"/>
      <c r="C41" s="236"/>
      <c r="D41" s="236"/>
      <c r="E41" s="236"/>
      <c r="F41" s="236"/>
      <c r="G41" s="236"/>
      <c r="H41" s="236"/>
      <c r="I41" s="236"/>
      <c r="J41" s="236"/>
      <c r="K41" s="236"/>
      <c r="N41" s="82"/>
    </row>
    <row r="42" spans="1:14">
      <c r="A42" s="71"/>
      <c r="B42" s="236"/>
      <c r="C42" s="236"/>
      <c r="D42" s="236"/>
      <c r="E42" s="236"/>
      <c r="F42" s="236"/>
      <c r="G42" s="236"/>
      <c r="H42" s="236"/>
      <c r="I42" s="236"/>
      <c r="J42" s="236"/>
      <c r="K42" s="236"/>
      <c r="N42" s="82"/>
    </row>
    <row r="43" spans="1:14">
      <c r="A43" s="71"/>
      <c r="B43" s="236"/>
      <c r="C43" s="236"/>
      <c r="D43" s="236"/>
      <c r="E43" s="236"/>
      <c r="F43" s="236"/>
      <c r="G43" s="236"/>
      <c r="H43" s="236"/>
      <c r="I43" s="236"/>
      <c r="J43" s="236"/>
      <c r="K43" s="236"/>
      <c r="N43" s="82"/>
    </row>
    <row r="44" spans="1:14">
      <c r="A44" s="71"/>
      <c r="B44" s="236"/>
      <c r="C44" s="236"/>
      <c r="D44" s="236"/>
      <c r="E44" s="236"/>
      <c r="F44" s="236"/>
      <c r="G44" s="236"/>
      <c r="H44" s="236"/>
      <c r="I44" s="236"/>
      <c r="J44" s="236"/>
      <c r="K44" s="236"/>
      <c r="N44" s="82"/>
    </row>
    <row r="45" spans="1:14">
      <c r="A45" s="71"/>
      <c r="B45" s="236"/>
      <c r="C45" s="236"/>
      <c r="D45" s="236"/>
      <c r="E45" s="236"/>
      <c r="F45" s="236"/>
      <c r="G45" s="236"/>
      <c r="H45" s="236"/>
      <c r="I45" s="236"/>
      <c r="J45" s="236"/>
      <c r="K45" s="236"/>
      <c r="N45" s="82"/>
    </row>
    <row r="46" spans="1:14">
      <c r="A46" s="71"/>
      <c r="B46" s="236"/>
      <c r="C46" s="236"/>
      <c r="D46" s="236"/>
      <c r="E46" s="236"/>
      <c r="F46" s="236"/>
      <c r="G46" s="236"/>
      <c r="H46" s="236"/>
      <c r="I46" s="236"/>
      <c r="J46" s="236"/>
      <c r="K46" s="236"/>
      <c r="N46" s="82"/>
    </row>
    <row r="47" spans="1:14">
      <c r="A47" s="71"/>
      <c r="B47" s="236"/>
      <c r="C47" s="236"/>
      <c r="D47" s="236"/>
      <c r="E47" s="236"/>
      <c r="F47" s="236"/>
      <c r="G47" s="236"/>
      <c r="H47" s="236"/>
      <c r="I47" s="236"/>
      <c r="J47" s="236"/>
      <c r="K47" s="236"/>
      <c r="N47" s="82"/>
    </row>
    <row r="48" spans="1:14">
      <c r="A48" s="71"/>
      <c r="B48" s="236"/>
      <c r="C48" s="236"/>
      <c r="D48" s="236"/>
      <c r="E48" s="236"/>
      <c r="F48" s="236"/>
      <c r="G48" s="236"/>
      <c r="H48" s="236"/>
      <c r="I48" s="236"/>
      <c r="J48" s="236"/>
      <c r="K48" s="236"/>
      <c r="N48" s="82"/>
    </row>
    <row r="49" spans="1:14">
      <c r="A49" s="71"/>
      <c r="B49" s="236"/>
      <c r="C49" s="236"/>
      <c r="D49" s="236"/>
      <c r="E49" s="236"/>
      <c r="F49" s="236"/>
      <c r="G49" s="236"/>
      <c r="H49" s="236"/>
      <c r="I49" s="236"/>
      <c r="J49" s="236"/>
      <c r="K49" s="236"/>
      <c r="N49" s="82"/>
    </row>
    <row r="50" spans="1:14">
      <c r="A50" s="71"/>
      <c r="B50" s="236"/>
      <c r="C50" s="236"/>
      <c r="D50" s="236"/>
      <c r="E50" s="236"/>
      <c r="F50" s="236"/>
      <c r="G50" s="236"/>
      <c r="H50" s="236"/>
      <c r="I50" s="236"/>
      <c r="J50" s="236"/>
      <c r="K50" s="236"/>
      <c r="N50" s="82"/>
    </row>
    <row r="51" spans="1:14">
      <c r="A51" s="71"/>
      <c r="B51" s="236"/>
      <c r="C51" s="236"/>
      <c r="D51" s="236"/>
      <c r="E51" s="236"/>
      <c r="F51" s="236"/>
      <c r="G51" s="236"/>
      <c r="H51" s="236"/>
      <c r="I51" s="236"/>
      <c r="J51" s="236"/>
      <c r="K51" s="236"/>
      <c r="N51" s="82"/>
    </row>
    <row r="52" spans="1:14">
      <c r="A52" s="71"/>
      <c r="B52" s="236"/>
      <c r="C52" s="236"/>
      <c r="D52" s="236"/>
      <c r="E52" s="236"/>
      <c r="F52" s="236"/>
      <c r="G52" s="236"/>
      <c r="H52" s="236"/>
      <c r="I52" s="236"/>
      <c r="J52" s="236"/>
      <c r="K52" s="236"/>
    </row>
    <row r="53" spans="1:14">
      <c r="A53" s="71"/>
      <c r="B53" s="236"/>
      <c r="C53" s="236"/>
      <c r="D53" s="236"/>
      <c r="E53" s="236"/>
      <c r="F53" s="236"/>
      <c r="G53" s="236"/>
      <c r="H53" s="236"/>
      <c r="I53" s="236"/>
      <c r="J53" s="236"/>
      <c r="K53" s="236"/>
    </row>
    <row r="54" spans="1:14">
      <c r="A54" s="71"/>
      <c r="B54" s="236"/>
      <c r="C54" s="236"/>
      <c r="D54" s="236"/>
      <c r="E54" s="236"/>
      <c r="F54" s="236"/>
      <c r="G54" s="236"/>
      <c r="H54" s="236"/>
      <c r="I54" s="236"/>
      <c r="J54" s="236"/>
      <c r="K54" s="236"/>
    </row>
    <row r="55" spans="1:14">
      <c r="A55" s="71"/>
      <c r="B55" s="236"/>
      <c r="C55" s="236"/>
      <c r="D55" s="236"/>
      <c r="E55" s="236"/>
      <c r="F55" s="236"/>
      <c r="G55" s="236"/>
      <c r="H55" s="236"/>
      <c r="I55" s="236"/>
      <c r="J55" s="236"/>
      <c r="K55" s="236"/>
    </row>
    <row r="56" spans="1:14">
      <c r="A56" s="71"/>
      <c r="B56" s="236"/>
      <c r="C56" s="236"/>
      <c r="D56" s="236"/>
      <c r="E56" s="236"/>
      <c r="F56" s="236"/>
      <c r="G56" s="236"/>
      <c r="H56" s="236"/>
      <c r="I56" s="236"/>
      <c r="J56" s="236"/>
      <c r="K56" s="236"/>
    </row>
    <row r="57" spans="1:14">
      <c r="A57" s="71"/>
      <c r="B57" s="236"/>
      <c r="C57" s="236"/>
      <c r="D57" s="236"/>
      <c r="E57" s="236"/>
      <c r="F57" s="236"/>
      <c r="G57" s="236"/>
      <c r="H57" s="236"/>
      <c r="I57" s="236"/>
      <c r="J57" s="236"/>
      <c r="K57" s="236"/>
    </row>
    <row r="58" spans="1:14">
      <c r="A58" s="71"/>
      <c r="B58" s="236"/>
      <c r="C58" s="236"/>
      <c r="D58" s="236"/>
      <c r="E58" s="236"/>
      <c r="F58" s="236"/>
      <c r="G58" s="236"/>
      <c r="H58" s="236"/>
      <c r="I58" s="236"/>
      <c r="J58" s="236"/>
      <c r="K58" s="236"/>
    </row>
    <row r="59" spans="1:14">
      <c r="A59" s="71"/>
      <c r="B59" s="236"/>
      <c r="C59" s="236"/>
      <c r="D59" s="236"/>
      <c r="E59" s="236"/>
      <c r="F59" s="236"/>
      <c r="G59" s="236"/>
      <c r="H59" s="236"/>
      <c r="I59" s="236"/>
      <c r="J59" s="236"/>
      <c r="K59" s="236"/>
    </row>
    <row r="60" spans="1:14">
      <c r="A60" s="71"/>
      <c r="B60" s="236"/>
      <c r="C60" s="236"/>
      <c r="D60" s="236"/>
      <c r="E60" s="236"/>
      <c r="F60" s="236"/>
      <c r="G60" s="236"/>
      <c r="H60" s="236"/>
      <c r="I60" s="236"/>
      <c r="J60" s="236"/>
      <c r="K60" s="236"/>
    </row>
    <row r="61" spans="1:14">
      <c r="A61" s="71"/>
      <c r="B61" s="236"/>
      <c r="C61" s="236"/>
      <c r="D61" s="236"/>
      <c r="E61" s="236"/>
      <c r="F61" s="236"/>
      <c r="G61" s="236"/>
      <c r="H61" s="236"/>
      <c r="I61" s="236"/>
      <c r="J61" s="236"/>
      <c r="K61" s="236"/>
    </row>
    <row r="62" spans="1:14">
      <c r="A62" s="71"/>
      <c r="B62" s="236"/>
      <c r="C62" s="236"/>
      <c r="D62" s="236"/>
      <c r="E62" s="236"/>
      <c r="F62" s="236"/>
      <c r="G62" s="236"/>
      <c r="H62" s="236"/>
      <c r="I62" s="236"/>
      <c r="J62" s="236"/>
      <c r="K62" s="236"/>
    </row>
    <row r="63" spans="1:14">
      <c r="B63" s="236"/>
      <c r="C63" s="236"/>
      <c r="D63" s="236"/>
      <c r="E63" s="236"/>
      <c r="F63" s="236"/>
      <c r="G63" s="236"/>
      <c r="H63" s="236"/>
      <c r="I63" s="236"/>
      <c r="J63" s="236"/>
      <c r="K63" s="236"/>
    </row>
  </sheetData>
  <mergeCells count="2">
    <mergeCell ref="B5:K28"/>
    <mergeCell ref="B32:K63"/>
  </mergeCells>
  <phoneticPr fontId="2"/>
  <pageMargins left="0.9055118110236221" right="0.70866141732283472" top="0.74803149606299213" bottom="0.78740157480314965" header="0.31496062992125984" footer="0.31496062992125984"/>
  <pageSetup paperSize="9" scale="92"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53"/>
  <sheetViews>
    <sheetView showGridLines="0" topLeftCell="A12" zoomScale="87" zoomScaleNormal="87" workbookViewId="0">
      <selection activeCell="G31" sqref="G31:G36"/>
    </sheetView>
  </sheetViews>
  <sheetFormatPr defaultRowHeight="10.9"/>
  <cols>
    <col min="1" max="1" width="17.7109375" style="36" customWidth="1"/>
    <col min="2" max="2" width="7" style="36" customWidth="1"/>
    <col min="3" max="3" width="11.7109375" style="36" bestFit="1" customWidth="1"/>
    <col min="4" max="5" width="10.42578125" style="36" customWidth="1"/>
    <col min="6" max="6" width="13.42578125" style="36" bestFit="1" customWidth="1"/>
    <col min="7" max="7" width="10.42578125" style="36" customWidth="1"/>
    <col min="8" max="11" width="9" style="36"/>
    <col min="12" max="12" width="19.28515625" style="36" customWidth="1"/>
    <col min="13" max="256" width="9" style="36"/>
    <col min="257" max="257" width="10.42578125" style="36" customWidth="1"/>
    <col min="258" max="258" width="11.7109375" style="36" bestFit="1" customWidth="1"/>
    <col min="259" max="262" width="10.42578125" style="36" customWidth="1"/>
    <col min="263" max="512" width="9" style="36"/>
    <col min="513" max="513" width="10.42578125" style="36" customWidth="1"/>
    <col min="514" max="514" width="11.7109375" style="36" bestFit="1" customWidth="1"/>
    <col min="515" max="518" width="10.42578125" style="36" customWidth="1"/>
    <col min="519" max="768" width="9" style="36"/>
    <col min="769" max="769" width="10.42578125" style="36" customWidth="1"/>
    <col min="770" max="770" width="11.7109375" style="36" bestFit="1" customWidth="1"/>
    <col min="771" max="774" width="10.42578125" style="36" customWidth="1"/>
    <col min="775" max="1024" width="9" style="36"/>
    <col min="1025" max="1025" width="10.42578125" style="36" customWidth="1"/>
    <col min="1026" max="1026" width="11.7109375" style="36" bestFit="1" customWidth="1"/>
    <col min="1027" max="1030" width="10.42578125" style="36" customWidth="1"/>
    <col min="1031" max="1280" width="9" style="36"/>
    <col min="1281" max="1281" width="10.42578125" style="36" customWidth="1"/>
    <col min="1282" max="1282" width="11.7109375" style="36" bestFit="1" customWidth="1"/>
    <col min="1283" max="1286" width="10.42578125" style="36" customWidth="1"/>
    <col min="1287" max="1536" width="9" style="36"/>
    <col min="1537" max="1537" width="10.42578125" style="36" customWidth="1"/>
    <col min="1538" max="1538" width="11.7109375" style="36" bestFit="1" customWidth="1"/>
    <col min="1539" max="1542" width="10.42578125" style="36" customWidth="1"/>
    <col min="1543" max="1792" width="9" style="36"/>
    <col min="1793" max="1793" width="10.42578125" style="36" customWidth="1"/>
    <col min="1794" max="1794" width="11.7109375" style="36" bestFit="1" customWidth="1"/>
    <col min="1795" max="1798" width="10.42578125" style="36" customWidth="1"/>
    <col min="1799" max="2048" width="9" style="36"/>
    <col min="2049" max="2049" width="10.42578125" style="36" customWidth="1"/>
    <col min="2050" max="2050" width="11.7109375" style="36" bestFit="1" customWidth="1"/>
    <col min="2051" max="2054" width="10.42578125" style="36" customWidth="1"/>
    <col min="2055" max="2304" width="9" style="36"/>
    <col min="2305" max="2305" width="10.42578125" style="36" customWidth="1"/>
    <col min="2306" max="2306" width="11.7109375" style="36" bestFit="1" customWidth="1"/>
    <col min="2307" max="2310" width="10.42578125" style="36" customWidth="1"/>
    <col min="2311" max="2560" width="9" style="36"/>
    <col min="2561" max="2561" width="10.42578125" style="36" customWidth="1"/>
    <col min="2562" max="2562" width="11.7109375" style="36" bestFit="1" customWidth="1"/>
    <col min="2563" max="2566" width="10.42578125" style="36" customWidth="1"/>
    <col min="2567" max="2816" width="9" style="36"/>
    <col min="2817" max="2817" width="10.42578125" style="36" customWidth="1"/>
    <col min="2818" max="2818" width="11.7109375" style="36" bestFit="1" customWidth="1"/>
    <col min="2819" max="2822" width="10.42578125" style="36" customWidth="1"/>
    <col min="2823" max="3072" width="9" style="36"/>
    <col min="3073" max="3073" width="10.42578125" style="36" customWidth="1"/>
    <col min="3074" max="3074" width="11.7109375" style="36" bestFit="1" customWidth="1"/>
    <col min="3075" max="3078" width="10.42578125" style="36" customWidth="1"/>
    <col min="3079" max="3328" width="9" style="36"/>
    <col min="3329" max="3329" width="10.42578125" style="36" customWidth="1"/>
    <col min="3330" max="3330" width="11.7109375" style="36" bestFit="1" customWidth="1"/>
    <col min="3331" max="3334" width="10.42578125" style="36" customWidth="1"/>
    <col min="3335" max="3584" width="9" style="36"/>
    <col min="3585" max="3585" width="10.42578125" style="36" customWidth="1"/>
    <col min="3586" max="3586" width="11.7109375" style="36" bestFit="1" customWidth="1"/>
    <col min="3587" max="3590" width="10.42578125" style="36" customWidth="1"/>
    <col min="3591" max="3840" width="9" style="36"/>
    <col min="3841" max="3841" width="10.42578125" style="36" customWidth="1"/>
    <col min="3842" max="3842" width="11.7109375" style="36" bestFit="1" customWidth="1"/>
    <col min="3843" max="3846" width="10.42578125" style="36" customWidth="1"/>
    <col min="3847" max="4096" width="9" style="36"/>
    <col min="4097" max="4097" width="10.42578125" style="36" customWidth="1"/>
    <col min="4098" max="4098" width="11.7109375" style="36" bestFit="1" customWidth="1"/>
    <col min="4099" max="4102" width="10.42578125" style="36" customWidth="1"/>
    <col min="4103" max="4352" width="9" style="36"/>
    <col min="4353" max="4353" width="10.42578125" style="36" customWidth="1"/>
    <col min="4354" max="4354" width="11.7109375" style="36" bestFit="1" customWidth="1"/>
    <col min="4355" max="4358" width="10.42578125" style="36" customWidth="1"/>
    <col min="4359" max="4608" width="9" style="36"/>
    <col min="4609" max="4609" width="10.42578125" style="36" customWidth="1"/>
    <col min="4610" max="4610" width="11.7109375" style="36" bestFit="1" customWidth="1"/>
    <col min="4611" max="4614" width="10.42578125" style="36" customWidth="1"/>
    <col min="4615" max="4864" width="9" style="36"/>
    <col min="4865" max="4865" width="10.42578125" style="36" customWidth="1"/>
    <col min="4866" max="4866" width="11.7109375" style="36" bestFit="1" customWidth="1"/>
    <col min="4867" max="4870" width="10.42578125" style="36" customWidth="1"/>
    <col min="4871" max="5120" width="9" style="36"/>
    <col min="5121" max="5121" width="10.42578125" style="36" customWidth="1"/>
    <col min="5122" max="5122" width="11.7109375" style="36" bestFit="1" customWidth="1"/>
    <col min="5123" max="5126" width="10.42578125" style="36" customWidth="1"/>
    <col min="5127" max="5376" width="9" style="36"/>
    <col min="5377" max="5377" width="10.42578125" style="36" customWidth="1"/>
    <col min="5378" max="5378" width="11.7109375" style="36" bestFit="1" customWidth="1"/>
    <col min="5379" max="5382" width="10.42578125" style="36" customWidth="1"/>
    <col min="5383" max="5632" width="9" style="36"/>
    <col min="5633" max="5633" width="10.42578125" style="36" customWidth="1"/>
    <col min="5634" max="5634" width="11.7109375" style="36" bestFit="1" customWidth="1"/>
    <col min="5635" max="5638" width="10.42578125" style="36" customWidth="1"/>
    <col min="5639" max="5888" width="9" style="36"/>
    <col min="5889" max="5889" width="10.42578125" style="36" customWidth="1"/>
    <col min="5890" max="5890" width="11.7109375" style="36" bestFit="1" customWidth="1"/>
    <col min="5891" max="5894" width="10.42578125" style="36" customWidth="1"/>
    <col min="5895" max="6144" width="9" style="36"/>
    <col min="6145" max="6145" width="10.42578125" style="36" customWidth="1"/>
    <col min="6146" max="6146" width="11.7109375" style="36" bestFit="1" customWidth="1"/>
    <col min="6147" max="6150" width="10.42578125" style="36" customWidth="1"/>
    <col min="6151" max="6400" width="9" style="36"/>
    <col min="6401" max="6401" width="10.42578125" style="36" customWidth="1"/>
    <col min="6402" max="6402" width="11.7109375" style="36" bestFit="1" customWidth="1"/>
    <col min="6403" max="6406" width="10.42578125" style="36" customWidth="1"/>
    <col min="6407" max="6656" width="9" style="36"/>
    <col min="6657" max="6657" width="10.42578125" style="36" customWidth="1"/>
    <col min="6658" max="6658" width="11.7109375" style="36" bestFit="1" customWidth="1"/>
    <col min="6659" max="6662" width="10.42578125" style="36" customWidth="1"/>
    <col min="6663" max="6912" width="9" style="36"/>
    <col min="6913" max="6913" width="10.42578125" style="36" customWidth="1"/>
    <col min="6914" max="6914" width="11.7109375" style="36" bestFit="1" customWidth="1"/>
    <col min="6915" max="6918" width="10.42578125" style="36" customWidth="1"/>
    <col min="6919" max="7168" width="9" style="36"/>
    <col min="7169" max="7169" width="10.42578125" style="36" customWidth="1"/>
    <col min="7170" max="7170" width="11.7109375" style="36" bestFit="1" customWidth="1"/>
    <col min="7171" max="7174" width="10.42578125" style="36" customWidth="1"/>
    <col min="7175" max="7424" width="9" style="36"/>
    <col min="7425" max="7425" width="10.42578125" style="36" customWidth="1"/>
    <col min="7426" max="7426" width="11.7109375" style="36" bestFit="1" customWidth="1"/>
    <col min="7427" max="7430" width="10.42578125" style="36" customWidth="1"/>
    <col min="7431" max="7680" width="9" style="36"/>
    <col min="7681" max="7681" width="10.42578125" style="36" customWidth="1"/>
    <col min="7682" max="7682" width="11.7109375" style="36" bestFit="1" customWidth="1"/>
    <col min="7683" max="7686" width="10.42578125" style="36" customWidth="1"/>
    <col min="7687" max="7936" width="9" style="36"/>
    <col min="7937" max="7937" width="10.42578125" style="36" customWidth="1"/>
    <col min="7938" max="7938" width="11.7109375" style="36" bestFit="1" customWidth="1"/>
    <col min="7939" max="7942" width="10.42578125" style="36" customWidth="1"/>
    <col min="7943" max="8192" width="9" style="36"/>
    <col min="8193" max="8193" width="10.42578125" style="36" customWidth="1"/>
    <col min="8194" max="8194" width="11.7109375" style="36" bestFit="1" customWidth="1"/>
    <col min="8195" max="8198" width="10.42578125" style="36" customWidth="1"/>
    <col min="8199" max="8448" width="9" style="36"/>
    <col min="8449" max="8449" width="10.42578125" style="36" customWidth="1"/>
    <col min="8450" max="8450" width="11.7109375" style="36" bestFit="1" customWidth="1"/>
    <col min="8451" max="8454" width="10.42578125" style="36" customWidth="1"/>
    <col min="8455" max="8704" width="9" style="36"/>
    <col min="8705" max="8705" width="10.42578125" style="36" customWidth="1"/>
    <col min="8706" max="8706" width="11.7109375" style="36" bestFit="1" customWidth="1"/>
    <col min="8707" max="8710" width="10.42578125" style="36" customWidth="1"/>
    <col min="8711" max="8960" width="9" style="36"/>
    <col min="8961" max="8961" width="10.42578125" style="36" customWidth="1"/>
    <col min="8962" max="8962" width="11.7109375" style="36" bestFit="1" customWidth="1"/>
    <col min="8963" max="8966" width="10.42578125" style="36" customWidth="1"/>
    <col min="8967" max="9216" width="9" style="36"/>
    <col min="9217" max="9217" width="10.42578125" style="36" customWidth="1"/>
    <col min="9218" max="9218" width="11.7109375" style="36" bestFit="1" customWidth="1"/>
    <col min="9219" max="9222" width="10.42578125" style="36" customWidth="1"/>
    <col min="9223" max="9472" width="9" style="36"/>
    <col min="9473" max="9473" width="10.42578125" style="36" customWidth="1"/>
    <col min="9474" max="9474" width="11.7109375" style="36" bestFit="1" customWidth="1"/>
    <col min="9475" max="9478" width="10.42578125" style="36" customWidth="1"/>
    <col min="9479" max="9728" width="9" style="36"/>
    <col min="9729" max="9729" width="10.42578125" style="36" customWidth="1"/>
    <col min="9730" max="9730" width="11.7109375" style="36" bestFit="1" customWidth="1"/>
    <col min="9731" max="9734" width="10.42578125" style="36" customWidth="1"/>
    <col min="9735" max="9984" width="9" style="36"/>
    <col min="9985" max="9985" width="10.42578125" style="36" customWidth="1"/>
    <col min="9986" max="9986" width="11.7109375" style="36" bestFit="1" customWidth="1"/>
    <col min="9987" max="9990" width="10.42578125" style="36" customWidth="1"/>
    <col min="9991" max="10240" width="9" style="36"/>
    <col min="10241" max="10241" width="10.42578125" style="36" customWidth="1"/>
    <col min="10242" max="10242" width="11.7109375" style="36" bestFit="1" customWidth="1"/>
    <col min="10243" max="10246" width="10.42578125" style="36" customWidth="1"/>
    <col min="10247" max="10496" width="9" style="36"/>
    <col min="10497" max="10497" width="10.42578125" style="36" customWidth="1"/>
    <col min="10498" max="10498" width="11.7109375" style="36" bestFit="1" customWidth="1"/>
    <col min="10499" max="10502" width="10.42578125" style="36" customWidth="1"/>
    <col min="10503" max="10752" width="9" style="36"/>
    <col min="10753" max="10753" width="10.42578125" style="36" customWidth="1"/>
    <col min="10754" max="10754" width="11.7109375" style="36" bestFit="1" customWidth="1"/>
    <col min="10755" max="10758" width="10.42578125" style="36" customWidth="1"/>
    <col min="10759" max="11008" width="9" style="36"/>
    <col min="11009" max="11009" width="10.42578125" style="36" customWidth="1"/>
    <col min="11010" max="11010" width="11.7109375" style="36" bestFit="1" customWidth="1"/>
    <col min="11011" max="11014" width="10.42578125" style="36" customWidth="1"/>
    <col min="11015" max="11264" width="9" style="36"/>
    <col min="11265" max="11265" width="10.42578125" style="36" customWidth="1"/>
    <col min="11266" max="11266" width="11.7109375" style="36" bestFit="1" customWidth="1"/>
    <col min="11267" max="11270" width="10.42578125" style="36" customWidth="1"/>
    <col min="11271" max="11520" width="9" style="36"/>
    <col min="11521" max="11521" width="10.42578125" style="36" customWidth="1"/>
    <col min="11522" max="11522" width="11.7109375" style="36" bestFit="1" customWidth="1"/>
    <col min="11523" max="11526" width="10.42578125" style="36" customWidth="1"/>
    <col min="11527" max="11776" width="9" style="36"/>
    <col min="11777" max="11777" width="10.42578125" style="36" customWidth="1"/>
    <col min="11778" max="11778" width="11.7109375" style="36" bestFit="1" customWidth="1"/>
    <col min="11779" max="11782" width="10.42578125" style="36" customWidth="1"/>
    <col min="11783" max="12032" width="9" style="36"/>
    <col min="12033" max="12033" width="10.42578125" style="36" customWidth="1"/>
    <col min="12034" max="12034" width="11.7109375" style="36" bestFit="1" customWidth="1"/>
    <col min="12035" max="12038" width="10.42578125" style="36" customWidth="1"/>
    <col min="12039" max="12288" width="9" style="36"/>
    <col min="12289" max="12289" width="10.42578125" style="36" customWidth="1"/>
    <col min="12290" max="12290" width="11.7109375" style="36" bestFit="1" customWidth="1"/>
    <col min="12291" max="12294" width="10.42578125" style="36" customWidth="1"/>
    <col min="12295" max="12544" width="9" style="36"/>
    <col min="12545" max="12545" width="10.42578125" style="36" customWidth="1"/>
    <col min="12546" max="12546" width="11.7109375" style="36" bestFit="1" customWidth="1"/>
    <col min="12547" max="12550" width="10.42578125" style="36" customWidth="1"/>
    <col min="12551" max="12800" width="9" style="36"/>
    <col min="12801" max="12801" width="10.42578125" style="36" customWidth="1"/>
    <col min="12802" max="12802" width="11.7109375" style="36" bestFit="1" customWidth="1"/>
    <col min="12803" max="12806" width="10.42578125" style="36" customWidth="1"/>
    <col min="12807" max="13056" width="9" style="36"/>
    <col min="13057" max="13057" width="10.42578125" style="36" customWidth="1"/>
    <col min="13058" max="13058" width="11.7109375" style="36" bestFit="1" customWidth="1"/>
    <col min="13059" max="13062" width="10.42578125" style="36" customWidth="1"/>
    <col min="13063" max="13312" width="9" style="36"/>
    <col min="13313" max="13313" width="10.42578125" style="36" customWidth="1"/>
    <col min="13314" max="13314" width="11.7109375" style="36" bestFit="1" customWidth="1"/>
    <col min="13315" max="13318" width="10.42578125" style="36" customWidth="1"/>
    <col min="13319" max="13568" width="9" style="36"/>
    <col min="13569" max="13569" width="10.42578125" style="36" customWidth="1"/>
    <col min="13570" max="13570" width="11.7109375" style="36" bestFit="1" customWidth="1"/>
    <col min="13571" max="13574" width="10.42578125" style="36" customWidth="1"/>
    <col min="13575" max="13824" width="9" style="36"/>
    <col min="13825" max="13825" width="10.42578125" style="36" customWidth="1"/>
    <col min="13826" max="13826" width="11.7109375" style="36" bestFit="1" customWidth="1"/>
    <col min="13827" max="13830" width="10.42578125" style="36" customWidth="1"/>
    <col min="13831" max="14080" width="9" style="36"/>
    <col min="14081" max="14081" width="10.42578125" style="36" customWidth="1"/>
    <col min="14082" max="14082" width="11.7109375" style="36" bestFit="1" customWidth="1"/>
    <col min="14083" max="14086" width="10.42578125" style="36" customWidth="1"/>
    <col min="14087" max="14336" width="9" style="36"/>
    <col min="14337" max="14337" width="10.42578125" style="36" customWidth="1"/>
    <col min="14338" max="14338" width="11.7109375" style="36" bestFit="1" customWidth="1"/>
    <col min="14339" max="14342" width="10.42578125" style="36" customWidth="1"/>
    <col min="14343" max="14592" width="9" style="36"/>
    <col min="14593" max="14593" width="10.42578125" style="36" customWidth="1"/>
    <col min="14594" max="14594" width="11.7109375" style="36" bestFit="1" customWidth="1"/>
    <col min="14595" max="14598" width="10.42578125" style="36" customWidth="1"/>
    <col min="14599" max="14848" width="9" style="36"/>
    <col min="14849" max="14849" width="10.42578125" style="36" customWidth="1"/>
    <col min="14850" max="14850" width="11.7109375" style="36" bestFit="1" customWidth="1"/>
    <col min="14851" max="14854" width="10.42578125" style="36" customWidth="1"/>
    <col min="14855" max="15104" width="9" style="36"/>
    <col min="15105" max="15105" width="10.42578125" style="36" customWidth="1"/>
    <col min="15106" max="15106" width="11.7109375" style="36" bestFit="1" customWidth="1"/>
    <col min="15107" max="15110" width="10.42578125" style="36" customWidth="1"/>
    <col min="15111" max="15360" width="9" style="36"/>
    <col min="15361" max="15361" width="10.42578125" style="36" customWidth="1"/>
    <col min="15362" max="15362" width="11.7109375" style="36" bestFit="1" customWidth="1"/>
    <col min="15363" max="15366" width="10.42578125" style="36" customWidth="1"/>
    <col min="15367" max="15616" width="9" style="36"/>
    <col min="15617" max="15617" width="10.42578125" style="36" customWidth="1"/>
    <col min="15618" max="15618" width="11.7109375" style="36" bestFit="1" customWidth="1"/>
    <col min="15619" max="15622" width="10.42578125" style="36" customWidth="1"/>
    <col min="15623" max="15872" width="9" style="36"/>
    <col min="15873" max="15873" width="10.42578125" style="36" customWidth="1"/>
    <col min="15874" max="15874" width="11.7109375" style="36" bestFit="1" customWidth="1"/>
    <col min="15875" max="15878" width="10.42578125" style="36" customWidth="1"/>
    <col min="15879" max="16128" width="9" style="36"/>
    <col min="16129" max="16129" width="10.42578125" style="36" customWidth="1"/>
    <col min="16130" max="16130" width="11.7109375" style="36" bestFit="1" customWidth="1"/>
    <col min="16131" max="16134" width="10.42578125" style="36" customWidth="1"/>
    <col min="16135" max="16384" width="9" style="36"/>
  </cols>
  <sheetData>
    <row r="1" spans="1:10" ht="13.15">
      <c r="A1" s="14" t="s">
        <v>85</v>
      </c>
      <c r="B1" s="14"/>
      <c r="H1" s="36" t="str">
        <f>'表紙・目次（リンク）'!G18</f>
        <v>2021年度版</v>
      </c>
      <c r="I1" s="72"/>
    </row>
    <row r="2" spans="1:10" ht="13.15">
      <c r="A2" s="14"/>
      <c r="B2" s="14"/>
      <c r="I2" s="72"/>
    </row>
    <row r="3" spans="1:10" ht="13.15">
      <c r="A3" s="14"/>
      <c r="B3" s="14"/>
      <c r="I3" s="72"/>
    </row>
    <row r="4" spans="1:10" ht="13.15">
      <c r="A4" s="73" t="s">
        <v>86</v>
      </c>
      <c r="B4" s="73"/>
    </row>
    <row r="6" spans="1:10" ht="11.25" customHeight="1">
      <c r="A6" s="235" t="s">
        <v>87</v>
      </c>
      <c r="B6" s="235"/>
      <c r="C6" s="235"/>
      <c r="D6" s="235"/>
      <c r="E6" s="235"/>
      <c r="F6" s="235"/>
      <c r="G6" s="235"/>
      <c r="H6" s="235"/>
      <c r="I6" s="128"/>
      <c r="J6" s="128"/>
    </row>
    <row r="7" spans="1:10" ht="11.25" customHeight="1">
      <c r="A7" s="235"/>
      <c r="B7" s="235"/>
      <c r="C7" s="235"/>
      <c r="D7" s="235"/>
      <c r="E7" s="235"/>
      <c r="F7" s="235"/>
      <c r="G7" s="235"/>
      <c r="H7" s="235"/>
      <c r="I7" s="128"/>
      <c r="J7" s="128"/>
    </row>
    <row r="8" spans="1:10" ht="11.25" customHeight="1">
      <c r="A8" s="235"/>
      <c r="B8" s="235"/>
      <c r="C8" s="235"/>
      <c r="D8" s="235"/>
      <c r="E8" s="235"/>
      <c r="F8" s="235"/>
      <c r="G8" s="235"/>
      <c r="H8" s="235"/>
      <c r="I8" s="128"/>
      <c r="J8" s="128"/>
    </row>
    <row r="9" spans="1:10" ht="11.25" customHeight="1">
      <c r="A9" s="235"/>
      <c r="B9" s="235"/>
      <c r="C9" s="235"/>
      <c r="D9" s="235"/>
      <c r="E9" s="235"/>
      <c r="F9" s="235"/>
      <c r="G9" s="235"/>
      <c r="H9" s="235"/>
      <c r="I9" s="128"/>
      <c r="J9" s="128"/>
    </row>
    <row r="10" spans="1:10" ht="11.25" customHeight="1">
      <c r="A10" s="235"/>
      <c r="B10" s="235"/>
      <c r="C10" s="235"/>
      <c r="D10" s="235"/>
      <c r="E10" s="235"/>
      <c r="F10" s="235"/>
      <c r="G10" s="235"/>
      <c r="H10" s="235"/>
      <c r="I10" s="128"/>
      <c r="J10" s="128"/>
    </row>
    <row r="11" spans="1:10" ht="11.25" customHeight="1">
      <c r="A11" s="235"/>
      <c r="B11" s="235"/>
      <c r="C11" s="235"/>
      <c r="D11" s="235"/>
      <c r="E11" s="235"/>
      <c r="F11" s="235"/>
      <c r="G11" s="235"/>
      <c r="H11" s="235"/>
      <c r="I11" s="128"/>
      <c r="J11" s="128"/>
    </row>
    <row r="12" spans="1:10" ht="11.25" customHeight="1">
      <c r="A12" s="235"/>
      <c r="B12" s="235"/>
      <c r="C12" s="235"/>
      <c r="D12" s="235"/>
      <c r="E12" s="235"/>
      <c r="F12" s="235"/>
      <c r="G12" s="235"/>
      <c r="H12" s="235"/>
      <c r="I12" s="128"/>
      <c r="J12" s="128"/>
    </row>
    <row r="13" spans="1:10" ht="11.25" customHeight="1">
      <c r="A13" s="235"/>
      <c r="B13" s="235"/>
      <c r="C13" s="235"/>
      <c r="D13" s="235"/>
      <c r="E13" s="235"/>
      <c r="F13" s="235"/>
      <c r="G13" s="235"/>
      <c r="H13" s="235"/>
      <c r="I13" s="128"/>
      <c r="J13" s="128"/>
    </row>
    <row r="14" spans="1:10" ht="11.25" customHeight="1">
      <c r="A14" s="235"/>
      <c r="B14" s="235"/>
      <c r="C14" s="235"/>
      <c r="D14" s="235"/>
      <c r="E14" s="235"/>
      <c r="F14" s="235"/>
      <c r="G14" s="235"/>
      <c r="H14" s="235"/>
      <c r="I14" s="128"/>
      <c r="J14" s="128"/>
    </row>
    <row r="15" spans="1:10" ht="11.25" customHeight="1">
      <c r="A15" s="235"/>
      <c r="B15" s="235"/>
      <c r="C15" s="235"/>
      <c r="D15" s="235"/>
      <c r="E15" s="235"/>
      <c r="F15" s="235"/>
      <c r="G15" s="235"/>
      <c r="H15" s="235"/>
      <c r="I15" s="128"/>
      <c r="J15" s="128"/>
    </row>
    <row r="16" spans="1:10" ht="11.25" customHeight="1">
      <c r="A16" s="235"/>
      <c r="B16" s="235"/>
      <c r="C16" s="235"/>
      <c r="D16" s="235"/>
      <c r="E16" s="235"/>
      <c r="F16" s="235"/>
      <c r="G16" s="235"/>
      <c r="H16" s="235"/>
      <c r="I16" s="128"/>
      <c r="J16" s="128"/>
    </row>
    <row r="17" spans="1:14" ht="11.25" customHeight="1">
      <c r="A17" s="235"/>
      <c r="B17" s="235"/>
      <c r="C17" s="235"/>
      <c r="D17" s="235"/>
      <c r="E17" s="235"/>
      <c r="F17" s="235"/>
      <c r="G17" s="235"/>
      <c r="H17" s="235"/>
      <c r="I17" s="128"/>
      <c r="J17" s="128"/>
    </row>
    <row r="18" spans="1:14" ht="11.25" customHeight="1">
      <c r="A18" s="235"/>
      <c r="B18" s="235"/>
      <c r="C18" s="235"/>
      <c r="D18" s="235"/>
      <c r="E18" s="235"/>
      <c r="F18" s="235"/>
      <c r="G18" s="235"/>
      <c r="H18" s="235"/>
      <c r="I18" s="128"/>
      <c r="J18" s="128"/>
    </row>
    <row r="19" spans="1:14" ht="23.45">
      <c r="N19" s="217"/>
    </row>
    <row r="20" spans="1:14" ht="13.15">
      <c r="A20" s="5" t="s">
        <v>88</v>
      </c>
      <c r="B20" s="5"/>
    </row>
    <row r="21" spans="1:14" ht="26.45" customHeight="1">
      <c r="A21" s="261" t="s">
        <v>89</v>
      </c>
      <c r="B21" s="262"/>
      <c r="C21" s="268" t="s">
        <v>90</v>
      </c>
      <c r="D21" s="268"/>
      <c r="E21" s="268"/>
      <c r="F21" s="268"/>
      <c r="G21" s="268"/>
    </row>
    <row r="22" spans="1:14" ht="63.6" customHeight="1">
      <c r="A22" s="261" t="s">
        <v>91</v>
      </c>
      <c r="B22" s="262"/>
      <c r="C22" s="267" t="s">
        <v>92</v>
      </c>
      <c r="D22" s="267"/>
      <c r="E22" s="267"/>
      <c r="F22" s="267"/>
      <c r="G22" s="267"/>
    </row>
    <row r="23" spans="1:14" ht="64.900000000000006" customHeight="1">
      <c r="A23" s="261" t="s">
        <v>93</v>
      </c>
      <c r="B23" s="262"/>
      <c r="C23" s="267" t="s">
        <v>94</v>
      </c>
      <c r="D23" s="267"/>
      <c r="E23" s="267"/>
      <c r="F23" s="267"/>
      <c r="G23" s="267"/>
    </row>
    <row r="24" spans="1:14" ht="39.950000000000003" customHeight="1">
      <c r="A24" s="261" t="s">
        <v>95</v>
      </c>
      <c r="B24" s="262"/>
      <c r="C24" s="269" t="s">
        <v>96</v>
      </c>
      <c r="D24" s="269"/>
      <c r="E24" s="269"/>
      <c r="F24" s="269"/>
      <c r="G24" s="269"/>
    </row>
    <row r="25" spans="1:14" ht="85.9" customHeight="1">
      <c r="A25" s="261" t="s">
        <v>97</v>
      </c>
      <c r="B25" s="262"/>
      <c r="C25" s="267" t="s">
        <v>98</v>
      </c>
      <c r="D25" s="267"/>
      <c r="E25" s="267"/>
      <c r="F25" s="267"/>
      <c r="G25" s="267"/>
    </row>
    <row r="27" spans="1:14" ht="30" customHeight="1" thickBot="1">
      <c r="A27" s="5" t="s">
        <v>99</v>
      </c>
      <c r="B27" s="5"/>
    </row>
    <row r="28" spans="1:14" ht="24.75" customHeight="1">
      <c r="A28" s="141" t="s">
        <v>100</v>
      </c>
      <c r="B28" s="225" t="s">
        <v>101</v>
      </c>
      <c r="C28" s="145" t="s">
        <v>102</v>
      </c>
      <c r="D28" s="145" t="s">
        <v>103</v>
      </c>
      <c r="E28" s="183" t="s">
        <v>104</v>
      </c>
      <c r="F28" s="186" t="s">
        <v>105</v>
      </c>
      <c r="G28" s="184" t="s">
        <v>100</v>
      </c>
    </row>
    <row r="29" spans="1:14" ht="25.15" customHeight="1">
      <c r="A29" s="142" t="s">
        <v>106</v>
      </c>
      <c r="B29" s="226" t="s">
        <v>107</v>
      </c>
      <c r="C29" s="6" t="s">
        <v>108</v>
      </c>
      <c r="D29" s="244"/>
      <c r="E29" s="241"/>
      <c r="F29" s="188" t="s">
        <v>109</v>
      </c>
      <c r="G29" s="185" t="s">
        <v>110</v>
      </c>
    </row>
    <row r="30" spans="1:14" ht="25.15" customHeight="1">
      <c r="A30" s="275" t="s">
        <v>111</v>
      </c>
      <c r="B30" s="144">
        <v>2</v>
      </c>
      <c r="C30" s="259" t="s">
        <v>112</v>
      </c>
      <c r="D30" s="245"/>
      <c r="E30" s="242"/>
      <c r="F30" s="237" t="s">
        <v>113</v>
      </c>
      <c r="G30" s="239" t="s">
        <v>114</v>
      </c>
    </row>
    <row r="31" spans="1:14" ht="25.15" customHeight="1">
      <c r="A31" s="276"/>
      <c r="B31" s="230">
        <v>1</v>
      </c>
      <c r="C31" s="277"/>
      <c r="D31" s="245"/>
      <c r="E31" s="242"/>
      <c r="F31" s="250"/>
      <c r="G31" s="252"/>
    </row>
    <row r="32" spans="1:14" ht="25.15" customHeight="1">
      <c r="A32" s="142" t="s">
        <v>115</v>
      </c>
      <c r="B32" s="226">
        <v>0</v>
      </c>
      <c r="C32" s="260"/>
      <c r="D32" s="246"/>
      <c r="E32" s="242"/>
      <c r="F32" s="251"/>
      <c r="G32" s="253"/>
    </row>
    <row r="33" spans="1:7" ht="25.15" customHeight="1">
      <c r="A33" s="257" t="s">
        <v>116</v>
      </c>
      <c r="B33" s="144">
        <v>2</v>
      </c>
      <c r="C33" s="9"/>
      <c r="D33" s="259" t="s">
        <v>117</v>
      </c>
      <c r="E33" s="242"/>
      <c r="F33" s="237" t="s">
        <v>118</v>
      </c>
      <c r="G33" s="239" t="s">
        <v>119</v>
      </c>
    </row>
    <row r="34" spans="1:7" ht="25.15" customHeight="1">
      <c r="A34" s="258"/>
      <c r="B34" s="227">
        <v>1</v>
      </c>
      <c r="C34" s="7"/>
      <c r="D34" s="260"/>
      <c r="E34" s="242"/>
      <c r="F34" s="251"/>
      <c r="G34" s="253"/>
    </row>
    <row r="35" spans="1:7" ht="25.15" customHeight="1">
      <c r="A35" s="257" t="s">
        <v>120</v>
      </c>
      <c r="B35" s="231">
        <v>2</v>
      </c>
      <c r="C35" s="9"/>
      <c r="D35" s="259" t="s">
        <v>121</v>
      </c>
      <c r="E35" s="242"/>
      <c r="F35" s="237" t="s">
        <v>122</v>
      </c>
      <c r="G35" s="239" t="s">
        <v>123</v>
      </c>
    </row>
    <row r="36" spans="1:7" ht="25.15" customHeight="1" thickBot="1">
      <c r="A36" s="270"/>
      <c r="B36" s="228">
        <v>1</v>
      </c>
      <c r="C36" s="8"/>
      <c r="D36" s="271"/>
      <c r="E36" s="243"/>
      <c r="F36" s="238"/>
      <c r="G36" s="240"/>
    </row>
    <row r="37" spans="1:7" ht="60">
      <c r="A37" s="218" t="s">
        <v>124</v>
      </c>
      <c r="B37" s="229" t="s">
        <v>107</v>
      </c>
      <c r="C37" s="219"/>
      <c r="D37" s="219"/>
      <c r="E37" s="220" t="s">
        <v>125</v>
      </c>
      <c r="F37" s="247"/>
      <c r="G37" s="254"/>
    </row>
    <row r="38" spans="1:7" ht="19.899999999999999" customHeight="1">
      <c r="A38" s="263" t="s">
        <v>126</v>
      </c>
      <c r="B38" s="231">
        <v>3</v>
      </c>
      <c r="C38" s="9"/>
      <c r="D38" s="9"/>
      <c r="E38" s="272" t="s">
        <v>127</v>
      </c>
      <c r="F38" s="248"/>
      <c r="G38" s="255"/>
    </row>
    <row r="39" spans="1:7" ht="19.899999999999999" customHeight="1">
      <c r="A39" s="263"/>
      <c r="B39" s="232">
        <v>2</v>
      </c>
      <c r="C39" s="221"/>
      <c r="D39" s="221"/>
      <c r="E39" s="273"/>
      <c r="F39" s="248"/>
      <c r="G39" s="255"/>
    </row>
    <row r="40" spans="1:7" ht="19.899999999999999" customHeight="1">
      <c r="A40" s="258"/>
      <c r="B40" s="233">
        <v>1</v>
      </c>
      <c r="C40" s="222"/>
      <c r="D40" s="222"/>
      <c r="E40" s="274"/>
      <c r="F40" s="248"/>
      <c r="G40" s="255"/>
    </row>
    <row r="41" spans="1:7" ht="19.899999999999999" customHeight="1">
      <c r="A41" s="257" t="s">
        <v>128</v>
      </c>
      <c r="B41" s="231">
        <v>3</v>
      </c>
      <c r="C41" s="9"/>
      <c r="D41" s="9"/>
      <c r="E41" s="264" t="s">
        <v>129</v>
      </c>
      <c r="F41" s="248"/>
      <c r="G41" s="255"/>
    </row>
    <row r="42" spans="1:7" ht="19.899999999999999" customHeight="1">
      <c r="A42" s="263"/>
      <c r="B42" s="232">
        <v>2</v>
      </c>
      <c r="C42" s="221"/>
      <c r="D42" s="221"/>
      <c r="E42" s="265"/>
      <c r="F42" s="248"/>
      <c r="G42" s="255"/>
    </row>
    <row r="43" spans="1:7" ht="19.899999999999999" customHeight="1">
      <c r="A43" s="258"/>
      <c r="B43" s="233">
        <v>1</v>
      </c>
      <c r="C43" s="223"/>
      <c r="D43" s="223"/>
      <c r="E43" s="266"/>
      <c r="F43" s="248"/>
      <c r="G43" s="255"/>
    </row>
    <row r="44" spans="1:7" ht="19.899999999999999" customHeight="1">
      <c r="A44" s="257" t="s">
        <v>130</v>
      </c>
      <c r="B44" s="231">
        <v>4</v>
      </c>
      <c r="C44" s="10"/>
      <c r="D44" s="10"/>
      <c r="E44" s="264" t="s">
        <v>131</v>
      </c>
      <c r="F44" s="248"/>
      <c r="G44" s="255"/>
    </row>
    <row r="45" spans="1:7" ht="19.899999999999999" customHeight="1">
      <c r="A45" s="263"/>
      <c r="B45" s="232">
        <v>3</v>
      </c>
      <c r="C45" s="224"/>
      <c r="D45" s="224"/>
      <c r="E45" s="265"/>
      <c r="F45" s="248"/>
      <c r="G45" s="255"/>
    </row>
    <row r="46" spans="1:7" ht="19.899999999999999" customHeight="1">
      <c r="A46" s="263"/>
      <c r="B46" s="232">
        <v>2</v>
      </c>
      <c r="C46" s="224"/>
      <c r="D46" s="224"/>
      <c r="E46" s="265"/>
      <c r="F46" s="248"/>
      <c r="G46" s="255"/>
    </row>
    <row r="47" spans="1:7" ht="19.899999999999999" customHeight="1">
      <c r="A47" s="258"/>
      <c r="B47" s="233">
        <v>1</v>
      </c>
      <c r="C47" s="223"/>
      <c r="D47" s="223"/>
      <c r="E47" s="266"/>
      <c r="F47" s="248"/>
      <c r="G47" s="255"/>
    </row>
    <row r="48" spans="1:7" ht="26.45" thickBot="1">
      <c r="A48" s="143" t="s">
        <v>132</v>
      </c>
      <c r="B48" s="234" t="s">
        <v>107</v>
      </c>
      <c r="C48" s="11"/>
      <c r="D48" s="11"/>
      <c r="E48" s="187" t="s">
        <v>133</v>
      </c>
      <c r="F48" s="249"/>
      <c r="G48" s="256"/>
    </row>
    <row r="49" spans="1:7" ht="13.15">
      <c r="A49" s="74" t="s">
        <v>134</v>
      </c>
      <c r="B49" s="74"/>
      <c r="C49" s="49"/>
      <c r="D49" s="49"/>
      <c r="E49" s="49"/>
      <c r="F49" s="49"/>
      <c r="G49" s="49"/>
    </row>
    <row r="51" spans="1:7" ht="14.25" customHeight="1">
      <c r="A51" s="36" t="s">
        <v>135</v>
      </c>
    </row>
    <row r="52" spans="1:7" ht="14.25" customHeight="1">
      <c r="A52" s="36" t="s">
        <v>136</v>
      </c>
    </row>
    <row r="53" spans="1:7">
      <c r="A53" s="36" t="s">
        <v>137</v>
      </c>
    </row>
  </sheetData>
  <mergeCells count="33">
    <mergeCell ref="A44:A47"/>
    <mergeCell ref="E44:E47"/>
    <mergeCell ref="A6:H18"/>
    <mergeCell ref="C25:G25"/>
    <mergeCell ref="C21:G21"/>
    <mergeCell ref="C22:G22"/>
    <mergeCell ref="C23:G23"/>
    <mergeCell ref="C24:G24"/>
    <mergeCell ref="A35:A36"/>
    <mergeCell ref="D35:D36"/>
    <mergeCell ref="A38:A40"/>
    <mergeCell ref="E38:E40"/>
    <mergeCell ref="A41:A43"/>
    <mergeCell ref="E41:E43"/>
    <mergeCell ref="A30:A31"/>
    <mergeCell ref="C30:C32"/>
    <mergeCell ref="A33:A34"/>
    <mergeCell ref="D33:D34"/>
    <mergeCell ref="F33:F34"/>
    <mergeCell ref="A21:B21"/>
    <mergeCell ref="A22:B22"/>
    <mergeCell ref="A23:B23"/>
    <mergeCell ref="A24:B24"/>
    <mergeCell ref="A25:B25"/>
    <mergeCell ref="F35:F36"/>
    <mergeCell ref="G35:G36"/>
    <mergeCell ref="E29:E36"/>
    <mergeCell ref="D29:D32"/>
    <mergeCell ref="F37:F48"/>
    <mergeCell ref="F30:F32"/>
    <mergeCell ref="G30:G32"/>
    <mergeCell ref="G37:G48"/>
    <mergeCell ref="G33:G34"/>
  </mergeCells>
  <phoneticPr fontId="2"/>
  <pageMargins left="0.9055118110236221" right="0.39370078740157483" top="0.39370078740157483" bottom="0.39370078740157483" header="0.31496062992125984" footer="0.31496062992125984"/>
  <pageSetup paperSize="9" scale="8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84"/>
  <sheetViews>
    <sheetView showGridLines="0" zoomScale="90" zoomScaleNormal="90" workbookViewId="0">
      <selection activeCell="G31" sqref="G31:G36"/>
    </sheetView>
  </sheetViews>
  <sheetFormatPr defaultColWidth="9" defaultRowHeight="10.9"/>
  <cols>
    <col min="1" max="16384" width="9" style="3"/>
  </cols>
  <sheetData>
    <row r="1" spans="1:5" ht="19.149999999999999">
      <c r="A1" s="12" t="s">
        <v>138</v>
      </c>
    </row>
    <row r="3" spans="1:5">
      <c r="A3" s="278" t="s">
        <v>139</v>
      </c>
      <c r="B3" s="278"/>
      <c r="C3" s="278"/>
      <c r="E3" s="36"/>
    </row>
    <row r="31" spans="8:8">
      <c r="H31" s="36"/>
    </row>
    <row r="57" spans="1:1" ht="19.149999999999999">
      <c r="A57" s="12" t="s">
        <v>140</v>
      </c>
    </row>
    <row r="84" spans="6:6">
      <c r="F84" s="36"/>
    </row>
  </sheetData>
  <mergeCells count="1">
    <mergeCell ref="A3:C3"/>
  </mergeCells>
  <phoneticPr fontId="2"/>
  <hyperlinks>
    <hyperlink ref="A3" location="全社資格基準の見方!A55" display="能力要件の見方へジャンプ" xr:uid="{00000000-0004-0000-0500-000000000000}"/>
    <hyperlink ref="A3:C3" location="全社資格基準の見方!A57" display="能力要件の見方へジャンプ" xr:uid="{00000000-0004-0000-0500-000001000000}"/>
  </hyperlinks>
  <pageMargins left="0.9055118110236221" right="0.70866141732283472" top="0.74803149606299213" bottom="0.74803149606299213" header="0.31496062992125984" footer="0.31496062992125984"/>
  <pageSetup paperSize="9" scale="5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43"/>
  <sheetViews>
    <sheetView showGridLines="0" zoomScale="90" zoomScaleNormal="90" workbookViewId="0">
      <selection activeCell="G31" sqref="G31:G36"/>
    </sheetView>
  </sheetViews>
  <sheetFormatPr defaultRowHeight="13.15"/>
  <cols>
    <col min="1" max="1" width="115.42578125" style="14" bestFit="1" customWidth="1"/>
    <col min="2" max="256" width="9" style="14"/>
    <col min="257" max="257" width="116.28515625" style="14" customWidth="1"/>
    <col min="258" max="512" width="9" style="14"/>
    <col min="513" max="513" width="116.28515625" style="14" customWidth="1"/>
    <col min="514" max="768" width="9" style="14"/>
    <col min="769" max="769" width="116.28515625" style="14" customWidth="1"/>
    <col min="770" max="1024" width="9" style="14"/>
    <col min="1025" max="1025" width="116.28515625" style="14" customWidth="1"/>
    <col min="1026" max="1280" width="9" style="14"/>
    <col min="1281" max="1281" width="116.28515625" style="14" customWidth="1"/>
    <col min="1282" max="1536" width="9" style="14"/>
    <col min="1537" max="1537" width="116.28515625" style="14" customWidth="1"/>
    <col min="1538" max="1792" width="9" style="14"/>
    <col min="1793" max="1793" width="116.28515625" style="14" customWidth="1"/>
    <col min="1794" max="2048" width="9" style="14"/>
    <col min="2049" max="2049" width="116.28515625" style="14" customWidth="1"/>
    <col min="2050" max="2304" width="9" style="14"/>
    <col min="2305" max="2305" width="116.28515625" style="14" customWidth="1"/>
    <col min="2306" max="2560" width="9" style="14"/>
    <col min="2561" max="2561" width="116.28515625" style="14" customWidth="1"/>
    <col min="2562" max="2816" width="9" style="14"/>
    <col min="2817" max="2817" width="116.28515625" style="14" customWidth="1"/>
    <col min="2818" max="3072" width="9" style="14"/>
    <col min="3073" max="3073" width="116.28515625" style="14" customWidth="1"/>
    <col min="3074" max="3328" width="9" style="14"/>
    <col min="3329" max="3329" width="116.28515625" style="14" customWidth="1"/>
    <col min="3330" max="3584" width="9" style="14"/>
    <col min="3585" max="3585" width="116.28515625" style="14" customWidth="1"/>
    <col min="3586" max="3840" width="9" style="14"/>
    <col min="3841" max="3841" width="116.28515625" style="14" customWidth="1"/>
    <col min="3842" max="4096" width="9" style="14"/>
    <col min="4097" max="4097" width="116.28515625" style="14" customWidth="1"/>
    <col min="4098" max="4352" width="9" style="14"/>
    <col min="4353" max="4353" width="116.28515625" style="14" customWidth="1"/>
    <col min="4354" max="4608" width="9" style="14"/>
    <col min="4609" max="4609" width="116.28515625" style="14" customWidth="1"/>
    <col min="4610" max="4864" width="9" style="14"/>
    <col min="4865" max="4865" width="116.28515625" style="14" customWidth="1"/>
    <col min="4866" max="5120" width="9" style="14"/>
    <col min="5121" max="5121" width="116.28515625" style="14" customWidth="1"/>
    <col min="5122" max="5376" width="9" style="14"/>
    <col min="5377" max="5377" width="116.28515625" style="14" customWidth="1"/>
    <col min="5378" max="5632" width="9" style="14"/>
    <col min="5633" max="5633" width="116.28515625" style="14" customWidth="1"/>
    <col min="5634" max="5888" width="9" style="14"/>
    <col min="5889" max="5889" width="116.28515625" style="14" customWidth="1"/>
    <col min="5890" max="6144" width="9" style="14"/>
    <col min="6145" max="6145" width="116.28515625" style="14" customWidth="1"/>
    <col min="6146" max="6400" width="9" style="14"/>
    <col min="6401" max="6401" width="116.28515625" style="14" customWidth="1"/>
    <col min="6402" max="6656" width="9" style="14"/>
    <col min="6657" max="6657" width="116.28515625" style="14" customWidth="1"/>
    <col min="6658" max="6912" width="9" style="14"/>
    <col min="6913" max="6913" width="116.28515625" style="14" customWidth="1"/>
    <col min="6914" max="7168" width="9" style="14"/>
    <col min="7169" max="7169" width="116.28515625" style="14" customWidth="1"/>
    <col min="7170" max="7424" width="9" style="14"/>
    <col min="7425" max="7425" width="116.28515625" style="14" customWidth="1"/>
    <col min="7426" max="7680" width="9" style="14"/>
    <col min="7681" max="7681" width="116.28515625" style="14" customWidth="1"/>
    <col min="7682" max="7936" width="9" style="14"/>
    <col min="7937" max="7937" width="116.28515625" style="14" customWidth="1"/>
    <col min="7938" max="8192" width="9" style="14"/>
    <col min="8193" max="8193" width="116.28515625" style="14" customWidth="1"/>
    <col min="8194" max="8448" width="9" style="14"/>
    <col min="8449" max="8449" width="116.28515625" style="14" customWidth="1"/>
    <col min="8450" max="8704" width="9" style="14"/>
    <col min="8705" max="8705" width="116.28515625" style="14" customWidth="1"/>
    <col min="8706" max="8960" width="9" style="14"/>
    <col min="8961" max="8961" width="116.28515625" style="14" customWidth="1"/>
    <col min="8962" max="9216" width="9" style="14"/>
    <col min="9217" max="9217" width="116.28515625" style="14" customWidth="1"/>
    <col min="9218" max="9472" width="9" style="14"/>
    <col min="9473" max="9473" width="116.28515625" style="14" customWidth="1"/>
    <col min="9474" max="9728" width="9" style="14"/>
    <col min="9729" max="9729" width="116.28515625" style="14" customWidth="1"/>
    <col min="9730" max="9984" width="9" style="14"/>
    <col min="9985" max="9985" width="116.28515625" style="14" customWidth="1"/>
    <col min="9986" max="10240" width="9" style="14"/>
    <col min="10241" max="10241" width="116.28515625" style="14" customWidth="1"/>
    <col min="10242" max="10496" width="9" style="14"/>
    <col min="10497" max="10497" width="116.28515625" style="14" customWidth="1"/>
    <col min="10498" max="10752" width="9" style="14"/>
    <col min="10753" max="10753" width="116.28515625" style="14" customWidth="1"/>
    <col min="10754" max="11008" width="9" style="14"/>
    <col min="11009" max="11009" width="116.28515625" style="14" customWidth="1"/>
    <col min="11010" max="11264" width="9" style="14"/>
    <col min="11265" max="11265" width="116.28515625" style="14" customWidth="1"/>
    <col min="11266" max="11520" width="9" style="14"/>
    <col min="11521" max="11521" width="116.28515625" style="14" customWidth="1"/>
    <col min="11522" max="11776" width="9" style="14"/>
    <col min="11777" max="11777" width="116.28515625" style="14" customWidth="1"/>
    <col min="11778" max="12032" width="9" style="14"/>
    <col min="12033" max="12033" width="116.28515625" style="14" customWidth="1"/>
    <col min="12034" max="12288" width="9" style="14"/>
    <col min="12289" max="12289" width="116.28515625" style="14" customWidth="1"/>
    <col min="12290" max="12544" width="9" style="14"/>
    <col min="12545" max="12545" width="116.28515625" style="14" customWidth="1"/>
    <col min="12546" max="12800" width="9" style="14"/>
    <col min="12801" max="12801" width="116.28515625" style="14" customWidth="1"/>
    <col min="12802" max="13056" width="9" style="14"/>
    <col min="13057" max="13057" width="116.28515625" style="14" customWidth="1"/>
    <col min="13058" max="13312" width="9" style="14"/>
    <col min="13313" max="13313" width="116.28515625" style="14" customWidth="1"/>
    <col min="13314" max="13568" width="9" style="14"/>
    <col min="13569" max="13569" width="116.28515625" style="14" customWidth="1"/>
    <col min="13570" max="13824" width="9" style="14"/>
    <col min="13825" max="13825" width="116.28515625" style="14" customWidth="1"/>
    <col min="13826" max="14080" width="9" style="14"/>
    <col min="14081" max="14081" width="116.28515625" style="14" customWidth="1"/>
    <col min="14082" max="14336" width="9" style="14"/>
    <col min="14337" max="14337" width="116.28515625" style="14" customWidth="1"/>
    <col min="14338" max="14592" width="9" style="14"/>
    <col min="14593" max="14593" width="116.28515625" style="14" customWidth="1"/>
    <col min="14594" max="14848" width="9" style="14"/>
    <col min="14849" max="14849" width="116.28515625" style="14" customWidth="1"/>
    <col min="14850" max="15104" width="9" style="14"/>
    <col min="15105" max="15105" width="116.28515625" style="14" customWidth="1"/>
    <col min="15106" max="15360" width="9" style="14"/>
    <col min="15361" max="15361" width="116.28515625" style="14" customWidth="1"/>
    <col min="15362" max="15616" width="9" style="14"/>
    <col min="15617" max="15617" width="116.28515625" style="14" customWidth="1"/>
    <col min="15618" max="15872" width="9" style="14"/>
    <col min="15873" max="15873" width="116.28515625" style="14" customWidth="1"/>
    <col min="15874" max="16128" width="9" style="14"/>
    <col min="16129" max="16129" width="116.28515625" style="14" customWidth="1"/>
    <col min="16130" max="16384" width="9" style="14"/>
  </cols>
  <sheetData>
    <row r="1" spans="1:1" ht="19.149999999999999">
      <c r="A1" s="12" t="s">
        <v>33</v>
      </c>
    </row>
    <row r="3" spans="1:1">
      <c r="A3" s="126" t="s">
        <v>141</v>
      </c>
    </row>
    <row r="4" spans="1:1">
      <c r="A4" s="75"/>
    </row>
    <row r="5" spans="1:1" ht="24.95" customHeight="1">
      <c r="A5" s="75" t="s">
        <v>142</v>
      </c>
    </row>
    <row r="6" spans="1:1" ht="24.95" customHeight="1">
      <c r="A6" s="75" t="s">
        <v>143</v>
      </c>
    </row>
    <row r="7" spans="1:1" ht="24.95" customHeight="1">
      <c r="A7" s="75" t="s">
        <v>144</v>
      </c>
    </row>
    <row r="8" spans="1:1">
      <c r="A8" s="75"/>
    </row>
    <row r="9" spans="1:1" ht="24.95" customHeight="1">
      <c r="A9" s="75" t="s">
        <v>145</v>
      </c>
    </row>
    <row r="10" spans="1:1" ht="24.95" customHeight="1">
      <c r="A10" s="75" t="s">
        <v>146</v>
      </c>
    </row>
    <row r="11" spans="1:1" ht="24.95" customHeight="1">
      <c r="A11" s="75" t="s">
        <v>147</v>
      </c>
    </row>
    <row r="12" spans="1:1" ht="24.95" customHeight="1">
      <c r="A12" s="75"/>
    </row>
    <row r="13" spans="1:1" ht="24.95" customHeight="1">
      <c r="A13" s="75" t="s">
        <v>148</v>
      </c>
    </row>
    <row r="14" spans="1:1" ht="24.95" customHeight="1">
      <c r="A14" s="125" t="s">
        <v>149</v>
      </c>
    </row>
    <row r="15" spans="1:1" ht="24.95" customHeight="1">
      <c r="A15" s="125" t="s">
        <v>150</v>
      </c>
    </row>
    <row r="16" spans="1:1" ht="24.95" customHeight="1">
      <c r="A16" s="125" t="s">
        <v>151</v>
      </c>
    </row>
    <row r="17" spans="1:1" ht="24.95" customHeight="1">
      <c r="A17" s="75" t="s">
        <v>152</v>
      </c>
    </row>
    <row r="18" spans="1:1" ht="24.95" customHeight="1">
      <c r="A18" s="75" t="s">
        <v>153</v>
      </c>
    </row>
    <row r="19" spans="1:1" ht="24.95" customHeight="1">
      <c r="A19" s="75" t="s">
        <v>154</v>
      </c>
    </row>
    <row r="20" spans="1:1" ht="24.95" customHeight="1">
      <c r="A20" s="75"/>
    </row>
    <row r="21" spans="1:1" ht="24.95" customHeight="1">
      <c r="A21" s="75" t="s">
        <v>155</v>
      </c>
    </row>
    <row r="22" spans="1:1" ht="24.95" customHeight="1">
      <c r="A22" s="125" t="s">
        <v>156</v>
      </c>
    </row>
    <row r="23" spans="1:1" ht="24.95" customHeight="1">
      <c r="A23" s="75" t="s">
        <v>157</v>
      </c>
    </row>
    <row r="24" spans="1:1" ht="24.95" customHeight="1">
      <c r="A24" s="75"/>
    </row>
    <row r="25" spans="1:1" ht="24.95" customHeight="1">
      <c r="A25" s="75" t="s">
        <v>158</v>
      </c>
    </row>
    <row r="26" spans="1:1" ht="24.95" customHeight="1">
      <c r="A26" s="75" t="s">
        <v>159</v>
      </c>
    </row>
    <row r="27" spans="1:1" ht="24.95" customHeight="1">
      <c r="A27" s="75"/>
    </row>
    <row r="28" spans="1:1" ht="24.95" customHeight="1">
      <c r="A28" s="75" t="s">
        <v>160</v>
      </c>
    </row>
    <row r="29" spans="1:1" ht="24.95" customHeight="1">
      <c r="A29" s="75" t="s">
        <v>161</v>
      </c>
    </row>
    <row r="30" spans="1:1" ht="24.95" customHeight="1">
      <c r="A30" s="75"/>
    </row>
    <row r="31" spans="1:1">
      <c r="A31" s="75"/>
    </row>
    <row r="32" spans="1:1" ht="19.149999999999999">
      <c r="A32" s="13" t="s">
        <v>162</v>
      </c>
    </row>
    <row r="33" spans="1:6">
      <c r="A33" s="75"/>
    </row>
    <row r="34" spans="1:6">
      <c r="A34" s="75"/>
    </row>
    <row r="35" spans="1:6">
      <c r="A35" s="75"/>
    </row>
    <row r="36" spans="1:6">
      <c r="A36" s="75"/>
    </row>
    <row r="37" spans="1:6">
      <c r="A37" s="75"/>
    </row>
    <row r="43" spans="1:6">
      <c r="F43" s="36"/>
    </row>
  </sheetData>
  <phoneticPr fontId="2"/>
  <hyperlinks>
    <hyperlink ref="A3" location="'目標管理・ｷｬﾘｱﾌﾟﾗﾝ (記入例)'!A1" display="キャリアプランの作成（記入例）" xr:uid="{00000000-0004-0000-0600-000000000000}"/>
  </hyperlinks>
  <pageMargins left="0.9055118110236221" right="0.70866141732283472" top="0.74803149606299213" bottom="0.74803149606299213" header="0.31496062992125984" footer="0.31496062992125984"/>
  <pageSetup paperSize="9" scale="74" fitToHeight="0"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86266-19D8-4B90-B6D9-DB4DDD7E41B0}">
  <sheetPr>
    <pageSetUpPr fitToPage="1"/>
  </sheetPr>
  <dimension ref="A1:AR55"/>
  <sheetViews>
    <sheetView zoomScale="50" zoomScaleNormal="50" workbookViewId="0">
      <selection activeCell="G31" sqref="G31:G36"/>
    </sheetView>
  </sheetViews>
  <sheetFormatPr defaultColWidth="2.7109375" defaultRowHeight="13.15"/>
  <cols>
    <col min="1" max="1" width="4.28515625" style="85" customWidth="1"/>
    <col min="2" max="7" width="6.7109375" style="84" customWidth="1"/>
    <col min="8" max="25" width="5.140625" style="84" customWidth="1"/>
    <col min="26" max="26" width="7.140625" style="84" customWidth="1"/>
    <col min="27" max="44" width="5.140625" style="84" customWidth="1"/>
    <col min="45" max="141" width="2.7109375" style="84"/>
    <col min="142" max="159" width="4.28515625" style="84" customWidth="1"/>
    <col min="160" max="160" width="5.42578125" style="84" customWidth="1"/>
    <col min="161" max="170" width="4.28515625" style="84" customWidth="1"/>
    <col min="171" max="171" width="7.140625" style="84" customWidth="1"/>
    <col min="172" max="189" width="4.28515625" style="84" customWidth="1"/>
    <col min="190" max="397" width="2.7109375" style="84"/>
    <col min="398" max="415" width="4.28515625" style="84" customWidth="1"/>
    <col min="416" max="416" width="5.42578125" style="84" customWidth="1"/>
    <col min="417" max="426" width="4.28515625" style="84" customWidth="1"/>
    <col min="427" max="427" width="7.140625" style="84" customWidth="1"/>
    <col min="428" max="445" width="4.28515625" style="84" customWidth="1"/>
    <col min="446" max="653" width="2.7109375" style="84"/>
    <col min="654" max="671" width="4.28515625" style="84" customWidth="1"/>
    <col min="672" max="672" width="5.42578125" style="84" customWidth="1"/>
    <col min="673" max="682" width="4.28515625" style="84" customWidth="1"/>
    <col min="683" max="683" width="7.140625" style="84" customWidth="1"/>
    <col min="684" max="701" width="4.28515625" style="84" customWidth="1"/>
    <col min="702" max="909" width="2.7109375" style="84"/>
    <col min="910" max="927" width="4.28515625" style="84" customWidth="1"/>
    <col min="928" max="928" width="5.42578125" style="84" customWidth="1"/>
    <col min="929" max="938" width="4.28515625" style="84" customWidth="1"/>
    <col min="939" max="939" width="7.140625" style="84" customWidth="1"/>
    <col min="940" max="957" width="4.28515625" style="84" customWidth="1"/>
    <col min="958" max="1165" width="2.7109375" style="84"/>
    <col min="1166" max="1183" width="4.28515625" style="84" customWidth="1"/>
    <col min="1184" max="1184" width="5.42578125" style="84" customWidth="1"/>
    <col min="1185" max="1194" width="4.28515625" style="84" customWidth="1"/>
    <col min="1195" max="1195" width="7.140625" style="84" customWidth="1"/>
    <col min="1196" max="1213" width="4.28515625" style="84" customWidth="1"/>
    <col min="1214" max="1421" width="2.7109375" style="84"/>
    <col min="1422" max="1439" width="4.28515625" style="84" customWidth="1"/>
    <col min="1440" max="1440" width="5.42578125" style="84" customWidth="1"/>
    <col min="1441" max="1450" width="4.28515625" style="84" customWidth="1"/>
    <col min="1451" max="1451" width="7.140625" style="84" customWidth="1"/>
    <col min="1452" max="1469" width="4.28515625" style="84" customWidth="1"/>
    <col min="1470" max="1677" width="2.7109375" style="84"/>
    <col min="1678" max="1695" width="4.28515625" style="84" customWidth="1"/>
    <col min="1696" max="1696" width="5.42578125" style="84" customWidth="1"/>
    <col min="1697" max="1706" width="4.28515625" style="84" customWidth="1"/>
    <col min="1707" max="1707" width="7.140625" style="84" customWidth="1"/>
    <col min="1708" max="1725" width="4.28515625" style="84" customWidth="1"/>
    <col min="1726" max="1933" width="2.7109375" style="84"/>
    <col min="1934" max="1951" width="4.28515625" style="84" customWidth="1"/>
    <col min="1952" max="1952" width="5.42578125" style="84" customWidth="1"/>
    <col min="1953" max="1962" width="4.28515625" style="84" customWidth="1"/>
    <col min="1963" max="1963" width="7.140625" style="84" customWidth="1"/>
    <col min="1964" max="1981" width="4.28515625" style="84" customWidth="1"/>
    <col min="1982" max="2189" width="2.7109375" style="84"/>
    <col min="2190" max="2207" width="4.28515625" style="84" customWidth="1"/>
    <col min="2208" max="2208" width="5.42578125" style="84" customWidth="1"/>
    <col min="2209" max="2218" width="4.28515625" style="84" customWidth="1"/>
    <col min="2219" max="2219" width="7.140625" style="84" customWidth="1"/>
    <col min="2220" max="2237" width="4.28515625" style="84" customWidth="1"/>
    <col min="2238" max="2445" width="2.7109375" style="84"/>
    <col min="2446" max="2463" width="4.28515625" style="84" customWidth="1"/>
    <col min="2464" max="2464" width="5.42578125" style="84" customWidth="1"/>
    <col min="2465" max="2474" width="4.28515625" style="84" customWidth="1"/>
    <col min="2475" max="2475" width="7.140625" style="84" customWidth="1"/>
    <col min="2476" max="2493" width="4.28515625" style="84" customWidth="1"/>
    <col min="2494" max="2701" width="2.7109375" style="84"/>
    <col min="2702" max="2719" width="4.28515625" style="84" customWidth="1"/>
    <col min="2720" max="2720" width="5.42578125" style="84" customWidth="1"/>
    <col min="2721" max="2730" width="4.28515625" style="84" customWidth="1"/>
    <col min="2731" max="2731" width="7.140625" style="84" customWidth="1"/>
    <col min="2732" max="2749" width="4.28515625" style="84" customWidth="1"/>
    <col min="2750" max="2957" width="2.7109375" style="84"/>
    <col min="2958" max="2975" width="4.28515625" style="84" customWidth="1"/>
    <col min="2976" max="2976" width="5.42578125" style="84" customWidth="1"/>
    <col min="2977" max="2986" width="4.28515625" style="84" customWidth="1"/>
    <col min="2987" max="2987" width="7.140625" style="84" customWidth="1"/>
    <col min="2988" max="3005" width="4.28515625" style="84" customWidth="1"/>
    <col min="3006" max="3213" width="2.7109375" style="84"/>
    <col min="3214" max="3231" width="4.28515625" style="84" customWidth="1"/>
    <col min="3232" max="3232" width="5.42578125" style="84" customWidth="1"/>
    <col min="3233" max="3242" width="4.28515625" style="84" customWidth="1"/>
    <col min="3243" max="3243" width="7.140625" style="84" customWidth="1"/>
    <col min="3244" max="3261" width="4.28515625" style="84" customWidth="1"/>
    <col min="3262" max="3469" width="2.7109375" style="84"/>
    <col min="3470" max="3487" width="4.28515625" style="84" customWidth="1"/>
    <col min="3488" max="3488" width="5.42578125" style="84" customWidth="1"/>
    <col min="3489" max="3498" width="4.28515625" style="84" customWidth="1"/>
    <col min="3499" max="3499" width="7.140625" style="84" customWidth="1"/>
    <col min="3500" max="3517" width="4.28515625" style="84" customWidth="1"/>
    <col min="3518" max="3725" width="2.7109375" style="84"/>
    <col min="3726" max="3743" width="4.28515625" style="84" customWidth="1"/>
    <col min="3744" max="3744" width="5.42578125" style="84" customWidth="1"/>
    <col min="3745" max="3754" width="4.28515625" style="84" customWidth="1"/>
    <col min="3755" max="3755" width="7.140625" style="84" customWidth="1"/>
    <col min="3756" max="3773" width="4.28515625" style="84" customWidth="1"/>
    <col min="3774" max="3981" width="2.7109375" style="84"/>
    <col min="3982" max="3999" width="4.28515625" style="84" customWidth="1"/>
    <col min="4000" max="4000" width="5.42578125" style="84" customWidth="1"/>
    <col min="4001" max="4010" width="4.28515625" style="84" customWidth="1"/>
    <col min="4011" max="4011" width="7.140625" style="84" customWidth="1"/>
    <col min="4012" max="4029" width="4.28515625" style="84" customWidth="1"/>
    <col min="4030" max="4237" width="2.7109375" style="84"/>
    <col min="4238" max="4255" width="4.28515625" style="84" customWidth="1"/>
    <col min="4256" max="4256" width="5.42578125" style="84" customWidth="1"/>
    <col min="4257" max="4266" width="4.28515625" style="84" customWidth="1"/>
    <col min="4267" max="4267" width="7.140625" style="84" customWidth="1"/>
    <col min="4268" max="4285" width="4.28515625" style="84" customWidth="1"/>
    <col min="4286" max="4493" width="2.7109375" style="84"/>
    <col min="4494" max="4511" width="4.28515625" style="84" customWidth="1"/>
    <col min="4512" max="4512" width="5.42578125" style="84" customWidth="1"/>
    <col min="4513" max="4522" width="4.28515625" style="84" customWidth="1"/>
    <col min="4523" max="4523" width="7.140625" style="84" customWidth="1"/>
    <col min="4524" max="4541" width="4.28515625" style="84" customWidth="1"/>
    <col min="4542" max="4749" width="2.7109375" style="84"/>
    <col min="4750" max="4767" width="4.28515625" style="84" customWidth="1"/>
    <col min="4768" max="4768" width="5.42578125" style="84" customWidth="1"/>
    <col min="4769" max="4778" width="4.28515625" style="84" customWidth="1"/>
    <col min="4779" max="4779" width="7.140625" style="84" customWidth="1"/>
    <col min="4780" max="4797" width="4.28515625" style="84" customWidth="1"/>
    <col min="4798" max="5005" width="2.7109375" style="84"/>
    <col min="5006" max="5023" width="4.28515625" style="84" customWidth="1"/>
    <col min="5024" max="5024" width="5.42578125" style="84" customWidth="1"/>
    <col min="5025" max="5034" width="4.28515625" style="84" customWidth="1"/>
    <col min="5035" max="5035" width="7.140625" style="84" customWidth="1"/>
    <col min="5036" max="5053" width="4.28515625" style="84" customWidth="1"/>
    <col min="5054" max="5261" width="2.7109375" style="84"/>
    <col min="5262" max="5279" width="4.28515625" style="84" customWidth="1"/>
    <col min="5280" max="5280" width="5.42578125" style="84" customWidth="1"/>
    <col min="5281" max="5290" width="4.28515625" style="84" customWidth="1"/>
    <col min="5291" max="5291" width="7.140625" style="84" customWidth="1"/>
    <col min="5292" max="5309" width="4.28515625" style="84" customWidth="1"/>
    <col min="5310" max="5517" width="2.7109375" style="84"/>
    <col min="5518" max="5535" width="4.28515625" style="84" customWidth="1"/>
    <col min="5536" max="5536" width="5.42578125" style="84" customWidth="1"/>
    <col min="5537" max="5546" width="4.28515625" style="84" customWidth="1"/>
    <col min="5547" max="5547" width="7.140625" style="84" customWidth="1"/>
    <col min="5548" max="5565" width="4.28515625" style="84" customWidth="1"/>
    <col min="5566" max="5773" width="2.7109375" style="84"/>
    <col min="5774" max="5791" width="4.28515625" style="84" customWidth="1"/>
    <col min="5792" max="5792" width="5.42578125" style="84" customWidth="1"/>
    <col min="5793" max="5802" width="4.28515625" style="84" customWidth="1"/>
    <col min="5803" max="5803" width="7.140625" style="84" customWidth="1"/>
    <col min="5804" max="5821" width="4.28515625" style="84" customWidth="1"/>
    <col min="5822" max="6029" width="2.7109375" style="84"/>
    <col min="6030" max="6047" width="4.28515625" style="84" customWidth="1"/>
    <col min="6048" max="6048" width="5.42578125" style="84" customWidth="1"/>
    <col min="6049" max="6058" width="4.28515625" style="84" customWidth="1"/>
    <col min="6059" max="6059" width="7.140625" style="84" customWidth="1"/>
    <col min="6060" max="6077" width="4.28515625" style="84" customWidth="1"/>
    <col min="6078" max="6285" width="2.7109375" style="84"/>
    <col min="6286" max="6303" width="4.28515625" style="84" customWidth="1"/>
    <col min="6304" max="6304" width="5.42578125" style="84" customWidth="1"/>
    <col min="6305" max="6314" width="4.28515625" style="84" customWidth="1"/>
    <col min="6315" max="6315" width="7.140625" style="84" customWidth="1"/>
    <col min="6316" max="6333" width="4.28515625" style="84" customWidth="1"/>
    <col min="6334" max="6541" width="2.7109375" style="84"/>
    <col min="6542" max="6559" width="4.28515625" style="84" customWidth="1"/>
    <col min="6560" max="6560" width="5.42578125" style="84" customWidth="1"/>
    <col min="6561" max="6570" width="4.28515625" style="84" customWidth="1"/>
    <col min="6571" max="6571" width="7.140625" style="84" customWidth="1"/>
    <col min="6572" max="6589" width="4.28515625" style="84" customWidth="1"/>
    <col min="6590" max="6797" width="2.7109375" style="84"/>
    <col min="6798" max="6815" width="4.28515625" style="84" customWidth="1"/>
    <col min="6816" max="6816" width="5.42578125" style="84" customWidth="1"/>
    <col min="6817" max="6826" width="4.28515625" style="84" customWidth="1"/>
    <col min="6827" max="6827" width="7.140625" style="84" customWidth="1"/>
    <col min="6828" max="6845" width="4.28515625" style="84" customWidth="1"/>
    <col min="6846" max="7053" width="2.7109375" style="84"/>
    <col min="7054" max="7071" width="4.28515625" style="84" customWidth="1"/>
    <col min="7072" max="7072" width="5.42578125" style="84" customWidth="1"/>
    <col min="7073" max="7082" width="4.28515625" style="84" customWidth="1"/>
    <col min="7083" max="7083" width="7.140625" style="84" customWidth="1"/>
    <col min="7084" max="7101" width="4.28515625" style="84" customWidth="1"/>
    <col min="7102" max="7309" width="2.7109375" style="84"/>
    <col min="7310" max="7327" width="4.28515625" style="84" customWidth="1"/>
    <col min="7328" max="7328" width="5.42578125" style="84" customWidth="1"/>
    <col min="7329" max="7338" width="4.28515625" style="84" customWidth="1"/>
    <col min="7339" max="7339" width="7.140625" style="84" customWidth="1"/>
    <col min="7340" max="7357" width="4.28515625" style="84" customWidth="1"/>
    <col min="7358" max="7565" width="2.7109375" style="84"/>
    <col min="7566" max="7583" width="4.28515625" style="84" customWidth="1"/>
    <col min="7584" max="7584" width="5.42578125" style="84" customWidth="1"/>
    <col min="7585" max="7594" width="4.28515625" style="84" customWidth="1"/>
    <col min="7595" max="7595" width="7.140625" style="84" customWidth="1"/>
    <col min="7596" max="7613" width="4.28515625" style="84" customWidth="1"/>
    <col min="7614" max="7821" width="2.7109375" style="84"/>
    <col min="7822" max="7839" width="4.28515625" style="84" customWidth="1"/>
    <col min="7840" max="7840" width="5.42578125" style="84" customWidth="1"/>
    <col min="7841" max="7850" width="4.28515625" style="84" customWidth="1"/>
    <col min="7851" max="7851" width="7.140625" style="84" customWidth="1"/>
    <col min="7852" max="7869" width="4.28515625" style="84" customWidth="1"/>
    <col min="7870" max="8077" width="2.7109375" style="84"/>
    <col min="8078" max="8095" width="4.28515625" style="84" customWidth="1"/>
    <col min="8096" max="8096" width="5.42578125" style="84" customWidth="1"/>
    <col min="8097" max="8106" width="4.28515625" style="84" customWidth="1"/>
    <col min="8107" max="8107" width="7.140625" style="84" customWidth="1"/>
    <col min="8108" max="8125" width="4.28515625" style="84" customWidth="1"/>
    <col min="8126" max="8333" width="2.7109375" style="84"/>
    <col min="8334" max="8351" width="4.28515625" style="84" customWidth="1"/>
    <col min="8352" max="8352" width="5.42578125" style="84" customWidth="1"/>
    <col min="8353" max="8362" width="4.28515625" style="84" customWidth="1"/>
    <col min="8363" max="8363" width="7.140625" style="84" customWidth="1"/>
    <col min="8364" max="8381" width="4.28515625" style="84" customWidth="1"/>
    <col min="8382" max="8589" width="2.7109375" style="84"/>
    <col min="8590" max="8607" width="4.28515625" style="84" customWidth="1"/>
    <col min="8608" max="8608" width="5.42578125" style="84" customWidth="1"/>
    <col min="8609" max="8618" width="4.28515625" style="84" customWidth="1"/>
    <col min="8619" max="8619" width="7.140625" style="84" customWidth="1"/>
    <col min="8620" max="8637" width="4.28515625" style="84" customWidth="1"/>
    <col min="8638" max="8845" width="2.7109375" style="84"/>
    <col min="8846" max="8863" width="4.28515625" style="84" customWidth="1"/>
    <col min="8864" max="8864" width="5.42578125" style="84" customWidth="1"/>
    <col min="8865" max="8874" width="4.28515625" style="84" customWidth="1"/>
    <col min="8875" max="8875" width="7.140625" style="84" customWidth="1"/>
    <col min="8876" max="8893" width="4.28515625" style="84" customWidth="1"/>
    <col min="8894" max="9101" width="2.7109375" style="84"/>
    <col min="9102" max="9119" width="4.28515625" style="84" customWidth="1"/>
    <col min="9120" max="9120" width="5.42578125" style="84" customWidth="1"/>
    <col min="9121" max="9130" width="4.28515625" style="84" customWidth="1"/>
    <col min="9131" max="9131" width="7.140625" style="84" customWidth="1"/>
    <col min="9132" max="9149" width="4.28515625" style="84" customWidth="1"/>
    <col min="9150" max="9357" width="2.7109375" style="84"/>
    <col min="9358" max="9375" width="4.28515625" style="84" customWidth="1"/>
    <col min="9376" max="9376" width="5.42578125" style="84" customWidth="1"/>
    <col min="9377" max="9386" width="4.28515625" style="84" customWidth="1"/>
    <col min="9387" max="9387" width="7.140625" style="84" customWidth="1"/>
    <col min="9388" max="9405" width="4.28515625" style="84" customWidth="1"/>
    <col min="9406" max="9613" width="2.7109375" style="84"/>
    <col min="9614" max="9631" width="4.28515625" style="84" customWidth="1"/>
    <col min="9632" max="9632" width="5.42578125" style="84" customWidth="1"/>
    <col min="9633" max="9642" width="4.28515625" style="84" customWidth="1"/>
    <col min="9643" max="9643" width="7.140625" style="84" customWidth="1"/>
    <col min="9644" max="9661" width="4.28515625" style="84" customWidth="1"/>
    <col min="9662" max="9869" width="2.7109375" style="84"/>
    <col min="9870" max="9887" width="4.28515625" style="84" customWidth="1"/>
    <col min="9888" max="9888" width="5.42578125" style="84" customWidth="1"/>
    <col min="9889" max="9898" width="4.28515625" style="84" customWidth="1"/>
    <col min="9899" max="9899" width="7.140625" style="84" customWidth="1"/>
    <col min="9900" max="9917" width="4.28515625" style="84" customWidth="1"/>
    <col min="9918" max="10125" width="2.7109375" style="84"/>
    <col min="10126" max="10143" width="4.28515625" style="84" customWidth="1"/>
    <col min="10144" max="10144" width="5.42578125" style="84" customWidth="1"/>
    <col min="10145" max="10154" width="4.28515625" style="84" customWidth="1"/>
    <col min="10155" max="10155" width="7.140625" style="84" customWidth="1"/>
    <col min="10156" max="10173" width="4.28515625" style="84" customWidth="1"/>
    <col min="10174" max="10381" width="2.7109375" style="84"/>
    <col min="10382" max="10399" width="4.28515625" style="84" customWidth="1"/>
    <col min="10400" max="10400" width="5.42578125" style="84" customWidth="1"/>
    <col min="10401" max="10410" width="4.28515625" style="84" customWidth="1"/>
    <col min="10411" max="10411" width="7.140625" style="84" customWidth="1"/>
    <col min="10412" max="10429" width="4.28515625" style="84" customWidth="1"/>
    <col min="10430" max="10637" width="2.7109375" style="84"/>
    <col min="10638" max="10655" width="4.28515625" style="84" customWidth="1"/>
    <col min="10656" max="10656" width="5.42578125" style="84" customWidth="1"/>
    <col min="10657" max="10666" width="4.28515625" style="84" customWidth="1"/>
    <col min="10667" max="10667" width="7.140625" style="84" customWidth="1"/>
    <col min="10668" max="10685" width="4.28515625" style="84" customWidth="1"/>
    <col min="10686" max="10893" width="2.7109375" style="84"/>
    <col min="10894" max="10911" width="4.28515625" style="84" customWidth="1"/>
    <col min="10912" max="10912" width="5.42578125" style="84" customWidth="1"/>
    <col min="10913" max="10922" width="4.28515625" style="84" customWidth="1"/>
    <col min="10923" max="10923" width="7.140625" style="84" customWidth="1"/>
    <col min="10924" max="10941" width="4.28515625" style="84" customWidth="1"/>
    <col min="10942" max="11149" width="2.7109375" style="84"/>
    <col min="11150" max="11167" width="4.28515625" style="84" customWidth="1"/>
    <col min="11168" max="11168" width="5.42578125" style="84" customWidth="1"/>
    <col min="11169" max="11178" width="4.28515625" style="84" customWidth="1"/>
    <col min="11179" max="11179" width="7.140625" style="84" customWidth="1"/>
    <col min="11180" max="11197" width="4.28515625" style="84" customWidth="1"/>
    <col min="11198" max="11405" width="2.7109375" style="84"/>
    <col min="11406" max="11423" width="4.28515625" style="84" customWidth="1"/>
    <col min="11424" max="11424" width="5.42578125" style="84" customWidth="1"/>
    <col min="11425" max="11434" width="4.28515625" style="84" customWidth="1"/>
    <col min="11435" max="11435" width="7.140625" style="84" customWidth="1"/>
    <col min="11436" max="11453" width="4.28515625" style="84" customWidth="1"/>
    <col min="11454" max="11661" width="2.7109375" style="84"/>
    <col min="11662" max="11679" width="4.28515625" style="84" customWidth="1"/>
    <col min="11680" max="11680" width="5.42578125" style="84" customWidth="1"/>
    <col min="11681" max="11690" width="4.28515625" style="84" customWidth="1"/>
    <col min="11691" max="11691" width="7.140625" style="84" customWidth="1"/>
    <col min="11692" max="11709" width="4.28515625" style="84" customWidth="1"/>
    <col min="11710" max="11917" width="2.7109375" style="84"/>
    <col min="11918" max="11935" width="4.28515625" style="84" customWidth="1"/>
    <col min="11936" max="11936" width="5.42578125" style="84" customWidth="1"/>
    <col min="11937" max="11946" width="4.28515625" style="84" customWidth="1"/>
    <col min="11947" max="11947" width="7.140625" style="84" customWidth="1"/>
    <col min="11948" max="11965" width="4.28515625" style="84" customWidth="1"/>
    <col min="11966" max="12173" width="2.7109375" style="84"/>
    <col min="12174" max="12191" width="4.28515625" style="84" customWidth="1"/>
    <col min="12192" max="12192" width="5.42578125" style="84" customWidth="1"/>
    <col min="12193" max="12202" width="4.28515625" style="84" customWidth="1"/>
    <col min="12203" max="12203" width="7.140625" style="84" customWidth="1"/>
    <col min="12204" max="12221" width="4.28515625" style="84" customWidth="1"/>
    <col min="12222" max="12429" width="2.7109375" style="84"/>
    <col min="12430" max="12447" width="4.28515625" style="84" customWidth="1"/>
    <col min="12448" max="12448" width="5.42578125" style="84" customWidth="1"/>
    <col min="12449" max="12458" width="4.28515625" style="84" customWidth="1"/>
    <col min="12459" max="12459" width="7.140625" style="84" customWidth="1"/>
    <col min="12460" max="12477" width="4.28515625" style="84" customWidth="1"/>
    <col min="12478" max="12685" width="2.7109375" style="84"/>
    <col min="12686" max="12703" width="4.28515625" style="84" customWidth="1"/>
    <col min="12704" max="12704" width="5.42578125" style="84" customWidth="1"/>
    <col min="12705" max="12714" width="4.28515625" style="84" customWidth="1"/>
    <col min="12715" max="12715" width="7.140625" style="84" customWidth="1"/>
    <col min="12716" max="12733" width="4.28515625" style="84" customWidth="1"/>
    <col min="12734" max="12941" width="2.7109375" style="84"/>
    <col min="12942" max="12959" width="4.28515625" style="84" customWidth="1"/>
    <col min="12960" max="12960" width="5.42578125" style="84" customWidth="1"/>
    <col min="12961" max="12970" width="4.28515625" style="84" customWidth="1"/>
    <col min="12971" max="12971" width="7.140625" style="84" customWidth="1"/>
    <col min="12972" max="12989" width="4.28515625" style="84" customWidth="1"/>
    <col min="12990" max="13197" width="2.7109375" style="84"/>
    <col min="13198" max="13215" width="4.28515625" style="84" customWidth="1"/>
    <col min="13216" max="13216" width="5.42578125" style="84" customWidth="1"/>
    <col min="13217" max="13226" width="4.28515625" style="84" customWidth="1"/>
    <col min="13227" max="13227" width="7.140625" style="84" customWidth="1"/>
    <col min="13228" max="13245" width="4.28515625" style="84" customWidth="1"/>
    <col min="13246" max="13453" width="2.7109375" style="84"/>
    <col min="13454" max="13471" width="4.28515625" style="84" customWidth="1"/>
    <col min="13472" max="13472" width="5.42578125" style="84" customWidth="1"/>
    <col min="13473" max="13482" width="4.28515625" style="84" customWidth="1"/>
    <col min="13483" max="13483" width="7.140625" style="84" customWidth="1"/>
    <col min="13484" max="13501" width="4.28515625" style="84" customWidth="1"/>
    <col min="13502" max="13709" width="2.7109375" style="84"/>
    <col min="13710" max="13727" width="4.28515625" style="84" customWidth="1"/>
    <col min="13728" max="13728" width="5.42578125" style="84" customWidth="1"/>
    <col min="13729" max="13738" width="4.28515625" style="84" customWidth="1"/>
    <col min="13739" max="13739" width="7.140625" style="84" customWidth="1"/>
    <col min="13740" max="13757" width="4.28515625" style="84" customWidth="1"/>
    <col min="13758" max="13965" width="2.7109375" style="84"/>
    <col min="13966" max="13983" width="4.28515625" style="84" customWidth="1"/>
    <col min="13984" max="13984" width="5.42578125" style="84" customWidth="1"/>
    <col min="13985" max="13994" width="4.28515625" style="84" customWidth="1"/>
    <col min="13995" max="13995" width="7.140625" style="84" customWidth="1"/>
    <col min="13996" max="14013" width="4.28515625" style="84" customWidth="1"/>
    <col min="14014" max="14221" width="2.7109375" style="84"/>
    <col min="14222" max="14239" width="4.28515625" style="84" customWidth="1"/>
    <col min="14240" max="14240" width="5.42578125" style="84" customWidth="1"/>
    <col min="14241" max="14250" width="4.28515625" style="84" customWidth="1"/>
    <col min="14251" max="14251" width="7.140625" style="84" customWidth="1"/>
    <col min="14252" max="14269" width="4.28515625" style="84" customWidth="1"/>
    <col min="14270" max="14477" width="2.7109375" style="84"/>
    <col min="14478" max="14495" width="4.28515625" style="84" customWidth="1"/>
    <col min="14496" max="14496" width="5.42578125" style="84" customWidth="1"/>
    <col min="14497" max="14506" width="4.28515625" style="84" customWidth="1"/>
    <col min="14507" max="14507" width="7.140625" style="84" customWidth="1"/>
    <col min="14508" max="14525" width="4.28515625" style="84" customWidth="1"/>
    <col min="14526" max="14733" width="2.7109375" style="84"/>
    <col min="14734" max="14751" width="4.28515625" style="84" customWidth="1"/>
    <col min="14752" max="14752" width="5.42578125" style="84" customWidth="1"/>
    <col min="14753" max="14762" width="4.28515625" style="84" customWidth="1"/>
    <col min="14763" max="14763" width="7.140625" style="84" customWidth="1"/>
    <col min="14764" max="14781" width="4.28515625" style="84" customWidth="1"/>
    <col min="14782" max="14989" width="2.7109375" style="84"/>
    <col min="14990" max="15007" width="4.28515625" style="84" customWidth="1"/>
    <col min="15008" max="15008" width="5.42578125" style="84" customWidth="1"/>
    <col min="15009" max="15018" width="4.28515625" style="84" customWidth="1"/>
    <col min="15019" max="15019" width="7.140625" style="84" customWidth="1"/>
    <col min="15020" max="15037" width="4.28515625" style="84" customWidth="1"/>
    <col min="15038" max="15245" width="2.7109375" style="84"/>
    <col min="15246" max="15263" width="4.28515625" style="84" customWidth="1"/>
    <col min="15264" max="15264" width="5.42578125" style="84" customWidth="1"/>
    <col min="15265" max="15274" width="4.28515625" style="84" customWidth="1"/>
    <col min="15275" max="15275" width="7.140625" style="84" customWidth="1"/>
    <col min="15276" max="15293" width="4.28515625" style="84" customWidth="1"/>
    <col min="15294" max="15501" width="2.7109375" style="84"/>
    <col min="15502" max="15519" width="4.28515625" style="84" customWidth="1"/>
    <col min="15520" max="15520" width="5.42578125" style="84" customWidth="1"/>
    <col min="15521" max="15530" width="4.28515625" style="84" customWidth="1"/>
    <col min="15531" max="15531" width="7.140625" style="84" customWidth="1"/>
    <col min="15532" max="15549" width="4.28515625" style="84" customWidth="1"/>
    <col min="15550" max="15757" width="2.7109375" style="84"/>
    <col min="15758" max="15775" width="4.28515625" style="84" customWidth="1"/>
    <col min="15776" max="15776" width="5.42578125" style="84" customWidth="1"/>
    <col min="15777" max="15786" width="4.28515625" style="84" customWidth="1"/>
    <col min="15787" max="15787" width="7.140625" style="84" customWidth="1"/>
    <col min="15788" max="15805" width="4.28515625" style="84" customWidth="1"/>
    <col min="15806" max="16013" width="2.7109375" style="84"/>
    <col min="16014" max="16031" width="4.28515625" style="84" customWidth="1"/>
    <col min="16032" max="16032" width="5.42578125" style="84" customWidth="1"/>
    <col min="16033" max="16042" width="4.28515625" style="84" customWidth="1"/>
    <col min="16043" max="16043" width="7.140625" style="84" customWidth="1"/>
    <col min="16044" max="16061" width="4.28515625" style="84" customWidth="1"/>
    <col min="16062" max="16384" width="2.7109375" style="84"/>
  </cols>
  <sheetData>
    <row r="1" spans="1:44" s="83" customFormat="1" ht="30" customHeight="1">
      <c r="A1" s="484" t="s">
        <v>163</v>
      </c>
      <c r="B1" s="484"/>
      <c r="C1" s="484"/>
      <c r="D1" s="484"/>
      <c r="E1" s="484"/>
      <c r="F1" s="484"/>
      <c r="G1" s="484"/>
      <c r="H1" s="484"/>
      <c r="I1" s="484"/>
      <c r="J1" s="484"/>
      <c r="K1" s="484"/>
      <c r="L1" s="484"/>
      <c r="M1" s="484"/>
      <c r="N1" s="484"/>
      <c r="O1" s="484"/>
      <c r="Y1" s="485" t="s">
        <v>164</v>
      </c>
      <c r="Z1" s="486"/>
      <c r="AA1" s="486"/>
      <c r="AB1" s="487" t="s">
        <v>165</v>
      </c>
      <c r="AC1" s="487"/>
      <c r="AD1" s="487"/>
      <c r="AE1" s="487"/>
      <c r="AF1" s="487"/>
      <c r="AG1" s="487"/>
      <c r="AH1" s="487"/>
      <c r="AI1" s="488"/>
      <c r="AJ1" s="486" t="s">
        <v>166</v>
      </c>
      <c r="AK1" s="486"/>
      <c r="AL1" s="486"/>
      <c r="AM1" s="487" t="s">
        <v>167</v>
      </c>
      <c r="AN1" s="487"/>
      <c r="AO1" s="487"/>
      <c r="AP1" s="487"/>
      <c r="AQ1" s="487"/>
      <c r="AR1" s="489"/>
    </row>
    <row r="2" spans="1:44" s="85" customFormat="1" ht="30" customHeight="1" thickBot="1">
      <c r="A2" s="484"/>
      <c r="B2" s="484"/>
      <c r="C2" s="484"/>
      <c r="D2" s="484"/>
      <c r="E2" s="484"/>
      <c r="F2" s="484"/>
      <c r="G2" s="484"/>
      <c r="H2" s="484"/>
      <c r="I2" s="484"/>
      <c r="J2" s="484"/>
      <c r="K2" s="484"/>
      <c r="L2" s="484"/>
      <c r="M2" s="484"/>
      <c r="N2" s="484"/>
      <c r="O2" s="484"/>
      <c r="Y2" s="490" t="s">
        <v>168</v>
      </c>
      <c r="Z2" s="491"/>
      <c r="AA2" s="491"/>
      <c r="AB2" s="492"/>
      <c r="AC2" s="492"/>
      <c r="AD2" s="492"/>
      <c r="AE2" s="492"/>
      <c r="AF2" s="492"/>
      <c r="AG2" s="492"/>
      <c r="AH2" s="492"/>
      <c r="AI2" s="493"/>
      <c r="AJ2" s="494" t="s">
        <v>169</v>
      </c>
      <c r="AK2" s="495"/>
      <c r="AL2" s="496"/>
      <c r="AM2" s="497"/>
      <c r="AN2" s="497"/>
      <c r="AO2" s="497"/>
      <c r="AP2" s="497"/>
      <c r="AQ2" s="497"/>
      <c r="AR2" s="498"/>
    </row>
    <row r="3" spans="1:44" s="85" customFormat="1" ht="30" customHeight="1" thickBot="1">
      <c r="A3" s="194"/>
      <c r="B3" s="194"/>
      <c r="C3" s="194"/>
      <c r="D3" s="194"/>
      <c r="E3" s="194"/>
      <c r="F3" s="194"/>
      <c r="G3" s="194"/>
      <c r="H3" s="194"/>
      <c r="I3" s="194"/>
      <c r="J3" s="194"/>
      <c r="K3" s="194"/>
      <c r="L3" s="194"/>
      <c r="M3" s="194"/>
      <c r="N3" s="194"/>
      <c r="O3" s="194"/>
      <c r="Y3" s="433" t="s">
        <v>170</v>
      </c>
      <c r="Z3" s="434"/>
      <c r="AA3" s="434"/>
      <c r="AB3" s="434"/>
      <c r="AC3" s="434"/>
      <c r="AD3" s="435"/>
      <c r="AE3" s="436"/>
      <c r="AF3" s="437"/>
      <c r="AG3" s="437"/>
      <c r="AH3" s="437"/>
      <c r="AI3" s="438"/>
      <c r="AJ3" s="439" t="s">
        <v>171</v>
      </c>
      <c r="AK3" s="440"/>
      <c r="AL3" s="441"/>
      <c r="AM3" s="442"/>
      <c r="AN3" s="443"/>
      <c r="AO3" s="443"/>
      <c r="AP3" s="443"/>
      <c r="AQ3" s="443"/>
      <c r="AR3" s="444"/>
    </row>
    <row r="4" spans="1:44" s="85" customFormat="1" ht="30.75" customHeight="1" thickBot="1">
      <c r="A4" s="445" t="s">
        <v>172</v>
      </c>
      <c r="B4" s="445"/>
      <c r="C4" s="445"/>
      <c r="D4" s="445"/>
      <c r="E4" s="445"/>
      <c r="S4" s="86"/>
      <c r="T4" s="86"/>
      <c r="U4" s="86"/>
      <c r="V4" s="86"/>
      <c r="W4" s="86"/>
      <c r="X4" s="86"/>
      <c r="Y4" s="86"/>
      <c r="Z4" s="86"/>
      <c r="AA4" s="86"/>
      <c r="AB4" s="86"/>
      <c r="AC4" s="86"/>
      <c r="AD4" s="86"/>
      <c r="AE4" s="86"/>
      <c r="AF4" s="86"/>
      <c r="AG4" s="86"/>
      <c r="AH4" s="86"/>
      <c r="AI4" s="86"/>
      <c r="AJ4" s="86"/>
      <c r="AK4" s="84"/>
    </row>
    <row r="5" spans="1:44" s="85" customFormat="1" ht="24" customHeight="1">
      <c r="A5" s="446" t="s">
        <v>173</v>
      </c>
      <c r="B5" s="447"/>
      <c r="C5" s="447"/>
      <c r="D5" s="447"/>
      <c r="E5" s="447"/>
      <c r="F5" s="447"/>
      <c r="G5" s="447"/>
      <c r="H5" s="447"/>
      <c r="I5" s="447"/>
      <c r="J5" s="447"/>
      <c r="K5" s="447"/>
      <c r="L5" s="447"/>
      <c r="M5" s="447"/>
      <c r="N5" s="447"/>
      <c r="O5" s="447"/>
      <c r="P5" s="447"/>
      <c r="Q5" s="447"/>
      <c r="R5" s="447"/>
      <c r="S5" s="447"/>
      <c r="T5" s="447"/>
      <c r="U5" s="447"/>
      <c r="V5" s="447"/>
      <c r="W5" s="447"/>
      <c r="X5" s="447"/>
      <c r="Y5" s="447"/>
      <c r="Z5" s="448"/>
      <c r="AA5" s="449" t="s">
        <v>174</v>
      </c>
      <c r="AB5" s="450"/>
      <c r="AC5" s="450"/>
      <c r="AD5" s="450"/>
      <c r="AE5" s="450"/>
      <c r="AF5" s="450"/>
      <c r="AG5" s="450"/>
      <c r="AH5" s="451"/>
      <c r="AI5" s="452" t="s">
        <v>175</v>
      </c>
      <c r="AJ5" s="453"/>
      <c r="AK5" s="453"/>
      <c r="AL5" s="453"/>
      <c r="AM5" s="453"/>
      <c r="AN5" s="453"/>
      <c r="AO5" s="453"/>
      <c r="AP5" s="454"/>
      <c r="AQ5" s="455" t="s">
        <v>176</v>
      </c>
      <c r="AR5" s="456"/>
    </row>
    <row r="6" spans="1:44" ht="15.6" customHeight="1">
      <c r="A6" s="279" t="s">
        <v>177</v>
      </c>
      <c r="B6" s="310" t="s">
        <v>178</v>
      </c>
      <c r="C6" s="311"/>
      <c r="D6" s="311"/>
      <c r="E6" s="311"/>
      <c r="F6" s="311"/>
      <c r="G6" s="312"/>
      <c r="H6" s="310" t="s">
        <v>179</v>
      </c>
      <c r="I6" s="311"/>
      <c r="J6" s="311"/>
      <c r="K6" s="311"/>
      <c r="L6" s="311"/>
      <c r="M6" s="311"/>
      <c r="N6" s="311"/>
      <c r="O6" s="311"/>
      <c r="P6" s="312"/>
      <c r="Q6" s="310" t="s">
        <v>180</v>
      </c>
      <c r="R6" s="311"/>
      <c r="S6" s="311"/>
      <c r="T6" s="311"/>
      <c r="U6" s="311"/>
      <c r="V6" s="311"/>
      <c r="W6" s="311"/>
      <c r="X6" s="311"/>
      <c r="Y6" s="312"/>
      <c r="Z6" s="461" t="s">
        <v>181</v>
      </c>
      <c r="AA6" s="464" t="s">
        <v>182</v>
      </c>
      <c r="AB6" s="465"/>
      <c r="AC6" s="465"/>
      <c r="AD6" s="465"/>
      <c r="AE6" s="465"/>
      <c r="AF6" s="465"/>
      <c r="AG6" s="465"/>
      <c r="AH6" s="466"/>
      <c r="AI6" s="467" t="s">
        <v>183</v>
      </c>
      <c r="AJ6" s="468"/>
      <c r="AK6" s="468"/>
      <c r="AL6" s="468"/>
      <c r="AM6" s="468"/>
      <c r="AN6" s="468"/>
      <c r="AO6" s="468"/>
      <c r="AP6" s="469"/>
      <c r="AQ6" s="457"/>
      <c r="AR6" s="458"/>
    </row>
    <row r="7" spans="1:44" ht="15.6" customHeight="1">
      <c r="A7" s="280"/>
      <c r="B7" s="326" t="s">
        <v>184</v>
      </c>
      <c r="C7" s="327"/>
      <c r="D7" s="327"/>
      <c r="E7" s="327"/>
      <c r="F7" s="327"/>
      <c r="G7" s="470"/>
      <c r="H7" s="326" t="s">
        <v>185</v>
      </c>
      <c r="I7" s="327"/>
      <c r="J7" s="327"/>
      <c r="K7" s="327"/>
      <c r="L7" s="327"/>
      <c r="M7" s="327"/>
      <c r="N7" s="327"/>
      <c r="O7" s="327"/>
      <c r="P7" s="470"/>
      <c r="Q7" s="472" t="s">
        <v>186</v>
      </c>
      <c r="R7" s="473"/>
      <c r="S7" s="473"/>
      <c r="T7" s="473"/>
      <c r="U7" s="473"/>
      <c r="V7" s="473"/>
      <c r="W7" s="473"/>
      <c r="X7" s="473"/>
      <c r="Y7" s="474"/>
      <c r="Z7" s="462"/>
      <c r="AA7" s="478" t="s">
        <v>187</v>
      </c>
      <c r="AB7" s="479"/>
      <c r="AC7" s="479"/>
      <c r="AD7" s="479"/>
      <c r="AE7" s="479"/>
      <c r="AF7" s="479"/>
      <c r="AG7" s="479"/>
      <c r="AH7" s="480"/>
      <c r="AI7" s="425" t="s">
        <v>188</v>
      </c>
      <c r="AJ7" s="426"/>
      <c r="AK7" s="426"/>
      <c r="AL7" s="426"/>
      <c r="AM7" s="426"/>
      <c r="AN7" s="426"/>
      <c r="AO7" s="426"/>
      <c r="AP7" s="427"/>
      <c r="AQ7" s="457"/>
      <c r="AR7" s="458"/>
    </row>
    <row r="8" spans="1:44" ht="14.25" customHeight="1">
      <c r="A8" s="281"/>
      <c r="B8" s="329"/>
      <c r="C8" s="330"/>
      <c r="D8" s="330"/>
      <c r="E8" s="330"/>
      <c r="F8" s="330"/>
      <c r="G8" s="471"/>
      <c r="H8" s="329"/>
      <c r="I8" s="330"/>
      <c r="J8" s="330"/>
      <c r="K8" s="330"/>
      <c r="L8" s="330"/>
      <c r="M8" s="330"/>
      <c r="N8" s="330"/>
      <c r="O8" s="330"/>
      <c r="P8" s="471"/>
      <c r="Q8" s="475"/>
      <c r="R8" s="476"/>
      <c r="S8" s="476"/>
      <c r="T8" s="476"/>
      <c r="U8" s="476"/>
      <c r="V8" s="476"/>
      <c r="W8" s="476"/>
      <c r="X8" s="476"/>
      <c r="Y8" s="477"/>
      <c r="Z8" s="463"/>
      <c r="AA8" s="481"/>
      <c r="AB8" s="482"/>
      <c r="AC8" s="482"/>
      <c r="AD8" s="482"/>
      <c r="AE8" s="482"/>
      <c r="AF8" s="482"/>
      <c r="AG8" s="482"/>
      <c r="AH8" s="483"/>
      <c r="AI8" s="428"/>
      <c r="AJ8" s="429"/>
      <c r="AK8" s="429"/>
      <c r="AL8" s="429"/>
      <c r="AM8" s="429"/>
      <c r="AN8" s="429"/>
      <c r="AO8" s="429"/>
      <c r="AP8" s="430"/>
      <c r="AQ8" s="459"/>
      <c r="AR8" s="460"/>
    </row>
    <row r="9" spans="1:44" ht="20.100000000000001" customHeight="1">
      <c r="A9" s="279">
        <v>1</v>
      </c>
      <c r="B9" s="381" t="s">
        <v>189</v>
      </c>
      <c r="C9" s="382"/>
      <c r="D9" s="382"/>
      <c r="E9" s="382"/>
      <c r="F9" s="382"/>
      <c r="G9" s="383"/>
      <c r="H9" s="384"/>
      <c r="I9" s="385"/>
      <c r="J9" s="385"/>
      <c r="K9" s="385"/>
      <c r="L9" s="385"/>
      <c r="M9" s="385"/>
      <c r="N9" s="385"/>
      <c r="O9" s="385"/>
      <c r="P9" s="386"/>
      <c r="Q9" s="87" t="s">
        <v>190</v>
      </c>
      <c r="R9" s="431"/>
      <c r="S9" s="431"/>
      <c r="T9" s="431"/>
      <c r="U9" s="431"/>
      <c r="V9" s="431"/>
      <c r="W9" s="431"/>
      <c r="X9" s="431"/>
      <c r="Y9" s="432"/>
      <c r="Z9" s="395">
        <v>1</v>
      </c>
      <c r="AA9" s="398"/>
      <c r="AB9" s="399"/>
      <c r="AC9" s="399"/>
      <c r="AD9" s="399"/>
      <c r="AE9" s="399"/>
      <c r="AF9" s="399"/>
      <c r="AG9" s="399"/>
      <c r="AH9" s="400"/>
      <c r="AI9" s="398"/>
      <c r="AJ9" s="399"/>
      <c r="AK9" s="399"/>
      <c r="AL9" s="399"/>
      <c r="AM9" s="399"/>
      <c r="AN9" s="399"/>
      <c r="AO9" s="399"/>
      <c r="AP9" s="661"/>
      <c r="AQ9" s="421" t="s">
        <v>191</v>
      </c>
      <c r="AR9" s="422"/>
    </row>
    <row r="10" spans="1:44" ht="20.100000000000001" customHeight="1">
      <c r="A10" s="280"/>
      <c r="B10" s="358"/>
      <c r="C10" s="359"/>
      <c r="D10" s="359"/>
      <c r="E10" s="359"/>
      <c r="F10" s="359"/>
      <c r="G10" s="360"/>
      <c r="H10" s="387"/>
      <c r="I10" s="388"/>
      <c r="J10" s="388"/>
      <c r="K10" s="388"/>
      <c r="L10" s="388"/>
      <c r="M10" s="388"/>
      <c r="N10" s="388"/>
      <c r="O10" s="388"/>
      <c r="P10" s="389"/>
      <c r="Q10" s="88" t="s">
        <v>192</v>
      </c>
      <c r="R10" s="364"/>
      <c r="S10" s="364"/>
      <c r="T10" s="364"/>
      <c r="U10" s="364"/>
      <c r="V10" s="364"/>
      <c r="W10" s="364"/>
      <c r="X10" s="364"/>
      <c r="Y10" s="365"/>
      <c r="Z10" s="396"/>
      <c r="AA10" s="401"/>
      <c r="AB10" s="298"/>
      <c r="AC10" s="298"/>
      <c r="AD10" s="298"/>
      <c r="AE10" s="298"/>
      <c r="AF10" s="298"/>
      <c r="AG10" s="298"/>
      <c r="AH10" s="402"/>
      <c r="AI10" s="401"/>
      <c r="AJ10" s="298"/>
      <c r="AK10" s="298"/>
      <c r="AL10" s="298"/>
      <c r="AM10" s="298"/>
      <c r="AN10" s="298"/>
      <c r="AO10" s="298"/>
      <c r="AP10" s="662"/>
      <c r="AQ10" s="377"/>
      <c r="AR10" s="378"/>
    </row>
    <row r="11" spans="1:44" ht="20.100000000000001" customHeight="1">
      <c r="A11" s="280"/>
      <c r="B11" s="358"/>
      <c r="C11" s="359"/>
      <c r="D11" s="359"/>
      <c r="E11" s="359"/>
      <c r="F11" s="359"/>
      <c r="G11" s="360"/>
      <c r="H11" s="387"/>
      <c r="I11" s="388"/>
      <c r="J11" s="388"/>
      <c r="K11" s="388"/>
      <c r="L11" s="388"/>
      <c r="M11" s="388"/>
      <c r="N11" s="388"/>
      <c r="O11" s="388"/>
      <c r="P11" s="389"/>
      <c r="Q11" s="88" t="s">
        <v>193</v>
      </c>
      <c r="R11" s="364"/>
      <c r="S11" s="364"/>
      <c r="T11" s="364"/>
      <c r="U11" s="364"/>
      <c r="V11" s="364"/>
      <c r="W11" s="364"/>
      <c r="X11" s="364"/>
      <c r="Y11" s="365"/>
      <c r="Z11" s="396"/>
      <c r="AA11" s="401"/>
      <c r="AB11" s="298"/>
      <c r="AC11" s="298"/>
      <c r="AD11" s="298"/>
      <c r="AE11" s="298"/>
      <c r="AF11" s="298"/>
      <c r="AG11" s="298"/>
      <c r="AH11" s="402"/>
      <c r="AI11" s="401"/>
      <c r="AJ11" s="298"/>
      <c r="AK11" s="298"/>
      <c r="AL11" s="298"/>
      <c r="AM11" s="298"/>
      <c r="AN11" s="298"/>
      <c r="AO11" s="298"/>
      <c r="AP11" s="662"/>
      <c r="AQ11" s="379"/>
      <c r="AR11" s="380"/>
    </row>
    <row r="12" spans="1:44" ht="20.100000000000001" customHeight="1">
      <c r="A12" s="280"/>
      <c r="B12" s="374"/>
      <c r="C12" s="375"/>
      <c r="D12" s="375"/>
      <c r="E12" s="375"/>
      <c r="F12" s="375"/>
      <c r="G12" s="376"/>
      <c r="H12" s="387"/>
      <c r="I12" s="388"/>
      <c r="J12" s="388"/>
      <c r="K12" s="388"/>
      <c r="L12" s="388"/>
      <c r="M12" s="388"/>
      <c r="N12" s="388"/>
      <c r="O12" s="388"/>
      <c r="P12" s="389"/>
      <c r="Q12" s="88" t="s">
        <v>194</v>
      </c>
      <c r="R12" s="364"/>
      <c r="S12" s="364"/>
      <c r="T12" s="364"/>
      <c r="U12" s="364"/>
      <c r="V12" s="364"/>
      <c r="W12" s="364"/>
      <c r="X12" s="364"/>
      <c r="Y12" s="365"/>
      <c r="Z12" s="396"/>
      <c r="AA12" s="401"/>
      <c r="AB12" s="298"/>
      <c r="AC12" s="298"/>
      <c r="AD12" s="298"/>
      <c r="AE12" s="298"/>
      <c r="AF12" s="298"/>
      <c r="AG12" s="298"/>
      <c r="AH12" s="402"/>
      <c r="AI12" s="401"/>
      <c r="AJ12" s="298"/>
      <c r="AK12" s="298"/>
      <c r="AL12" s="298"/>
      <c r="AM12" s="298"/>
      <c r="AN12" s="298"/>
      <c r="AO12" s="298"/>
      <c r="AP12" s="662"/>
      <c r="AQ12" s="423"/>
      <c r="AR12" s="424"/>
    </row>
    <row r="13" spans="1:44" ht="20.100000000000001" customHeight="1">
      <c r="A13" s="280"/>
      <c r="B13" s="406" t="s">
        <v>195</v>
      </c>
      <c r="C13" s="407"/>
      <c r="D13" s="407"/>
      <c r="E13" s="407"/>
      <c r="F13" s="407"/>
      <c r="G13" s="408"/>
      <c r="H13" s="387"/>
      <c r="I13" s="388"/>
      <c r="J13" s="388"/>
      <c r="K13" s="388"/>
      <c r="L13" s="388"/>
      <c r="M13" s="388"/>
      <c r="N13" s="388"/>
      <c r="O13" s="388"/>
      <c r="P13" s="389"/>
      <c r="Q13" s="88" t="s">
        <v>196</v>
      </c>
      <c r="R13" s="364"/>
      <c r="S13" s="364"/>
      <c r="T13" s="364"/>
      <c r="U13" s="364"/>
      <c r="V13" s="364"/>
      <c r="W13" s="364"/>
      <c r="X13" s="364"/>
      <c r="Y13" s="365"/>
      <c r="Z13" s="396"/>
      <c r="AA13" s="401"/>
      <c r="AB13" s="298"/>
      <c r="AC13" s="298"/>
      <c r="AD13" s="298"/>
      <c r="AE13" s="298"/>
      <c r="AF13" s="298"/>
      <c r="AG13" s="298"/>
      <c r="AH13" s="402"/>
      <c r="AI13" s="401"/>
      <c r="AJ13" s="298"/>
      <c r="AK13" s="298"/>
      <c r="AL13" s="298"/>
      <c r="AM13" s="298"/>
      <c r="AN13" s="298"/>
      <c r="AO13" s="298"/>
      <c r="AP13" s="662"/>
      <c r="AQ13" s="409" t="s">
        <v>197</v>
      </c>
      <c r="AR13" s="410"/>
    </row>
    <row r="14" spans="1:44" ht="20.100000000000001" customHeight="1">
      <c r="A14" s="280"/>
      <c r="B14" s="358"/>
      <c r="C14" s="359"/>
      <c r="D14" s="359"/>
      <c r="E14" s="359"/>
      <c r="F14" s="359"/>
      <c r="G14" s="360"/>
      <c r="H14" s="387"/>
      <c r="I14" s="388"/>
      <c r="J14" s="388"/>
      <c r="K14" s="388"/>
      <c r="L14" s="388"/>
      <c r="M14" s="388"/>
      <c r="N14" s="388"/>
      <c r="O14" s="388"/>
      <c r="P14" s="389"/>
      <c r="Q14" s="88" t="s">
        <v>198</v>
      </c>
      <c r="R14" s="364"/>
      <c r="S14" s="364"/>
      <c r="T14" s="364"/>
      <c r="U14" s="364"/>
      <c r="V14" s="364"/>
      <c r="W14" s="364"/>
      <c r="X14" s="364"/>
      <c r="Y14" s="365"/>
      <c r="Z14" s="396"/>
      <c r="AA14" s="401"/>
      <c r="AB14" s="298"/>
      <c r="AC14" s="298"/>
      <c r="AD14" s="298"/>
      <c r="AE14" s="298"/>
      <c r="AF14" s="298"/>
      <c r="AG14" s="298"/>
      <c r="AH14" s="402"/>
      <c r="AI14" s="401"/>
      <c r="AJ14" s="298"/>
      <c r="AK14" s="298"/>
      <c r="AL14" s="298"/>
      <c r="AM14" s="298"/>
      <c r="AN14" s="298"/>
      <c r="AO14" s="298"/>
      <c r="AP14" s="663"/>
      <c r="AQ14" s="366">
        <f>Z9*AQ10</f>
        <v>0</v>
      </c>
      <c r="AR14" s="367"/>
    </row>
    <row r="15" spans="1:44" ht="20.100000000000001" customHeight="1">
      <c r="A15" s="280"/>
      <c r="B15" s="358"/>
      <c r="C15" s="359"/>
      <c r="D15" s="359"/>
      <c r="E15" s="359"/>
      <c r="F15" s="359"/>
      <c r="G15" s="360"/>
      <c r="H15" s="387"/>
      <c r="I15" s="388"/>
      <c r="J15" s="388"/>
      <c r="K15" s="388"/>
      <c r="L15" s="388"/>
      <c r="M15" s="388"/>
      <c r="N15" s="388"/>
      <c r="O15" s="388"/>
      <c r="P15" s="389"/>
      <c r="R15" s="359"/>
      <c r="S15" s="359"/>
      <c r="T15" s="359"/>
      <c r="U15" s="359"/>
      <c r="V15" s="359"/>
      <c r="W15" s="359"/>
      <c r="X15" s="359"/>
      <c r="Y15" s="360"/>
      <c r="Z15" s="396"/>
      <c r="AA15" s="401"/>
      <c r="AB15" s="298"/>
      <c r="AC15" s="298"/>
      <c r="AD15" s="298"/>
      <c r="AE15" s="298"/>
      <c r="AF15" s="298"/>
      <c r="AG15" s="298"/>
      <c r="AH15" s="402"/>
      <c r="AI15" s="401"/>
      <c r="AJ15" s="298"/>
      <c r="AK15" s="298"/>
      <c r="AL15" s="298"/>
      <c r="AM15" s="298"/>
      <c r="AN15" s="298"/>
      <c r="AO15" s="298"/>
      <c r="AP15" s="663"/>
      <c r="AQ15" s="368"/>
      <c r="AR15" s="369"/>
    </row>
    <row r="16" spans="1:44" ht="20.100000000000001" customHeight="1">
      <c r="A16" s="281"/>
      <c r="B16" s="416"/>
      <c r="C16" s="417"/>
      <c r="D16" s="417"/>
      <c r="E16" s="417"/>
      <c r="F16" s="417"/>
      <c r="G16" s="418"/>
      <c r="H16" s="411"/>
      <c r="I16" s="412"/>
      <c r="J16" s="412"/>
      <c r="K16" s="412"/>
      <c r="L16" s="412"/>
      <c r="M16" s="412"/>
      <c r="N16" s="412"/>
      <c r="O16" s="412"/>
      <c r="P16" s="413"/>
      <c r="Q16" s="88"/>
      <c r="R16" s="417"/>
      <c r="S16" s="417"/>
      <c r="T16" s="417"/>
      <c r="U16" s="417"/>
      <c r="V16" s="417"/>
      <c r="W16" s="417"/>
      <c r="X16" s="417"/>
      <c r="Y16" s="418"/>
      <c r="Z16" s="414"/>
      <c r="AA16" s="405"/>
      <c r="AB16" s="301"/>
      <c r="AC16" s="301"/>
      <c r="AD16" s="301"/>
      <c r="AE16" s="301"/>
      <c r="AF16" s="301"/>
      <c r="AG16" s="301"/>
      <c r="AH16" s="415"/>
      <c r="AI16" s="405"/>
      <c r="AJ16" s="301"/>
      <c r="AK16" s="301"/>
      <c r="AL16" s="301"/>
      <c r="AM16" s="301"/>
      <c r="AN16" s="301"/>
      <c r="AO16" s="301"/>
      <c r="AP16" s="664"/>
      <c r="AQ16" s="419"/>
      <c r="AR16" s="420"/>
    </row>
    <row r="17" spans="1:44" ht="20.100000000000001" customHeight="1">
      <c r="A17" s="279">
        <v>2</v>
      </c>
      <c r="B17" s="381" t="s">
        <v>189</v>
      </c>
      <c r="C17" s="382"/>
      <c r="D17" s="382"/>
      <c r="E17" s="382"/>
      <c r="F17" s="382"/>
      <c r="G17" s="383"/>
      <c r="H17" s="384"/>
      <c r="I17" s="385"/>
      <c r="J17" s="385"/>
      <c r="K17" s="385"/>
      <c r="L17" s="385"/>
      <c r="M17" s="385"/>
      <c r="N17" s="385"/>
      <c r="O17" s="385"/>
      <c r="P17" s="386"/>
      <c r="Q17" s="87" t="s">
        <v>190</v>
      </c>
      <c r="R17" s="393"/>
      <c r="S17" s="393"/>
      <c r="T17" s="393"/>
      <c r="U17" s="393"/>
      <c r="V17" s="393"/>
      <c r="W17" s="393"/>
      <c r="X17" s="393"/>
      <c r="Y17" s="394"/>
      <c r="Z17" s="395">
        <v>1</v>
      </c>
      <c r="AA17" s="398"/>
      <c r="AB17" s="399"/>
      <c r="AC17" s="399"/>
      <c r="AD17" s="399"/>
      <c r="AE17" s="399"/>
      <c r="AF17" s="399"/>
      <c r="AG17" s="399"/>
      <c r="AH17" s="400"/>
      <c r="AI17" s="398"/>
      <c r="AJ17" s="399"/>
      <c r="AK17" s="399"/>
      <c r="AL17" s="399"/>
      <c r="AM17" s="399"/>
      <c r="AN17" s="399"/>
      <c r="AO17" s="399"/>
      <c r="AP17" s="661"/>
      <c r="AQ17" s="372" t="s">
        <v>191</v>
      </c>
      <c r="AR17" s="373"/>
    </row>
    <row r="18" spans="1:44" ht="19.5" customHeight="1">
      <c r="A18" s="280"/>
      <c r="B18" s="358"/>
      <c r="C18" s="359"/>
      <c r="D18" s="359"/>
      <c r="E18" s="359"/>
      <c r="F18" s="359"/>
      <c r="G18" s="360"/>
      <c r="H18" s="387"/>
      <c r="I18" s="388"/>
      <c r="J18" s="388"/>
      <c r="K18" s="388"/>
      <c r="L18" s="388"/>
      <c r="M18" s="388"/>
      <c r="N18" s="388"/>
      <c r="O18" s="388"/>
      <c r="P18" s="389"/>
      <c r="Q18" s="88" t="s">
        <v>192</v>
      </c>
      <c r="R18" s="359"/>
      <c r="S18" s="359"/>
      <c r="T18" s="359"/>
      <c r="U18" s="359"/>
      <c r="V18" s="359"/>
      <c r="W18" s="359"/>
      <c r="X18" s="359"/>
      <c r="Y18" s="360"/>
      <c r="Z18" s="396"/>
      <c r="AA18" s="401"/>
      <c r="AB18" s="298"/>
      <c r="AC18" s="298"/>
      <c r="AD18" s="298"/>
      <c r="AE18" s="298"/>
      <c r="AF18" s="298"/>
      <c r="AG18" s="298"/>
      <c r="AH18" s="402"/>
      <c r="AI18" s="401"/>
      <c r="AJ18" s="298"/>
      <c r="AK18" s="298"/>
      <c r="AL18" s="298"/>
      <c r="AM18" s="298"/>
      <c r="AN18" s="298"/>
      <c r="AO18" s="298"/>
      <c r="AP18" s="662"/>
      <c r="AQ18" s="377"/>
      <c r="AR18" s="378"/>
    </row>
    <row r="19" spans="1:44" ht="19.5" customHeight="1">
      <c r="A19" s="280"/>
      <c r="B19" s="358"/>
      <c r="C19" s="359"/>
      <c r="D19" s="359"/>
      <c r="E19" s="359"/>
      <c r="F19" s="359"/>
      <c r="G19" s="360"/>
      <c r="H19" s="387"/>
      <c r="I19" s="388"/>
      <c r="J19" s="388"/>
      <c r="K19" s="388"/>
      <c r="L19" s="388"/>
      <c r="M19" s="388"/>
      <c r="N19" s="388"/>
      <c r="O19" s="388"/>
      <c r="P19" s="389"/>
      <c r="Q19" s="88" t="s">
        <v>193</v>
      </c>
      <c r="R19" s="359"/>
      <c r="S19" s="359"/>
      <c r="T19" s="359"/>
      <c r="U19" s="359"/>
      <c r="V19" s="359"/>
      <c r="W19" s="359"/>
      <c r="X19" s="359"/>
      <c r="Y19" s="360"/>
      <c r="Z19" s="396"/>
      <c r="AA19" s="401"/>
      <c r="AB19" s="298"/>
      <c r="AC19" s="298"/>
      <c r="AD19" s="298"/>
      <c r="AE19" s="298"/>
      <c r="AF19" s="298"/>
      <c r="AG19" s="298"/>
      <c r="AH19" s="402"/>
      <c r="AI19" s="401"/>
      <c r="AJ19" s="298"/>
      <c r="AK19" s="298"/>
      <c r="AL19" s="298"/>
      <c r="AM19" s="298"/>
      <c r="AN19" s="298"/>
      <c r="AO19" s="298"/>
      <c r="AP19" s="662"/>
      <c r="AQ19" s="379"/>
      <c r="AR19" s="380"/>
    </row>
    <row r="20" spans="1:44" ht="20.100000000000001" customHeight="1">
      <c r="A20" s="280"/>
      <c r="B20" s="374"/>
      <c r="C20" s="375"/>
      <c r="D20" s="375"/>
      <c r="E20" s="375"/>
      <c r="F20" s="375"/>
      <c r="G20" s="376"/>
      <c r="H20" s="387"/>
      <c r="I20" s="388"/>
      <c r="J20" s="388"/>
      <c r="K20" s="388"/>
      <c r="L20" s="388"/>
      <c r="M20" s="388"/>
      <c r="N20" s="388"/>
      <c r="O20" s="388"/>
      <c r="P20" s="389"/>
      <c r="Q20" s="88" t="s">
        <v>194</v>
      </c>
      <c r="R20" s="359"/>
      <c r="S20" s="359"/>
      <c r="T20" s="359"/>
      <c r="U20" s="359"/>
      <c r="V20" s="359"/>
      <c r="W20" s="359"/>
      <c r="X20" s="359"/>
      <c r="Y20" s="360"/>
      <c r="Z20" s="396"/>
      <c r="AA20" s="401"/>
      <c r="AB20" s="298"/>
      <c r="AC20" s="298"/>
      <c r="AD20" s="298"/>
      <c r="AE20" s="298"/>
      <c r="AF20" s="298"/>
      <c r="AG20" s="298"/>
      <c r="AH20" s="402"/>
      <c r="AI20" s="401"/>
      <c r="AJ20" s="298"/>
      <c r="AK20" s="298"/>
      <c r="AL20" s="298"/>
      <c r="AM20" s="298"/>
      <c r="AN20" s="298"/>
      <c r="AO20" s="298"/>
      <c r="AP20" s="662"/>
      <c r="AQ20" s="379"/>
      <c r="AR20" s="380"/>
    </row>
    <row r="21" spans="1:44" ht="20.100000000000001" customHeight="1">
      <c r="A21" s="280"/>
      <c r="B21" s="406" t="s">
        <v>195</v>
      </c>
      <c r="C21" s="407"/>
      <c r="D21" s="407"/>
      <c r="E21" s="407"/>
      <c r="F21" s="407"/>
      <c r="G21" s="408"/>
      <c r="H21" s="387"/>
      <c r="I21" s="388"/>
      <c r="J21" s="388"/>
      <c r="K21" s="388"/>
      <c r="L21" s="388"/>
      <c r="M21" s="388"/>
      <c r="N21" s="388"/>
      <c r="O21" s="388"/>
      <c r="P21" s="389"/>
      <c r="Q21" s="88" t="s">
        <v>196</v>
      </c>
      <c r="R21" s="359"/>
      <c r="S21" s="359"/>
      <c r="T21" s="359"/>
      <c r="U21" s="359"/>
      <c r="V21" s="359"/>
      <c r="W21" s="359"/>
      <c r="X21" s="359"/>
      <c r="Y21" s="360"/>
      <c r="Z21" s="396"/>
      <c r="AA21" s="401"/>
      <c r="AB21" s="298"/>
      <c r="AC21" s="298"/>
      <c r="AD21" s="298"/>
      <c r="AE21" s="298"/>
      <c r="AF21" s="298"/>
      <c r="AG21" s="298"/>
      <c r="AH21" s="402"/>
      <c r="AI21" s="401"/>
      <c r="AJ21" s="298"/>
      <c r="AK21" s="298"/>
      <c r="AL21" s="298"/>
      <c r="AM21" s="298"/>
      <c r="AN21" s="298"/>
      <c r="AO21" s="298"/>
      <c r="AP21" s="662"/>
      <c r="AQ21" s="409" t="s">
        <v>197</v>
      </c>
      <c r="AR21" s="410"/>
    </row>
    <row r="22" spans="1:44" ht="20.100000000000001" customHeight="1">
      <c r="A22" s="280"/>
      <c r="B22" s="358"/>
      <c r="C22" s="359"/>
      <c r="D22" s="359"/>
      <c r="E22" s="359"/>
      <c r="F22" s="359"/>
      <c r="G22" s="360"/>
      <c r="H22" s="387"/>
      <c r="I22" s="388"/>
      <c r="J22" s="388"/>
      <c r="K22" s="388"/>
      <c r="L22" s="388"/>
      <c r="M22" s="388"/>
      <c r="N22" s="388"/>
      <c r="O22" s="388"/>
      <c r="P22" s="389"/>
      <c r="Q22" s="88" t="s">
        <v>198</v>
      </c>
      <c r="R22" s="364"/>
      <c r="S22" s="364"/>
      <c r="T22" s="364"/>
      <c r="U22" s="364"/>
      <c r="V22" s="364"/>
      <c r="W22" s="364"/>
      <c r="X22" s="364"/>
      <c r="Y22" s="365"/>
      <c r="Z22" s="396"/>
      <c r="AA22" s="401"/>
      <c r="AB22" s="298"/>
      <c r="AC22" s="298"/>
      <c r="AD22" s="298"/>
      <c r="AE22" s="298"/>
      <c r="AF22" s="298"/>
      <c r="AG22" s="298"/>
      <c r="AH22" s="402"/>
      <c r="AI22" s="401"/>
      <c r="AJ22" s="298"/>
      <c r="AK22" s="298"/>
      <c r="AL22" s="298"/>
      <c r="AM22" s="298"/>
      <c r="AN22" s="298"/>
      <c r="AO22" s="298"/>
      <c r="AP22" s="662"/>
      <c r="AQ22" s="366">
        <f>Z17*AQ18</f>
        <v>0</v>
      </c>
      <c r="AR22" s="367"/>
    </row>
    <row r="23" spans="1:44" ht="20.100000000000001" customHeight="1">
      <c r="A23" s="280"/>
      <c r="B23" s="358"/>
      <c r="C23" s="359"/>
      <c r="D23" s="359"/>
      <c r="E23" s="359"/>
      <c r="F23" s="359"/>
      <c r="G23" s="360"/>
      <c r="H23" s="387"/>
      <c r="I23" s="388"/>
      <c r="J23" s="388"/>
      <c r="K23" s="388"/>
      <c r="L23" s="388"/>
      <c r="M23" s="388"/>
      <c r="N23" s="388"/>
      <c r="O23" s="388"/>
      <c r="P23" s="389"/>
      <c r="R23" s="359"/>
      <c r="S23" s="359"/>
      <c r="T23" s="359"/>
      <c r="U23" s="359"/>
      <c r="V23" s="359"/>
      <c r="W23" s="359"/>
      <c r="X23" s="359"/>
      <c r="Y23" s="360"/>
      <c r="Z23" s="396"/>
      <c r="AA23" s="401"/>
      <c r="AB23" s="298"/>
      <c r="AC23" s="298"/>
      <c r="AD23" s="298"/>
      <c r="AE23" s="298"/>
      <c r="AF23" s="298"/>
      <c r="AG23" s="298"/>
      <c r="AH23" s="402"/>
      <c r="AI23" s="401"/>
      <c r="AJ23" s="298"/>
      <c r="AK23" s="298"/>
      <c r="AL23" s="298"/>
      <c r="AM23" s="298"/>
      <c r="AN23" s="298"/>
      <c r="AO23" s="298"/>
      <c r="AP23" s="662"/>
      <c r="AQ23" s="368"/>
      <c r="AR23" s="369"/>
    </row>
    <row r="24" spans="1:44" ht="20.100000000000001" customHeight="1">
      <c r="A24" s="281"/>
      <c r="B24" s="416"/>
      <c r="C24" s="417"/>
      <c r="D24" s="417"/>
      <c r="E24" s="417"/>
      <c r="F24" s="417"/>
      <c r="G24" s="418"/>
      <c r="H24" s="411"/>
      <c r="I24" s="412"/>
      <c r="J24" s="412"/>
      <c r="K24" s="412"/>
      <c r="L24" s="412"/>
      <c r="M24" s="412"/>
      <c r="N24" s="412"/>
      <c r="O24" s="412"/>
      <c r="P24" s="413"/>
      <c r="Q24" s="88"/>
      <c r="R24" s="417"/>
      <c r="S24" s="417"/>
      <c r="T24" s="417"/>
      <c r="U24" s="417"/>
      <c r="V24" s="417"/>
      <c r="W24" s="417"/>
      <c r="X24" s="417"/>
      <c r="Y24" s="418"/>
      <c r="Z24" s="414"/>
      <c r="AA24" s="405"/>
      <c r="AB24" s="301"/>
      <c r="AC24" s="301"/>
      <c r="AD24" s="301"/>
      <c r="AE24" s="301"/>
      <c r="AF24" s="301"/>
      <c r="AG24" s="301"/>
      <c r="AH24" s="415"/>
      <c r="AI24" s="405"/>
      <c r="AJ24" s="301"/>
      <c r="AK24" s="301"/>
      <c r="AL24" s="301"/>
      <c r="AM24" s="301"/>
      <c r="AN24" s="301"/>
      <c r="AO24" s="301"/>
      <c r="AP24" s="665"/>
      <c r="AQ24" s="419"/>
      <c r="AR24" s="420"/>
    </row>
    <row r="25" spans="1:44" ht="20.100000000000001" customHeight="1">
      <c r="A25" s="279">
        <v>3</v>
      </c>
      <c r="B25" s="381" t="s">
        <v>189</v>
      </c>
      <c r="C25" s="382"/>
      <c r="D25" s="382"/>
      <c r="E25" s="382"/>
      <c r="F25" s="382"/>
      <c r="G25" s="383"/>
      <c r="H25" s="384"/>
      <c r="I25" s="385"/>
      <c r="J25" s="385"/>
      <c r="K25" s="385"/>
      <c r="L25" s="385"/>
      <c r="M25" s="385"/>
      <c r="N25" s="385"/>
      <c r="O25" s="385"/>
      <c r="P25" s="386"/>
      <c r="Q25" s="87" t="s">
        <v>190</v>
      </c>
      <c r="R25" s="393"/>
      <c r="S25" s="393"/>
      <c r="T25" s="393"/>
      <c r="U25" s="393"/>
      <c r="V25" s="393"/>
      <c r="W25" s="393"/>
      <c r="X25" s="393"/>
      <c r="Y25" s="394"/>
      <c r="Z25" s="395">
        <v>1</v>
      </c>
      <c r="AA25" s="398"/>
      <c r="AB25" s="399"/>
      <c r="AC25" s="399"/>
      <c r="AD25" s="399"/>
      <c r="AE25" s="399"/>
      <c r="AF25" s="399"/>
      <c r="AG25" s="399"/>
      <c r="AH25" s="400"/>
      <c r="AI25" s="398"/>
      <c r="AJ25" s="399"/>
      <c r="AK25" s="399"/>
      <c r="AL25" s="399"/>
      <c r="AM25" s="399"/>
      <c r="AN25" s="399"/>
      <c r="AO25" s="399"/>
      <c r="AP25" s="661"/>
      <c r="AQ25" s="372" t="s">
        <v>191</v>
      </c>
      <c r="AR25" s="373"/>
    </row>
    <row r="26" spans="1:44" ht="20.100000000000001" customHeight="1">
      <c r="A26" s="280"/>
      <c r="B26" s="358"/>
      <c r="C26" s="359"/>
      <c r="D26" s="359"/>
      <c r="E26" s="359"/>
      <c r="F26" s="359"/>
      <c r="G26" s="360"/>
      <c r="H26" s="387"/>
      <c r="I26" s="388"/>
      <c r="J26" s="388"/>
      <c r="K26" s="388"/>
      <c r="L26" s="388"/>
      <c r="M26" s="388"/>
      <c r="N26" s="388"/>
      <c r="O26" s="388"/>
      <c r="P26" s="389"/>
      <c r="Q26" s="88" t="s">
        <v>192</v>
      </c>
      <c r="R26" s="359"/>
      <c r="S26" s="359"/>
      <c r="T26" s="359"/>
      <c r="U26" s="359"/>
      <c r="V26" s="359"/>
      <c r="W26" s="359"/>
      <c r="X26" s="359"/>
      <c r="Y26" s="360"/>
      <c r="Z26" s="396"/>
      <c r="AA26" s="401"/>
      <c r="AB26" s="298"/>
      <c r="AC26" s="298"/>
      <c r="AD26" s="298"/>
      <c r="AE26" s="298"/>
      <c r="AF26" s="298"/>
      <c r="AG26" s="298"/>
      <c r="AH26" s="402"/>
      <c r="AI26" s="401"/>
      <c r="AJ26" s="298"/>
      <c r="AK26" s="298"/>
      <c r="AL26" s="298"/>
      <c r="AM26" s="298"/>
      <c r="AN26" s="298"/>
      <c r="AO26" s="298"/>
      <c r="AP26" s="662"/>
      <c r="AQ26" s="377"/>
      <c r="AR26" s="378"/>
    </row>
    <row r="27" spans="1:44" ht="20.100000000000001" customHeight="1">
      <c r="A27" s="280"/>
      <c r="B27" s="358"/>
      <c r="C27" s="359"/>
      <c r="D27" s="359"/>
      <c r="E27" s="359"/>
      <c r="F27" s="359"/>
      <c r="G27" s="360"/>
      <c r="H27" s="387"/>
      <c r="I27" s="388"/>
      <c r="J27" s="388"/>
      <c r="K27" s="388"/>
      <c r="L27" s="388"/>
      <c r="M27" s="388"/>
      <c r="N27" s="388"/>
      <c r="O27" s="388"/>
      <c r="P27" s="389"/>
      <c r="Q27" s="88" t="s">
        <v>193</v>
      </c>
      <c r="R27" s="359"/>
      <c r="S27" s="359"/>
      <c r="T27" s="359"/>
      <c r="U27" s="359"/>
      <c r="V27" s="359"/>
      <c r="W27" s="359"/>
      <c r="X27" s="359"/>
      <c r="Y27" s="360"/>
      <c r="Z27" s="396"/>
      <c r="AA27" s="401"/>
      <c r="AB27" s="298"/>
      <c r="AC27" s="298"/>
      <c r="AD27" s="298"/>
      <c r="AE27" s="298"/>
      <c r="AF27" s="298"/>
      <c r="AG27" s="298"/>
      <c r="AH27" s="402"/>
      <c r="AI27" s="401"/>
      <c r="AJ27" s="298"/>
      <c r="AK27" s="298"/>
      <c r="AL27" s="298"/>
      <c r="AM27" s="298"/>
      <c r="AN27" s="298"/>
      <c r="AO27" s="298"/>
      <c r="AP27" s="662"/>
      <c r="AQ27" s="379"/>
      <c r="AR27" s="380"/>
    </row>
    <row r="28" spans="1:44" ht="20.100000000000001" customHeight="1">
      <c r="A28" s="280"/>
      <c r="B28" s="374"/>
      <c r="C28" s="375"/>
      <c r="D28" s="375"/>
      <c r="E28" s="375"/>
      <c r="F28" s="375"/>
      <c r="G28" s="376"/>
      <c r="H28" s="387"/>
      <c r="I28" s="388"/>
      <c r="J28" s="388"/>
      <c r="K28" s="388"/>
      <c r="L28" s="388"/>
      <c r="M28" s="388"/>
      <c r="N28" s="388"/>
      <c r="O28" s="388"/>
      <c r="P28" s="389"/>
      <c r="Q28" s="88" t="s">
        <v>194</v>
      </c>
      <c r="R28" s="359"/>
      <c r="S28" s="359"/>
      <c r="T28" s="359"/>
      <c r="U28" s="359"/>
      <c r="V28" s="359"/>
      <c r="W28" s="359"/>
      <c r="X28" s="359"/>
      <c r="Y28" s="360"/>
      <c r="Z28" s="396"/>
      <c r="AA28" s="401"/>
      <c r="AB28" s="298"/>
      <c r="AC28" s="298"/>
      <c r="AD28" s="298"/>
      <c r="AE28" s="298"/>
      <c r="AF28" s="298"/>
      <c r="AG28" s="298"/>
      <c r="AH28" s="402"/>
      <c r="AI28" s="401"/>
      <c r="AJ28" s="298"/>
      <c r="AK28" s="298"/>
      <c r="AL28" s="298"/>
      <c r="AM28" s="298"/>
      <c r="AN28" s="298"/>
      <c r="AO28" s="298"/>
      <c r="AP28" s="662"/>
      <c r="AQ28" s="379"/>
      <c r="AR28" s="380"/>
    </row>
    <row r="29" spans="1:44" ht="20.100000000000001" customHeight="1">
      <c r="A29" s="280"/>
      <c r="B29" s="406" t="s">
        <v>195</v>
      </c>
      <c r="C29" s="407"/>
      <c r="D29" s="407"/>
      <c r="E29" s="407"/>
      <c r="F29" s="407"/>
      <c r="G29" s="408"/>
      <c r="H29" s="387"/>
      <c r="I29" s="388"/>
      <c r="J29" s="388"/>
      <c r="K29" s="388"/>
      <c r="L29" s="388"/>
      <c r="M29" s="388"/>
      <c r="N29" s="388"/>
      <c r="O29" s="388"/>
      <c r="P29" s="389"/>
      <c r="Q29" s="88" t="s">
        <v>196</v>
      </c>
      <c r="R29" s="359"/>
      <c r="S29" s="359"/>
      <c r="T29" s="359"/>
      <c r="U29" s="359"/>
      <c r="V29" s="359"/>
      <c r="W29" s="359"/>
      <c r="X29" s="359"/>
      <c r="Y29" s="360"/>
      <c r="Z29" s="396"/>
      <c r="AA29" s="401"/>
      <c r="AB29" s="298"/>
      <c r="AC29" s="298"/>
      <c r="AD29" s="298"/>
      <c r="AE29" s="298"/>
      <c r="AF29" s="298"/>
      <c r="AG29" s="298"/>
      <c r="AH29" s="402"/>
      <c r="AI29" s="401"/>
      <c r="AJ29" s="298"/>
      <c r="AK29" s="298"/>
      <c r="AL29" s="298"/>
      <c r="AM29" s="298"/>
      <c r="AN29" s="298"/>
      <c r="AO29" s="298"/>
      <c r="AP29" s="662"/>
      <c r="AQ29" s="409" t="s">
        <v>197</v>
      </c>
      <c r="AR29" s="410"/>
    </row>
    <row r="30" spans="1:44" ht="20.100000000000001" customHeight="1">
      <c r="A30" s="280"/>
      <c r="B30" s="358"/>
      <c r="C30" s="359"/>
      <c r="D30" s="359"/>
      <c r="E30" s="359"/>
      <c r="F30" s="359"/>
      <c r="G30" s="360"/>
      <c r="H30" s="387"/>
      <c r="I30" s="388"/>
      <c r="J30" s="388"/>
      <c r="K30" s="388"/>
      <c r="L30" s="388"/>
      <c r="M30" s="388"/>
      <c r="N30" s="388"/>
      <c r="O30" s="388"/>
      <c r="P30" s="389"/>
      <c r="Q30" s="88" t="s">
        <v>198</v>
      </c>
      <c r="R30" s="364"/>
      <c r="S30" s="364"/>
      <c r="T30" s="364"/>
      <c r="U30" s="364"/>
      <c r="V30" s="364"/>
      <c r="W30" s="364"/>
      <c r="X30" s="364"/>
      <c r="Y30" s="365"/>
      <c r="Z30" s="396"/>
      <c r="AA30" s="401"/>
      <c r="AB30" s="298"/>
      <c r="AC30" s="298"/>
      <c r="AD30" s="298"/>
      <c r="AE30" s="298"/>
      <c r="AF30" s="298"/>
      <c r="AG30" s="298"/>
      <c r="AH30" s="402"/>
      <c r="AI30" s="401"/>
      <c r="AJ30" s="298"/>
      <c r="AK30" s="298"/>
      <c r="AL30" s="298"/>
      <c r="AM30" s="298"/>
      <c r="AN30" s="298"/>
      <c r="AO30" s="298"/>
      <c r="AP30" s="662"/>
      <c r="AQ30" s="366">
        <f>Z25*AQ26</f>
        <v>0</v>
      </c>
      <c r="AR30" s="367"/>
    </row>
    <row r="31" spans="1:44" ht="20.100000000000001" customHeight="1">
      <c r="A31" s="280"/>
      <c r="B31" s="358"/>
      <c r="C31" s="359"/>
      <c r="D31" s="359"/>
      <c r="E31" s="359"/>
      <c r="F31" s="359"/>
      <c r="G31" s="360"/>
      <c r="H31" s="387"/>
      <c r="I31" s="388"/>
      <c r="J31" s="388"/>
      <c r="K31" s="388"/>
      <c r="L31" s="388"/>
      <c r="M31" s="388"/>
      <c r="N31" s="388"/>
      <c r="O31" s="388"/>
      <c r="P31" s="389"/>
      <c r="Q31" s="200"/>
      <c r="R31" s="359"/>
      <c r="S31" s="359"/>
      <c r="T31" s="359"/>
      <c r="U31" s="359"/>
      <c r="V31" s="359"/>
      <c r="W31" s="359"/>
      <c r="X31" s="359"/>
      <c r="Y31" s="360"/>
      <c r="Z31" s="396"/>
      <c r="AA31" s="401"/>
      <c r="AB31" s="298"/>
      <c r="AC31" s="298"/>
      <c r="AD31" s="298"/>
      <c r="AE31" s="298"/>
      <c r="AF31" s="298"/>
      <c r="AG31" s="298"/>
      <c r="AH31" s="402"/>
      <c r="AI31" s="401"/>
      <c r="AJ31" s="298"/>
      <c r="AK31" s="298"/>
      <c r="AL31" s="298"/>
      <c r="AM31" s="298"/>
      <c r="AN31" s="298"/>
      <c r="AO31" s="298"/>
      <c r="AP31" s="662"/>
      <c r="AQ31" s="368"/>
      <c r="AR31" s="369"/>
    </row>
    <row r="32" spans="1:44" ht="20.100000000000001" customHeight="1" thickBot="1">
      <c r="A32" s="303"/>
      <c r="B32" s="361"/>
      <c r="C32" s="362"/>
      <c r="D32" s="362"/>
      <c r="E32" s="362"/>
      <c r="F32" s="362"/>
      <c r="G32" s="363"/>
      <c r="H32" s="390"/>
      <c r="I32" s="391"/>
      <c r="J32" s="391"/>
      <c r="K32" s="391"/>
      <c r="L32" s="391"/>
      <c r="M32" s="391"/>
      <c r="N32" s="391"/>
      <c r="O32" s="391"/>
      <c r="P32" s="392"/>
      <c r="Q32" s="89"/>
      <c r="R32" s="362"/>
      <c r="S32" s="362"/>
      <c r="T32" s="362"/>
      <c r="U32" s="362"/>
      <c r="V32" s="362"/>
      <c r="W32" s="362"/>
      <c r="X32" s="362"/>
      <c r="Y32" s="363"/>
      <c r="Z32" s="397"/>
      <c r="AA32" s="403"/>
      <c r="AB32" s="308"/>
      <c r="AC32" s="308"/>
      <c r="AD32" s="308"/>
      <c r="AE32" s="308"/>
      <c r="AF32" s="308"/>
      <c r="AG32" s="308"/>
      <c r="AH32" s="404"/>
      <c r="AI32" s="403"/>
      <c r="AJ32" s="308"/>
      <c r="AK32" s="308"/>
      <c r="AL32" s="308"/>
      <c r="AM32" s="308"/>
      <c r="AN32" s="308"/>
      <c r="AO32" s="308"/>
      <c r="AP32" s="666"/>
      <c r="AQ32" s="370"/>
      <c r="AR32" s="371"/>
    </row>
    <row r="33" spans="1:44" ht="20.100000000000001" customHeight="1">
      <c r="Z33" s="90">
        <f>SUM(Z9:Z32)</f>
        <v>3</v>
      </c>
      <c r="AA33" s="201"/>
      <c r="AB33" s="201"/>
      <c r="AC33" s="201"/>
      <c r="AD33" s="201"/>
      <c r="AE33" s="201"/>
      <c r="AF33" s="201"/>
      <c r="AG33" s="201"/>
      <c r="AH33" s="201"/>
      <c r="AQ33" s="344">
        <f>AQ14+AQ22+AQ30</f>
        <v>0</v>
      </c>
      <c r="AR33" s="344"/>
    </row>
    <row r="34" spans="1:44" ht="42.75" customHeight="1" thickBot="1"/>
    <row r="35" spans="1:44" s="92" customFormat="1" ht="27.75" customHeight="1" thickBot="1">
      <c r="A35" s="345" t="s">
        <v>199</v>
      </c>
      <c r="B35" s="345"/>
      <c r="C35" s="345"/>
      <c r="D35" s="345"/>
      <c r="E35" s="345"/>
      <c r="F35" s="345" t="s">
        <v>200</v>
      </c>
      <c r="G35" s="345"/>
      <c r="H35" s="345"/>
      <c r="I35" s="345"/>
      <c r="J35" s="345"/>
      <c r="K35" s="345"/>
      <c r="L35" s="346"/>
      <c r="M35" s="347"/>
      <c r="N35" s="347"/>
      <c r="O35" s="347"/>
      <c r="P35" s="347"/>
      <c r="Q35" s="347"/>
      <c r="R35" s="347"/>
      <c r="S35" s="347"/>
      <c r="T35" s="347"/>
      <c r="U35" s="347"/>
      <c r="V35" s="347"/>
      <c r="W35" s="347"/>
      <c r="X35" s="347"/>
      <c r="Y35" s="347"/>
      <c r="Z35" s="347"/>
      <c r="AA35" s="347"/>
      <c r="AB35" s="347"/>
      <c r="AC35" s="347"/>
      <c r="AD35" s="347"/>
      <c r="AE35" s="347"/>
      <c r="AF35" s="347"/>
      <c r="AG35" s="348"/>
    </row>
    <row r="36" spans="1:44" s="92" customFormat="1" ht="15" customHeight="1" thickBot="1">
      <c r="A36" s="202"/>
      <c r="B36" s="202"/>
      <c r="C36" s="202"/>
      <c r="D36" s="202"/>
      <c r="E36" s="202"/>
      <c r="F36" s="202"/>
      <c r="G36" s="202"/>
      <c r="H36" s="202"/>
      <c r="I36" s="202"/>
      <c r="J36" s="202"/>
      <c r="K36" s="202"/>
      <c r="L36" s="203"/>
      <c r="M36" s="203"/>
      <c r="N36" s="203"/>
      <c r="O36" s="203"/>
      <c r="P36" s="203"/>
      <c r="Q36" s="203"/>
      <c r="R36" s="203"/>
      <c r="S36" s="203"/>
      <c r="T36" s="203"/>
      <c r="U36" s="203"/>
      <c r="V36" s="203"/>
      <c r="W36" s="203"/>
      <c r="X36" s="203"/>
      <c r="Y36" s="203"/>
      <c r="Z36" s="203"/>
      <c r="AA36" s="203"/>
      <c r="AB36" s="203"/>
      <c r="AC36" s="203"/>
      <c r="AD36" s="203"/>
      <c r="AE36" s="203"/>
      <c r="AF36" s="203"/>
      <c r="AG36" s="203"/>
    </row>
    <row r="37" spans="1:44" s="85" customFormat="1" ht="24" customHeight="1">
      <c r="A37" s="349" t="s">
        <v>173</v>
      </c>
      <c r="B37" s="350"/>
      <c r="C37" s="350"/>
      <c r="D37" s="350"/>
      <c r="E37" s="350"/>
      <c r="F37" s="350"/>
      <c r="G37" s="350"/>
      <c r="H37" s="350"/>
      <c r="I37" s="350"/>
      <c r="J37" s="350"/>
      <c r="K37" s="350"/>
      <c r="L37" s="350"/>
      <c r="M37" s="350"/>
      <c r="N37" s="350"/>
      <c r="O37" s="350"/>
      <c r="P37" s="350"/>
      <c r="Q37" s="350"/>
      <c r="R37" s="350"/>
      <c r="S37" s="350"/>
      <c r="T37" s="350"/>
      <c r="U37" s="350"/>
      <c r="V37" s="350"/>
      <c r="W37" s="350"/>
      <c r="X37" s="351"/>
      <c r="Y37" s="352" t="s">
        <v>201</v>
      </c>
      <c r="Z37" s="353"/>
      <c r="AA37" s="353"/>
      <c r="AB37" s="353"/>
      <c r="AC37" s="353"/>
      <c r="AD37" s="353"/>
      <c r="AE37" s="353"/>
      <c r="AF37" s="353"/>
      <c r="AG37" s="354"/>
      <c r="AH37" s="355" t="s">
        <v>202</v>
      </c>
      <c r="AI37" s="356"/>
      <c r="AJ37" s="356"/>
      <c r="AK37" s="356"/>
      <c r="AL37" s="356"/>
      <c r="AM37" s="356"/>
      <c r="AN37" s="356"/>
      <c r="AO37" s="356"/>
      <c r="AP37" s="356"/>
      <c r="AQ37" s="356"/>
      <c r="AR37" s="357"/>
    </row>
    <row r="38" spans="1:44" ht="15.6" customHeight="1">
      <c r="A38" s="279" t="s">
        <v>177</v>
      </c>
      <c r="B38" s="310" t="s">
        <v>203</v>
      </c>
      <c r="C38" s="311"/>
      <c r="D38" s="311"/>
      <c r="E38" s="311"/>
      <c r="F38" s="311"/>
      <c r="G38" s="311"/>
      <c r="H38" s="311"/>
      <c r="I38" s="311"/>
      <c r="J38" s="311"/>
      <c r="K38" s="312"/>
      <c r="L38" s="310" t="s">
        <v>179</v>
      </c>
      <c r="M38" s="311"/>
      <c r="N38" s="311"/>
      <c r="O38" s="311"/>
      <c r="P38" s="311"/>
      <c r="Q38" s="311"/>
      <c r="R38" s="311"/>
      <c r="S38" s="311"/>
      <c r="T38" s="311"/>
      <c r="U38" s="311"/>
      <c r="V38" s="311"/>
      <c r="W38" s="311"/>
      <c r="X38" s="319"/>
      <c r="Y38" s="320" t="s">
        <v>182</v>
      </c>
      <c r="Z38" s="321"/>
      <c r="AA38" s="321"/>
      <c r="AB38" s="321"/>
      <c r="AC38" s="321"/>
      <c r="AD38" s="321"/>
      <c r="AE38" s="321"/>
      <c r="AF38" s="321"/>
      <c r="AG38" s="322"/>
      <c r="AH38" s="323" t="s">
        <v>204</v>
      </c>
      <c r="AI38" s="324"/>
      <c r="AJ38" s="324"/>
      <c r="AK38" s="324"/>
      <c r="AL38" s="324"/>
      <c r="AM38" s="324"/>
      <c r="AN38" s="324"/>
      <c r="AO38" s="324"/>
      <c r="AP38" s="324"/>
      <c r="AQ38" s="324"/>
      <c r="AR38" s="325"/>
    </row>
    <row r="39" spans="1:44" ht="15.6" customHeight="1">
      <c r="A39" s="280"/>
      <c r="B39" s="313"/>
      <c r="C39" s="314"/>
      <c r="D39" s="314"/>
      <c r="E39" s="314"/>
      <c r="F39" s="314"/>
      <c r="G39" s="314"/>
      <c r="H39" s="314"/>
      <c r="I39" s="314"/>
      <c r="J39" s="314"/>
      <c r="K39" s="315"/>
      <c r="L39" s="326" t="s">
        <v>205</v>
      </c>
      <c r="M39" s="327"/>
      <c r="N39" s="327"/>
      <c r="O39" s="327"/>
      <c r="P39" s="327"/>
      <c r="Q39" s="327"/>
      <c r="R39" s="327"/>
      <c r="S39" s="327"/>
      <c r="T39" s="327"/>
      <c r="U39" s="327"/>
      <c r="V39" s="327"/>
      <c r="W39" s="327"/>
      <c r="X39" s="328"/>
      <c r="Y39" s="332" t="s">
        <v>206</v>
      </c>
      <c r="Z39" s="333"/>
      <c r="AA39" s="333"/>
      <c r="AB39" s="333"/>
      <c r="AC39" s="333"/>
      <c r="AD39" s="333"/>
      <c r="AE39" s="333"/>
      <c r="AF39" s="333"/>
      <c r="AG39" s="334"/>
      <c r="AH39" s="338" t="s">
        <v>207</v>
      </c>
      <c r="AI39" s="339"/>
      <c r="AJ39" s="339"/>
      <c r="AK39" s="339"/>
      <c r="AL39" s="339"/>
      <c r="AM39" s="339"/>
      <c r="AN39" s="339"/>
      <c r="AO39" s="339"/>
      <c r="AP39" s="339"/>
      <c r="AQ39" s="339"/>
      <c r="AR39" s="340"/>
    </row>
    <row r="40" spans="1:44">
      <c r="A40" s="281"/>
      <c r="B40" s="316"/>
      <c r="C40" s="317"/>
      <c r="D40" s="317"/>
      <c r="E40" s="317"/>
      <c r="F40" s="317"/>
      <c r="G40" s="317"/>
      <c r="H40" s="317"/>
      <c r="I40" s="317"/>
      <c r="J40" s="317"/>
      <c r="K40" s="318"/>
      <c r="L40" s="329"/>
      <c r="M40" s="330"/>
      <c r="N40" s="330"/>
      <c r="O40" s="330"/>
      <c r="P40" s="330"/>
      <c r="Q40" s="330"/>
      <c r="R40" s="330"/>
      <c r="S40" s="330"/>
      <c r="T40" s="330"/>
      <c r="U40" s="330"/>
      <c r="V40" s="330"/>
      <c r="W40" s="330"/>
      <c r="X40" s="331"/>
      <c r="Y40" s="335"/>
      <c r="Z40" s="336"/>
      <c r="AA40" s="336"/>
      <c r="AB40" s="336"/>
      <c r="AC40" s="336"/>
      <c r="AD40" s="336"/>
      <c r="AE40" s="336"/>
      <c r="AF40" s="336"/>
      <c r="AG40" s="337"/>
      <c r="AH40" s="341"/>
      <c r="AI40" s="342"/>
      <c r="AJ40" s="342"/>
      <c r="AK40" s="342"/>
      <c r="AL40" s="342"/>
      <c r="AM40" s="342"/>
      <c r="AN40" s="342"/>
      <c r="AO40" s="342"/>
      <c r="AP40" s="342"/>
      <c r="AQ40" s="342"/>
      <c r="AR40" s="343"/>
    </row>
    <row r="41" spans="1:44" ht="20.100000000000001" customHeight="1">
      <c r="A41" s="279">
        <v>1</v>
      </c>
      <c r="B41" s="282" t="s">
        <v>208</v>
      </c>
      <c r="C41" s="283"/>
      <c r="D41" s="283"/>
      <c r="E41" s="283"/>
      <c r="F41" s="283"/>
      <c r="G41" s="283"/>
      <c r="H41" s="283"/>
      <c r="I41" s="283"/>
      <c r="J41" s="283"/>
      <c r="K41" s="284"/>
      <c r="L41" s="285"/>
      <c r="M41" s="286"/>
      <c r="N41" s="286"/>
      <c r="O41" s="286"/>
      <c r="P41" s="286"/>
      <c r="Q41" s="286"/>
      <c r="R41" s="286"/>
      <c r="S41" s="286"/>
      <c r="T41" s="286"/>
      <c r="U41" s="286"/>
      <c r="V41" s="286"/>
      <c r="W41" s="286"/>
      <c r="X41" s="287"/>
      <c r="Y41" s="195"/>
      <c r="Z41" s="195"/>
      <c r="AA41" s="195"/>
      <c r="AB41" s="195"/>
      <c r="AC41" s="195"/>
      <c r="AD41" s="195"/>
      <c r="AE41" s="195"/>
      <c r="AF41" s="195"/>
      <c r="AG41" s="195"/>
      <c r="AH41" s="204"/>
      <c r="AI41" s="205"/>
      <c r="AJ41" s="205"/>
      <c r="AK41" s="205"/>
      <c r="AL41" s="205"/>
      <c r="AM41" s="205"/>
      <c r="AN41" s="205"/>
      <c r="AO41" s="205"/>
      <c r="AP41" s="205"/>
      <c r="AQ41" s="205"/>
      <c r="AR41" s="206"/>
    </row>
    <row r="42" spans="1:44" ht="20.100000000000001" customHeight="1">
      <c r="A42" s="280"/>
      <c r="B42" s="294"/>
      <c r="C42" s="295"/>
      <c r="D42" s="295"/>
      <c r="E42" s="295"/>
      <c r="F42" s="295"/>
      <c r="G42" s="295"/>
      <c r="H42" s="295"/>
      <c r="I42" s="295"/>
      <c r="J42" s="295"/>
      <c r="K42" s="296"/>
      <c r="L42" s="288"/>
      <c r="M42" s="289"/>
      <c r="N42" s="289"/>
      <c r="O42" s="289"/>
      <c r="P42" s="289"/>
      <c r="Q42" s="289"/>
      <c r="R42" s="289"/>
      <c r="S42" s="289"/>
      <c r="T42" s="289"/>
      <c r="U42" s="289"/>
      <c r="V42" s="289"/>
      <c r="W42" s="289"/>
      <c r="X42" s="290"/>
      <c r="Y42" s="196"/>
      <c r="Z42" s="196"/>
      <c r="AA42" s="196"/>
      <c r="AB42" s="196"/>
      <c r="AC42" s="196"/>
      <c r="AD42" s="196"/>
      <c r="AE42" s="196"/>
      <c r="AF42" s="196"/>
      <c r="AG42" s="196"/>
      <c r="AH42" s="207"/>
      <c r="AI42" s="83"/>
      <c r="AJ42" s="83"/>
      <c r="AK42" s="83"/>
      <c r="AL42" s="83"/>
      <c r="AM42" s="83"/>
      <c r="AN42" s="83"/>
      <c r="AO42" s="83"/>
      <c r="AP42" s="83"/>
      <c r="AQ42" s="83"/>
      <c r="AR42" s="208"/>
    </row>
    <row r="43" spans="1:44" ht="20.100000000000001" customHeight="1">
      <c r="A43" s="280"/>
      <c r="B43" s="297"/>
      <c r="C43" s="298"/>
      <c r="D43" s="298"/>
      <c r="E43" s="298"/>
      <c r="F43" s="298"/>
      <c r="G43" s="298"/>
      <c r="H43" s="298"/>
      <c r="I43" s="298"/>
      <c r="J43" s="298"/>
      <c r="K43" s="299"/>
      <c r="L43" s="288"/>
      <c r="M43" s="289"/>
      <c r="N43" s="289"/>
      <c r="O43" s="289"/>
      <c r="P43" s="289"/>
      <c r="Q43" s="289"/>
      <c r="R43" s="289"/>
      <c r="S43" s="289"/>
      <c r="T43" s="289"/>
      <c r="U43" s="289"/>
      <c r="V43" s="289"/>
      <c r="W43" s="289"/>
      <c r="X43" s="290"/>
      <c r="Y43" s="196"/>
      <c r="Z43" s="196"/>
      <c r="AA43" s="196"/>
      <c r="AB43" s="196"/>
      <c r="AC43" s="196"/>
      <c r="AD43" s="196"/>
      <c r="AE43" s="196"/>
      <c r="AF43" s="196"/>
      <c r="AG43" s="196"/>
      <c r="AH43" s="207"/>
      <c r="AI43" s="83"/>
      <c r="AJ43" s="83"/>
      <c r="AK43" s="83"/>
      <c r="AL43" s="83"/>
      <c r="AM43" s="83"/>
      <c r="AN43" s="83"/>
      <c r="AO43" s="83"/>
      <c r="AP43" s="83"/>
      <c r="AQ43" s="83"/>
      <c r="AR43" s="208"/>
    </row>
    <row r="44" spans="1:44" ht="20.100000000000001" customHeight="1">
      <c r="A44" s="280"/>
      <c r="B44" s="297"/>
      <c r="C44" s="298"/>
      <c r="D44" s="298"/>
      <c r="E44" s="298"/>
      <c r="F44" s="298"/>
      <c r="G44" s="298"/>
      <c r="H44" s="298"/>
      <c r="I44" s="298"/>
      <c r="J44" s="298"/>
      <c r="K44" s="299"/>
      <c r="L44" s="288"/>
      <c r="M44" s="289"/>
      <c r="N44" s="289"/>
      <c r="O44" s="289"/>
      <c r="P44" s="289"/>
      <c r="Q44" s="289"/>
      <c r="R44" s="289"/>
      <c r="S44" s="289"/>
      <c r="T44" s="289"/>
      <c r="U44" s="289"/>
      <c r="V44" s="289"/>
      <c r="W44" s="289"/>
      <c r="X44" s="290"/>
      <c r="Y44" s="196"/>
      <c r="Z44" s="196"/>
      <c r="AA44" s="196"/>
      <c r="AB44" s="196"/>
      <c r="AC44" s="196"/>
      <c r="AD44" s="196"/>
      <c r="AE44" s="196"/>
      <c r="AF44" s="196"/>
      <c r="AG44" s="196"/>
      <c r="AH44" s="207"/>
      <c r="AI44" s="83"/>
      <c r="AJ44" s="83"/>
      <c r="AK44" s="83"/>
      <c r="AL44" s="83"/>
      <c r="AM44" s="83"/>
      <c r="AN44" s="83"/>
      <c r="AO44" s="83"/>
      <c r="AP44" s="83"/>
      <c r="AQ44" s="83"/>
      <c r="AR44" s="208"/>
    </row>
    <row r="45" spans="1:44" ht="20.100000000000001" customHeight="1">
      <c r="A45" s="280"/>
      <c r="B45" s="297"/>
      <c r="C45" s="298"/>
      <c r="D45" s="298"/>
      <c r="E45" s="298"/>
      <c r="F45" s="298"/>
      <c r="G45" s="298"/>
      <c r="H45" s="298"/>
      <c r="I45" s="298"/>
      <c r="J45" s="298"/>
      <c r="K45" s="299"/>
      <c r="L45" s="288"/>
      <c r="M45" s="289"/>
      <c r="N45" s="289"/>
      <c r="O45" s="289"/>
      <c r="P45" s="289"/>
      <c r="Q45" s="289"/>
      <c r="R45" s="289"/>
      <c r="S45" s="289"/>
      <c r="T45" s="289"/>
      <c r="U45" s="289"/>
      <c r="V45" s="289"/>
      <c r="W45" s="289"/>
      <c r="X45" s="290"/>
      <c r="Y45" s="196"/>
      <c r="Z45" s="196"/>
      <c r="AA45" s="196"/>
      <c r="AB45" s="196"/>
      <c r="AC45" s="196"/>
      <c r="AD45" s="196"/>
      <c r="AE45" s="196"/>
      <c r="AF45" s="196"/>
      <c r="AG45" s="196"/>
      <c r="AH45" s="207"/>
      <c r="AI45" s="83"/>
      <c r="AJ45" s="83"/>
      <c r="AK45" s="83"/>
      <c r="AL45" s="83"/>
      <c r="AM45" s="83"/>
      <c r="AN45" s="83"/>
      <c r="AO45" s="83"/>
      <c r="AP45" s="83"/>
      <c r="AQ45" s="83"/>
      <c r="AR45" s="208"/>
    </row>
    <row r="46" spans="1:44" ht="20.100000000000001" customHeight="1">
      <c r="A46" s="280"/>
      <c r="B46" s="297"/>
      <c r="C46" s="298"/>
      <c r="D46" s="298"/>
      <c r="E46" s="298"/>
      <c r="F46" s="298"/>
      <c r="G46" s="298"/>
      <c r="H46" s="298"/>
      <c r="I46" s="298"/>
      <c r="J46" s="298"/>
      <c r="K46" s="299"/>
      <c r="L46" s="288"/>
      <c r="M46" s="289"/>
      <c r="N46" s="289"/>
      <c r="O46" s="289"/>
      <c r="P46" s="289"/>
      <c r="Q46" s="289"/>
      <c r="R46" s="289"/>
      <c r="S46" s="289"/>
      <c r="T46" s="289"/>
      <c r="U46" s="289"/>
      <c r="V46" s="289"/>
      <c r="W46" s="289"/>
      <c r="X46" s="290"/>
      <c r="Y46" s="196"/>
      <c r="Z46" s="196"/>
      <c r="AA46" s="196"/>
      <c r="AB46" s="196"/>
      <c r="AC46" s="196"/>
      <c r="AD46" s="196"/>
      <c r="AE46" s="196"/>
      <c r="AF46" s="196"/>
      <c r="AG46" s="196"/>
      <c r="AH46" s="207"/>
      <c r="AI46" s="83"/>
      <c r="AJ46" s="83"/>
      <c r="AK46" s="83"/>
      <c r="AL46" s="83"/>
      <c r="AM46" s="83"/>
      <c r="AN46" s="83"/>
      <c r="AO46" s="83"/>
      <c r="AP46" s="83"/>
      <c r="AQ46" s="83"/>
      <c r="AR46" s="208"/>
    </row>
    <row r="47" spans="1:44" ht="20.100000000000001" customHeight="1">
      <c r="A47" s="281"/>
      <c r="B47" s="300"/>
      <c r="C47" s="301"/>
      <c r="D47" s="301"/>
      <c r="E47" s="301"/>
      <c r="F47" s="301"/>
      <c r="G47" s="301"/>
      <c r="H47" s="301"/>
      <c r="I47" s="301"/>
      <c r="J47" s="301"/>
      <c r="K47" s="302"/>
      <c r="L47" s="291"/>
      <c r="M47" s="292"/>
      <c r="N47" s="292"/>
      <c r="O47" s="292"/>
      <c r="P47" s="292"/>
      <c r="Q47" s="292"/>
      <c r="R47" s="292"/>
      <c r="S47" s="292"/>
      <c r="T47" s="292"/>
      <c r="U47" s="292"/>
      <c r="V47" s="292"/>
      <c r="W47" s="292"/>
      <c r="X47" s="293"/>
      <c r="Y47" s="198"/>
      <c r="Z47" s="198"/>
      <c r="AA47" s="198"/>
      <c r="AB47" s="198"/>
      <c r="AC47" s="198"/>
      <c r="AD47" s="198"/>
      <c r="AE47" s="198"/>
      <c r="AF47" s="198"/>
      <c r="AG47" s="198"/>
      <c r="AH47" s="209"/>
      <c r="AI47" s="210"/>
      <c r="AJ47" s="210"/>
      <c r="AK47" s="210"/>
      <c r="AL47" s="210"/>
      <c r="AM47" s="210"/>
      <c r="AN47" s="210"/>
      <c r="AO47" s="210"/>
      <c r="AP47" s="210"/>
      <c r="AQ47" s="210"/>
      <c r="AR47" s="211"/>
    </row>
    <row r="48" spans="1:44" ht="20.100000000000001" customHeight="1">
      <c r="A48" s="279">
        <v>2</v>
      </c>
      <c r="B48" s="282" t="s">
        <v>209</v>
      </c>
      <c r="C48" s="283"/>
      <c r="D48" s="283"/>
      <c r="E48" s="283"/>
      <c r="F48" s="283"/>
      <c r="G48" s="283"/>
      <c r="H48" s="283"/>
      <c r="I48" s="283"/>
      <c r="J48" s="283"/>
      <c r="K48" s="284"/>
      <c r="L48" s="285"/>
      <c r="M48" s="286"/>
      <c r="N48" s="286"/>
      <c r="O48" s="286"/>
      <c r="P48" s="286"/>
      <c r="Q48" s="286"/>
      <c r="R48" s="286"/>
      <c r="S48" s="286"/>
      <c r="T48" s="286"/>
      <c r="U48" s="286"/>
      <c r="V48" s="286"/>
      <c r="W48" s="286"/>
      <c r="X48" s="287"/>
      <c r="Y48" s="195"/>
      <c r="Z48" s="195"/>
      <c r="AA48" s="195"/>
      <c r="AB48" s="195"/>
      <c r="AC48" s="195"/>
      <c r="AD48" s="195"/>
      <c r="AE48" s="195"/>
      <c r="AF48" s="195"/>
      <c r="AG48" s="195"/>
      <c r="AH48" s="204"/>
      <c r="AI48" s="205"/>
      <c r="AJ48" s="205"/>
      <c r="AK48" s="205"/>
      <c r="AL48" s="205"/>
      <c r="AM48" s="205"/>
      <c r="AN48" s="205"/>
      <c r="AO48" s="205"/>
      <c r="AP48" s="205"/>
      <c r="AQ48" s="205"/>
      <c r="AR48" s="206"/>
    </row>
    <row r="49" spans="1:44" ht="20.100000000000001" customHeight="1">
      <c r="A49" s="280"/>
      <c r="B49" s="294"/>
      <c r="C49" s="295"/>
      <c r="D49" s="295"/>
      <c r="E49" s="295"/>
      <c r="F49" s="295"/>
      <c r="G49" s="295"/>
      <c r="H49" s="295"/>
      <c r="I49" s="295"/>
      <c r="J49" s="295"/>
      <c r="K49" s="296"/>
      <c r="L49" s="288"/>
      <c r="M49" s="289"/>
      <c r="N49" s="289"/>
      <c r="O49" s="289"/>
      <c r="P49" s="289"/>
      <c r="Q49" s="289"/>
      <c r="R49" s="289"/>
      <c r="S49" s="289"/>
      <c r="T49" s="289"/>
      <c r="U49" s="289"/>
      <c r="V49" s="289"/>
      <c r="W49" s="289"/>
      <c r="X49" s="290"/>
      <c r="Y49" s="196"/>
      <c r="Z49" s="196"/>
      <c r="AA49" s="196"/>
      <c r="AB49" s="196"/>
      <c r="AC49" s="196"/>
      <c r="AD49" s="196"/>
      <c r="AE49" s="196"/>
      <c r="AF49" s="196"/>
      <c r="AG49" s="196"/>
      <c r="AH49" s="207"/>
      <c r="AI49" s="83"/>
      <c r="AJ49" s="83"/>
      <c r="AK49" s="83"/>
      <c r="AL49" s="83"/>
      <c r="AM49" s="83"/>
      <c r="AN49" s="83"/>
      <c r="AO49" s="83"/>
      <c r="AP49" s="83"/>
      <c r="AQ49" s="83"/>
      <c r="AR49" s="208"/>
    </row>
    <row r="50" spans="1:44" ht="20.100000000000001" customHeight="1">
      <c r="A50" s="280"/>
      <c r="B50" s="297"/>
      <c r="C50" s="298"/>
      <c r="D50" s="298"/>
      <c r="E50" s="298"/>
      <c r="F50" s="298"/>
      <c r="G50" s="298"/>
      <c r="H50" s="298"/>
      <c r="I50" s="298"/>
      <c r="J50" s="298"/>
      <c r="K50" s="299"/>
      <c r="L50" s="288"/>
      <c r="M50" s="289"/>
      <c r="N50" s="289"/>
      <c r="O50" s="289"/>
      <c r="P50" s="289"/>
      <c r="Q50" s="289"/>
      <c r="R50" s="289"/>
      <c r="S50" s="289"/>
      <c r="T50" s="289"/>
      <c r="U50" s="289"/>
      <c r="V50" s="289"/>
      <c r="W50" s="289"/>
      <c r="X50" s="290"/>
      <c r="Y50" s="196"/>
      <c r="Z50" s="196"/>
      <c r="AA50" s="196"/>
      <c r="AB50" s="196"/>
      <c r="AC50" s="196"/>
      <c r="AD50" s="196"/>
      <c r="AE50" s="196"/>
      <c r="AF50" s="196"/>
      <c r="AG50" s="196"/>
      <c r="AH50" s="207"/>
      <c r="AI50" s="83"/>
      <c r="AJ50" s="83"/>
      <c r="AK50" s="83"/>
      <c r="AL50" s="83"/>
      <c r="AM50" s="83"/>
      <c r="AN50" s="83"/>
      <c r="AO50" s="83"/>
      <c r="AP50" s="83"/>
      <c r="AQ50" s="83"/>
      <c r="AR50" s="208"/>
    </row>
    <row r="51" spans="1:44" ht="20.100000000000001" customHeight="1">
      <c r="A51" s="280"/>
      <c r="B51" s="297"/>
      <c r="C51" s="298"/>
      <c r="D51" s="298"/>
      <c r="E51" s="298"/>
      <c r="F51" s="298"/>
      <c r="G51" s="298"/>
      <c r="H51" s="298"/>
      <c r="I51" s="298"/>
      <c r="J51" s="298"/>
      <c r="K51" s="299"/>
      <c r="L51" s="288"/>
      <c r="M51" s="289"/>
      <c r="N51" s="289"/>
      <c r="O51" s="289"/>
      <c r="P51" s="289"/>
      <c r="Q51" s="289"/>
      <c r="R51" s="289"/>
      <c r="S51" s="289"/>
      <c r="T51" s="289"/>
      <c r="U51" s="289"/>
      <c r="V51" s="289"/>
      <c r="W51" s="289"/>
      <c r="X51" s="290"/>
      <c r="Y51" s="196"/>
      <c r="Z51" s="196"/>
      <c r="AA51" s="196"/>
      <c r="AB51" s="196"/>
      <c r="AC51" s="196"/>
      <c r="AD51" s="196"/>
      <c r="AE51" s="196"/>
      <c r="AF51" s="196"/>
      <c r="AG51" s="196"/>
      <c r="AH51" s="207"/>
      <c r="AI51" s="83"/>
      <c r="AJ51" s="83"/>
      <c r="AK51" s="83"/>
      <c r="AL51" s="83"/>
      <c r="AM51" s="83"/>
      <c r="AN51" s="83"/>
      <c r="AO51" s="83"/>
      <c r="AP51" s="83"/>
      <c r="AQ51" s="83"/>
      <c r="AR51" s="208"/>
    </row>
    <row r="52" spans="1:44" ht="20.100000000000001" customHeight="1">
      <c r="A52" s="280"/>
      <c r="B52" s="297"/>
      <c r="C52" s="298"/>
      <c r="D52" s="298"/>
      <c r="E52" s="298"/>
      <c r="F52" s="298"/>
      <c r="G52" s="298"/>
      <c r="H52" s="298"/>
      <c r="I52" s="298"/>
      <c r="J52" s="298"/>
      <c r="K52" s="299"/>
      <c r="L52" s="288"/>
      <c r="M52" s="289"/>
      <c r="N52" s="289"/>
      <c r="O52" s="289"/>
      <c r="P52" s="289"/>
      <c r="Q52" s="289"/>
      <c r="R52" s="289"/>
      <c r="S52" s="289"/>
      <c r="T52" s="289"/>
      <c r="U52" s="289"/>
      <c r="V52" s="289"/>
      <c r="W52" s="289"/>
      <c r="X52" s="290"/>
      <c r="Y52" s="196"/>
      <c r="Z52" s="196"/>
      <c r="AA52" s="196"/>
      <c r="AB52" s="196"/>
      <c r="AC52" s="196"/>
      <c r="AD52" s="196"/>
      <c r="AE52" s="196"/>
      <c r="AF52" s="196"/>
      <c r="AG52" s="196"/>
      <c r="AH52" s="207"/>
      <c r="AI52" s="83"/>
      <c r="AJ52" s="83"/>
      <c r="AK52" s="83"/>
      <c r="AL52" s="83"/>
      <c r="AM52" s="83"/>
      <c r="AN52" s="83"/>
      <c r="AO52" s="83"/>
      <c r="AP52" s="83"/>
      <c r="AQ52" s="83"/>
      <c r="AR52" s="208"/>
    </row>
    <row r="53" spans="1:44" ht="20.100000000000001" customHeight="1">
      <c r="A53" s="280"/>
      <c r="B53" s="297"/>
      <c r="C53" s="298"/>
      <c r="D53" s="298"/>
      <c r="E53" s="298"/>
      <c r="F53" s="298"/>
      <c r="G53" s="298"/>
      <c r="H53" s="298"/>
      <c r="I53" s="298"/>
      <c r="J53" s="298"/>
      <c r="K53" s="299"/>
      <c r="L53" s="288"/>
      <c r="M53" s="289"/>
      <c r="N53" s="289"/>
      <c r="O53" s="289"/>
      <c r="P53" s="289"/>
      <c r="Q53" s="289"/>
      <c r="R53" s="289"/>
      <c r="S53" s="289"/>
      <c r="T53" s="289"/>
      <c r="U53" s="289"/>
      <c r="V53" s="289"/>
      <c r="W53" s="289"/>
      <c r="X53" s="290"/>
      <c r="Y53" s="196"/>
      <c r="Z53" s="196"/>
      <c r="AA53" s="196"/>
      <c r="AB53" s="196"/>
      <c r="AC53" s="196"/>
      <c r="AD53" s="196"/>
      <c r="AE53" s="196"/>
      <c r="AF53" s="196"/>
      <c r="AG53" s="196"/>
      <c r="AH53" s="207"/>
      <c r="AI53" s="83"/>
      <c r="AJ53" s="83"/>
      <c r="AK53" s="83"/>
      <c r="AL53" s="83"/>
      <c r="AM53" s="83"/>
      <c r="AN53" s="83"/>
      <c r="AO53" s="83"/>
      <c r="AP53" s="83"/>
      <c r="AQ53" s="83"/>
      <c r="AR53" s="208"/>
    </row>
    <row r="54" spans="1:44" ht="20.100000000000001" customHeight="1" thickBot="1">
      <c r="A54" s="303"/>
      <c r="B54" s="307"/>
      <c r="C54" s="308"/>
      <c r="D54" s="308"/>
      <c r="E54" s="308"/>
      <c r="F54" s="308"/>
      <c r="G54" s="308"/>
      <c r="H54" s="308"/>
      <c r="I54" s="308"/>
      <c r="J54" s="308"/>
      <c r="K54" s="309"/>
      <c r="L54" s="304"/>
      <c r="M54" s="305"/>
      <c r="N54" s="305"/>
      <c r="O54" s="305"/>
      <c r="P54" s="305"/>
      <c r="Q54" s="305"/>
      <c r="R54" s="305"/>
      <c r="S54" s="305"/>
      <c r="T54" s="305"/>
      <c r="U54" s="305"/>
      <c r="V54" s="305"/>
      <c r="W54" s="305"/>
      <c r="X54" s="306"/>
      <c r="Y54" s="197"/>
      <c r="Z54" s="197"/>
      <c r="AA54" s="197"/>
      <c r="AB54" s="197"/>
      <c r="AC54" s="197"/>
      <c r="AD54" s="197"/>
      <c r="AE54" s="197"/>
      <c r="AF54" s="197"/>
      <c r="AG54" s="197"/>
      <c r="AH54" s="212"/>
      <c r="AI54" s="213"/>
      <c r="AJ54" s="213"/>
      <c r="AK54" s="213"/>
      <c r="AL54" s="213"/>
      <c r="AM54" s="213"/>
      <c r="AN54" s="213"/>
      <c r="AO54" s="213"/>
      <c r="AP54" s="213"/>
      <c r="AQ54" s="213"/>
      <c r="AR54" s="214"/>
    </row>
    <row r="55" spans="1:44" ht="20.100000000000001" customHeight="1"/>
  </sheetData>
  <mergeCells count="116">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A6:A8"/>
    <mergeCell ref="B6:G6"/>
    <mergeCell ref="H6:P6"/>
    <mergeCell ref="Q6:Y6"/>
    <mergeCell ref="Z6:Z8"/>
    <mergeCell ref="AA6:AH6"/>
    <mergeCell ref="AI6:AP6"/>
    <mergeCell ref="B7:G8"/>
    <mergeCell ref="H7:P8"/>
    <mergeCell ref="Q7:Y8"/>
    <mergeCell ref="AA7:AH8"/>
    <mergeCell ref="AQ9:AR9"/>
    <mergeCell ref="B10:G12"/>
    <mergeCell ref="R10:Y10"/>
    <mergeCell ref="AQ10:AR12"/>
    <mergeCell ref="R11:Y11"/>
    <mergeCell ref="R12:Y12"/>
    <mergeCell ref="AI7:AP8"/>
    <mergeCell ref="A9:A16"/>
    <mergeCell ref="B9:G9"/>
    <mergeCell ref="H9:P16"/>
    <mergeCell ref="R9:Y9"/>
    <mergeCell ref="Z9:Z16"/>
    <mergeCell ref="AA9:AH16"/>
    <mergeCell ref="AI9:AP16"/>
    <mergeCell ref="B13:G13"/>
    <mergeCell ref="R13:Y13"/>
    <mergeCell ref="Z17:Z24"/>
    <mergeCell ref="AA17:AH24"/>
    <mergeCell ref="B22:G24"/>
    <mergeCell ref="R22:Y22"/>
    <mergeCell ref="AQ13:AR13"/>
    <mergeCell ref="B14:G16"/>
    <mergeCell ref="R14:Y14"/>
    <mergeCell ref="AQ14:AR16"/>
    <mergeCell ref="R15:Y15"/>
    <mergeCell ref="R16:Y16"/>
    <mergeCell ref="AQ22:AR24"/>
    <mergeCell ref="R23:Y23"/>
    <mergeCell ref="R24:Y24"/>
    <mergeCell ref="A25:A32"/>
    <mergeCell ref="B25:G25"/>
    <mergeCell ref="H25:P32"/>
    <mergeCell ref="R25:Y25"/>
    <mergeCell ref="Z25:Z32"/>
    <mergeCell ref="AA25:AH32"/>
    <mergeCell ref="AI25:AP32"/>
    <mergeCell ref="AI17:AP24"/>
    <mergeCell ref="AQ17:AR17"/>
    <mergeCell ref="B18:G20"/>
    <mergeCell ref="R18:Y18"/>
    <mergeCell ref="AQ18:AR20"/>
    <mergeCell ref="R19:Y19"/>
    <mergeCell ref="R20:Y20"/>
    <mergeCell ref="B21:G21"/>
    <mergeCell ref="R21:Y21"/>
    <mergeCell ref="AQ21:AR21"/>
    <mergeCell ref="A17:A24"/>
    <mergeCell ref="B17:G17"/>
    <mergeCell ref="H17:P24"/>
    <mergeCell ref="R17:Y17"/>
    <mergeCell ref="B29:G29"/>
    <mergeCell ref="R29:Y29"/>
    <mergeCell ref="AQ29:AR29"/>
    <mergeCell ref="B30:G32"/>
    <mergeCell ref="R30:Y30"/>
    <mergeCell ref="AQ30:AR32"/>
    <mergeCell ref="R31:Y31"/>
    <mergeCell ref="R32:Y32"/>
    <mergeCell ref="AQ25:AR25"/>
    <mergeCell ref="B26:G28"/>
    <mergeCell ref="R26:Y26"/>
    <mergeCell ref="AQ26:AR28"/>
    <mergeCell ref="R27:Y27"/>
    <mergeCell ref="R28:Y28"/>
    <mergeCell ref="Y38:AG38"/>
    <mergeCell ref="AH38:AR38"/>
    <mergeCell ref="L39:X40"/>
    <mergeCell ref="Y39:AG40"/>
    <mergeCell ref="AH39:AR40"/>
    <mergeCell ref="AQ33:AR33"/>
    <mergeCell ref="A35:E35"/>
    <mergeCell ref="F35:K35"/>
    <mergeCell ref="L35:AG35"/>
    <mergeCell ref="A37:X37"/>
    <mergeCell ref="Y37:AG37"/>
    <mergeCell ref="AH37:AR37"/>
    <mergeCell ref="A41:A47"/>
    <mergeCell ref="B41:K41"/>
    <mergeCell ref="L41:X47"/>
    <mergeCell ref="B42:K47"/>
    <mergeCell ref="A48:A54"/>
    <mergeCell ref="B48:K48"/>
    <mergeCell ref="L48:X54"/>
    <mergeCell ref="B49:K54"/>
    <mergeCell ref="A38:A40"/>
    <mergeCell ref="B38:K40"/>
    <mergeCell ref="L38:X38"/>
  </mergeCells>
  <phoneticPr fontId="2"/>
  <dataValidations count="2">
    <dataValidation type="list" allowBlank="1" showInputMessage="1" showErrorMessage="1" sqref="AB1:AI1" xr:uid="{7A8D28F4-EF5F-4039-BCAA-A40CB37238DE}">
      <formula1>"Ｍ３（部長）,Ｍ３（次長）,Ｍ２（Ｍ）,Ｍ１（ＰＭ）,Ｒ４,Ｒ３,Ｒ２,Ｒ１"</formula1>
    </dataValidation>
    <dataValidation type="list" allowBlank="1" showInputMessage="1" showErrorMessage="1" sqref="WIF983044 FG1:FN1 PC1:PJ1 YY1:ZF1 AIU1:AJB1 ASQ1:ASX1 BCM1:BCT1 BMI1:BMP1 BWE1:BWL1 CGA1:CGH1 CPW1:CQD1 CZS1:CZZ1 DJO1:DJV1 DTK1:DTR1 EDG1:EDN1 ENC1:ENJ1 EWY1:EXF1 FGU1:FHB1 FQQ1:FQX1 GAM1:GAT1 GKI1:GKP1 GUE1:GUL1 HEA1:HEH1 HNW1:HOD1 HXS1:HXZ1 IHO1:IHV1 IRK1:IRR1 JBG1:JBN1 JLC1:JLJ1 JUY1:JVF1 KEU1:KFB1 KOQ1:KOX1 KYM1:KYT1 LII1:LIP1 LSE1:LSL1 MCA1:MCH1 MLW1:MMD1 MVS1:MVZ1 NFO1:NFV1 NPK1:NPR1 NZG1:NZN1 OJC1:OJJ1 OSY1:OTF1 PCU1:PDB1 PMQ1:PMX1 PWM1:PWT1 QGI1:QGP1 QQE1:QQL1 RAA1:RAH1 RJW1:RKD1 RTS1:RTZ1 SDO1:SDV1 SNK1:SNR1 SXG1:SXN1 THC1:THJ1 TQY1:TRF1 UAU1:UBB1 UKQ1:UKX1 UUM1:UUT1 VEI1:VEP1 VOE1:VOL1 VYA1:VYH1 WHW1:WID1 WRS1:WRZ1 FG65540:FN65540 PC65540:PJ65540 YY65540:ZF65540 AIU65540:AJB65540 ASQ65540:ASX65540 BCM65540:BCT65540 BMI65540:BMP65540 BWE65540:BWL65540 CGA65540:CGH65540 CPW65540:CQD65540 CZS65540:CZZ65540 DJO65540:DJV65540 DTK65540:DTR65540 EDG65540:EDN65540 ENC65540:ENJ65540 EWY65540:EXF65540 FGU65540:FHB65540 FQQ65540:FQX65540 GAM65540:GAT65540 GKI65540:GKP65540 GUE65540:GUL65540 HEA65540:HEH65540 HNW65540:HOD65540 HXS65540:HXZ65540 IHO65540:IHV65540 IRK65540:IRR65540 JBG65540:JBN65540 JLC65540:JLJ65540 JUY65540:JVF65540 KEU65540:KFB65540 KOQ65540:KOX65540 KYM65540:KYT65540 LII65540:LIP65540 LSE65540:LSL65540 MCA65540:MCH65540 MLW65540:MMD65540 MVS65540:MVZ65540 NFO65540:NFV65540 NPK65540:NPR65540 NZG65540:NZN65540 OJC65540:OJJ65540 OSY65540:OTF65540 PCU65540:PDB65540 PMQ65540:PMX65540 PWM65540:PWT65540 QGI65540:QGP65540 QQE65540:QQL65540 RAA65540:RAH65540 RJW65540:RKD65540 RTS65540:RTZ65540 SDO65540:SDV65540 SNK65540:SNR65540 SXG65540:SXN65540 THC65540:THJ65540 TQY65540:TRF65540 UAU65540:UBB65540 UKQ65540:UKX65540 UUM65540:UUT65540 VEI65540:VEP65540 VOE65540:VOL65540 VYA65540:VYH65540 WHW65540:WID65540 WRS65540:WRZ65540 FG131076:FN131076 PC131076:PJ131076 YY131076:ZF131076 AIU131076:AJB131076 ASQ131076:ASX131076 BCM131076:BCT131076 BMI131076:BMP131076 BWE131076:BWL131076 CGA131076:CGH131076 CPW131076:CQD131076 CZS131076:CZZ131076 DJO131076:DJV131076 DTK131076:DTR131076 EDG131076:EDN131076 ENC131076:ENJ131076 EWY131076:EXF131076 FGU131076:FHB131076 FQQ131076:FQX131076 GAM131076:GAT131076 GKI131076:GKP131076 GUE131076:GUL131076 HEA131076:HEH131076 HNW131076:HOD131076 HXS131076:HXZ131076 IHO131076:IHV131076 IRK131076:IRR131076 JBG131076:JBN131076 JLC131076:JLJ131076 JUY131076:JVF131076 KEU131076:KFB131076 KOQ131076:KOX131076 KYM131076:KYT131076 LII131076:LIP131076 LSE131076:LSL131076 MCA131076:MCH131076 MLW131076:MMD131076 MVS131076:MVZ131076 NFO131076:NFV131076 NPK131076:NPR131076 NZG131076:NZN131076 OJC131076:OJJ131076 OSY131076:OTF131076 PCU131076:PDB131076 PMQ131076:PMX131076 PWM131076:PWT131076 QGI131076:QGP131076 QQE131076:QQL131076 RAA131076:RAH131076 RJW131076:RKD131076 RTS131076:RTZ131076 SDO131076:SDV131076 SNK131076:SNR131076 SXG131076:SXN131076 THC131076:THJ131076 TQY131076:TRF131076 UAU131076:UBB131076 UKQ131076:UKX131076 UUM131076:UUT131076 VEI131076:VEP131076 VOE131076:VOL131076 VYA131076:VYH131076 WHW131076:WID131076 WRS131076:WRZ131076 FG196612:FN196612 PC196612:PJ196612 YY196612:ZF196612 AIU196612:AJB196612 ASQ196612:ASX196612 BCM196612:BCT196612 BMI196612:BMP196612 BWE196612:BWL196612 CGA196612:CGH196612 CPW196612:CQD196612 CZS196612:CZZ196612 DJO196612:DJV196612 DTK196612:DTR196612 EDG196612:EDN196612 ENC196612:ENJ196612 EWY196612:EXF196612 FGU196612:FHB196612 FQQ196612:FQX196612 GAM196612:GAT196612 GKI196612:GKP196612 GUE196612:GUL196612 HEA196612:HEH196612 HNW196612:HOD196612 HXS196612:HXZ196612 IHO196612:IHV196612 IRK196612:IRR196612 JBG196612:JBN196612 JLC196612:JLJ196612 JUY196612:JVF196612 KEU196612:KFB196612 KOQ196612:KOX196612 KYM196612:KYT196612 LII196612:LIP196612 LSE196612:LSL196612 MCA196612:MCH196612 MLW196612:MMD196612 MVS196612:MVZ196612 NFO196612:NFV196612 NPK196612:NPR196612 NZG196612:NZN196612 OJC196612:OJJ196612 OSY196612:OTF196612 PCU196612:PDB196612 PMQ196612:PMX196612 PWM196612:PWT196612 QGI196612:QGP196612 QQE196612:QQL196612 RAA196612:RAH196612 RJW196612:RKD196612 RTS196612:RTZ196612 SDO196612:SDV196612 SNK196612:SNR196612 SXG196612:SXN196612 THC196612:THJ196612 TQY196612:TRF196612 UAU196612:UBB196612 UKQ196612:UKX196612 UUM196612:UUT196612 VEI196612:VEP196612 VOE196612:VOL196612 VYA196612:VYH196612 WHW196612:WID196612 WRS196612:WRZ196612 FG262148:FN262148 PC262148:PJ262148 YY262148:ZF262148 AIU262148:AJB262148 ASQ262148:ASX262148 BCM262148:BCT262148 BMI262148:BMP262148 BWE262148:BWL262148 CGA262148:CGH262148 CPW262148:CQD262148 CZS262148:CZZ262148 DJO262148:DJV262148 DTK262148:DTR262148 EDG262148:EDN262148 ENC262148:ENJ262148 EWY262148:EXF262148 FGU262148:FHB262148 FQQ262148:FQX262148 GAM262148:GAT262148 GKI262148:GKP262148 GUE262148:GUL262148 HEA262148:HEH262148 HNW262148:HOD262148 HXS262148:HXZ262148 IHO262148:IHV262148 IRK262148:IRR262148 JBG262148:JBN262148 JLC262148:JLJ262148 JUY262148:JVF262148 KEU262148:KFB262148 KOQ262148:KOX262148 KYM262148:KYT262148 LII262148:LIP262148 LSE262148:LSL262148 MCA262148:MCH262148 MLW262148:MMD262148 MVS262148:MVZ262148 NFO262148:NFV262148 NPK262148:NPR262148 NZG262148:NZN262148 OJC262148:OJJ262148 OSY262148:OTF262148 PCU262148:PDB262148 PMQ262148:PMX262148 PWM262148:PWT262148 QGI262148:QGP262148 QQE262148:QQL262148 RAA262148:RAH262148 RJW262148:RKD262148 RTS262148:RTZ262148 SDO262148:SDV262148 SNK262148:SNR262148 SXG262148:SXN262148 THC262148:THJ262148 TQY262148:TRF262148 UAU262148:UBB262148 UKQ262148:UKX262148 UUM262148:UUT262148 VEI262148:VEP262148 VOE262148:VOL262148 VYA262148:VYH262148 WHW262148:WID262148 WRS262148:WRZ262148 FG327684:FN327684 PC327684:PJ327684 YY327684:ZF327684 AIU327684:AJB327684 ASQ327684:ASX327684 BCM327684:BCT327684 BMI327684:BMP327684 BWE327684:BWL327684 CGA327684:CGH327684 CPW327684:CQD327684 CZS327684:CZZ327684 DJO327684:DJV327684 DTK327684:DTR327684 EDG327684:EDN327684 ENC327684:ENJ327684 EWY327684:EXF327684 FGU327684:FHB327684 FQQ327684:FQX327684 GAM327684:GAT327684 GKI327684:GKP327684 GUE327684:GUL327684 HEA327684:HEH327684 HNW327684:HOD327684 HXS327684:HXZ327684 IHO327684:IHV327684 IRK327684:IRR327684 JBG327684:JBN327684 JLC327684:JLJ327684 JUY327684:JVF327684 KEU327684:KFB327684 KOQ327684:KOX327684 KYM327684:KYT327684 LII327684:LIP327684 LSE327684:LSL327684 MCA327684:MCH327684 MLW327684:MMD327684 MVS327684:MVZ327684 NFO327684:NFV327684 NPK327684:NPR327684 NZG327684:NZN327684 OJC327684:OJJ327684 OSY327684:OTF327684 PCU327684:PDB327684 PMQ327684:PMX327684 PWM327684:PWT327684 QGI327684:QGP327684 QQE327684:QQL327684 RAA327684:RAH327684 RJW327684:RKD327684 RTS327684:RTZ327684 SDO327684:SDV327684 SNK327684:SNR327684 SXG327684:SXN327684 THC327684:THJ327684 TQY327684:TRF327684 UAU327684:UBB327684 UKQ327684:UKX327684 UUM327684:UUT327684 VEI327684:VEP327684 VOE327684:VOL327684 VYA327684:VYH327684 WHW327684:WID327684 WRS327684:WRZ327684 FG393220:FN393220 PC393220:PJ393220 YY393220:ZF393220 AIU393220:AJB393220 ASQ393220:ASX393220 BCM393220:BCT393220 BMI393220:BMP393220 BWE393220:BWL393220 CGA393220:CGH393220 CPW393220:CQD393220 CZS393220:CZZ393220 DJO393220:DJV393220 DTK393220:DTR393220 EDG393220:EDN393220 ENC393220:ENJ393220 EWY393220:EXF393220 FGU393220:FHB393220 FQQ393220:FQX393220 GAM393220:GAT393220 GKI393220:GKP393220 GUE393220:GUL393220 HEA393220:HEH393220 HNW393220:HOD393220 HXS393220:HXZ393220 IHO393220:IHV393220 IRK393220:IRR393220 JBG393220:JBN393220 JLC393220:JLJ393220 JUY393220:JVF393220 KEU393220:KFB393220 KOQ393220:KOX393220 KYM393220:KYT393220 LII393220:LIP393220 LSE393220:LSL393220 MCA393220:MCH393220 MLW393220:MMD393220 MVS393220:MVZ393220 NFO393220:NFV393220 NPK393220:NPR393220 NZG393220:NZN393220 OJC393220:OJJ393220 OSY393220:OTF393220 PCU393220:PDB393220 PMQ393220:PMX393220 PWM393220:PWT393220 QGI393220:QGP393220 QQE393220:QQL393220 RAA393220:RAH393220 RJW393220:RKD393220 RTS393220:RTZ393220 SDO393220:SDV393220 SNK393220:SNR393220 SXG393220:SXN393220 THC393220:THJ393220 TQY393220:TRF393220 UAU393220:UBB393220 UKQ393220:UKX393220 UUM393220:UUT393220 VEI393220:VEP393220 VOE393220:VOL393220 VYA393220:VYH393220 WHW393220:WID393220 WRS393220:WRZ393220 FG458756:FN458756 PC458756:PJ458756 YY458756:ZF458756 AIU458756:AJB458756 ASQ458756:ASX458756 BCM458756:BCT458756 BMI458756:BMP458756 BWE458756:BWL458756 CGA458756:CGH458756 CPW458756:CQD458756 CZS458756:CZZ458756 DJO458756:DJV458756 DTK458756:DTR458756 EDG458756:EDN458756 ENC458756:ENJ458756 EWY458756:EXF458756 FGU458756:FHB458756 FQQ458756:FQX458756 GAM458756:GAT458756 GKI458756:GKP458756 GUE458756:GUL458756 HEA458756:HEH458756 HNW458756:HOD458756 HXS458756:HXZ458756 IHO458756:IHV458756 IRK458756:IRR458756 JBG458756:JBN458756 JLC458756:JLJ458756 JUY458756:JVF458756 KEU458756:KFB458756 KOQ458756:KOX458756 KYM458756:KYT458756 LII458756:LIP458756 LSE458756:LSL458756 MCA458756:MCH458756 MLW458756:MMD458756 MVS458756:MVZ458756 NFO458756:NFV458756 NPK458756:NPR458756 NZG458756:NZN458756 OJC458756:OJJ458756 OSY458756:OTF458756 PCU458756:PDB458756 PMQ458756:PMX458756 PWM458756:PWT458756 QGI458756:QGP458756 QQE458756:QQL458756 RAA458756:RAH458756 RJW458756:RKD458756 RTS458756:RTZ458756 SDO458756:SDV458756 SNK458756:SNR458756 SXG458756:SXN458756 THC458756:THJ458756 TQY458756:TRF458756 UAU458756:UBB458756 UKQ458756:UKX458756 UUM458756:UUT458756 VEI458756:VEP458756 VOE458756:VOL458756 VYA458756:VYH458756 WHW458756:WID458756 WRS458756:WRZ458756 FG524292:FN524292 PC524292:PJ524292 YY524292:ZF524292 AIU524292:AJB524292 ASQ524292:ASX524292 BCM524292:BCT524292 BMI524292:BMP524292 BWE524292:BWL524292 CGA524292:CGH524292 CPW524292:CQD524292 CZS524292:CZZ524292 DJO524292:DJV524292 DTK524292:DTR524292 EDG524292:EDN524292 ENC524292:ENJ524292 EWY524292:EXF524292 FGU524292:FHB524292 FQQ524292:FQX524292 GAM524292:GAT524292 GKI524292:GKP524292 GUE524292:GUL524292 HEA524292:HEH524292 HNW524292:HOD524292 HXS524292:HXZ524292 IHO524292:IHV524292 IRK524292:IRR524292 JBG524292:JBN524292 JLC524292:JLJ524292 JUY524292:JVF524292 KEU524292:KFB524292 KOQ524292:KOX524292 KYM524292:KYT524292 LII524292:LIP524292 LSE524292:LSL524292 MCA524292:MCH524292 MLW524292:MMD524292 MVS524292:MVZ524292 NFO524292:NFV524292 NPK524292:NPR524292 NZG524292:NZN524292 OJC524292:OJJ524292 OSY524292:OTF524292 PCU524292:PDB524292 PMQ524292:PMX524292 PWM524292:PWT524292 QGI524292:QGP524292 QQE524292:QQL524292 RAA524292:RAH524292 RJW524292:RKD524292 RTS524292:RTZ524292 SDO524292:SDV524292 SNK524292:SNR524292 SXG524292:SXN524292 THC524292:THJ524292 TQY524292:TRF524292 UAU524292:UBB524292 UKQ524292:UKX524292 UUM524292:UUT524292 VEI524292:VEP524292 VOE524292:VOL524292 VYA524292:VYH524292 WHW524292:WID524292 WRS524292:WRZ524292 FG589828:FN589828 PC589828:PJ589828 YY589828:ZF589828 AIU589828:AJB589828 ASQ589828:ASX589828 BCM589828:BCT589828 BMI589828:BMP589828 BWE589828:BWL589828 CGA589828:CGH589828 CPW589828:CQD589828 CZS589828:CZZ589828 DJO589828:DJV589828 DTK589828:DTR589828 EDG589828:EDN589828 ENC589828:ENJ589828 EWY589828:EXF589828 FGU589828:FHB589828 FQQ589828:FQX589828 GAM589828:GAT589828 GKI589828:GKP589828 GUE589828:GUL589828 HEA589828:HEH589828 HNW589828:HOD589828 HXS589828:HXZ589828 IHO589828:IHV589828 IRK589828:IRR589828 JBG589828:JBN589828 JLC589828:JLJ589828 JUY589828:JVF589828 KEU589828:KFB589828 KOQ589828:KOX589828 KYM589828:KYT589828 LII589828:LIP589828 LSE589828:LSL589828 MCA589828:MCH589828 MLW589828:MMD589828 MVS589828:MVZ589828 NFO589828:NFV589828 NPK589828:NPR589828 NZG589828:NZN589828 OJC589828:OJJ589828 OSY589828:OTF589828 PCU589828:PDB589828 PMQ589828:PMX589828 PWM589828:PWT589828 QGI589828:QGP589828 QQE589828:QQL589828 RAA589828:RAH589828 RJW589828:RKD589828 RTS589828:RTZ589828 SDO589828:SDV589828 SNK589828:SNR589828 SXG589828:SXN589828 THC589828:THJ589828 TQY589828:TRF589828 UAU589828:UBB589828 UKQ589828:UKX589828 UUM589828:UUT589828 VEI589828:VEP589828 VOE589828:VOL589828 VYA589828:VYH589828 WHW589828:WID589828 WRS589828:WRZ589828 FG655364:FN655364 PC655364:PJ655364 YY655364:ZF655364 AIU655364:AJB655364 ASQ655364:ASX655364 BCM655364:BCT655364 BMI655364:BMP655364 BWE655364:BWL655364 CGA655364:CGH655364 CPW655364:CQD655364 CZS655364:CZZ655364 DJO655364:DJV655364 DTK655364:DTR655364 EDG655364:EDN655364 ENC655364:ENJ655364 EWY655364:EXF655364 FGU655364:FHB655364 FQQ655364:FQX655364 GAM655364:GAT655364 GKI655364:GKP655364 GUE655364:GUL655364 HEA655364:HEH655364 HNW655364:HOD655364 HXS655364:HXZ655364 IHO655364:IHV655364 IRK655364:IRR655364 JBG655364:JBN655364 JLC655364:JLJ655364 JUY655364:JVF655364 KEU655364:KFB655364 KOQ655364:KOX655364 KYM655364:KYT655364 LII655364:LIP655364 LSE655364:LSL655364 MCA655364:MCH655364 MLW655364:MMD655364 MVS655364:MVZ655364 NFO655364:NFV655364 NPK655364:NPR655364 NZG655364:NZN655364 OJC655364:OJJ655364 OSY655364:OTF655364 PCU655364:PDB655364 PMQ655364:PMX655364 PWM655364:PWT655364 QGI655364:QGP655364 QQE655364:QQL655364 RAA655364:RAH655364 RJW655364:RKD655364 RTS655364:RTZ655364 SDO655364:SDV655364 SNK655364:SNR655364 SXG655364:SXN655364 THC655364:THJ655364 TQY655364:TRF655364 UAU655364:UBB655364 UKQ655364:UKX655364 UUM655364:UUT655364 VEI655364:VEP655364 VOE655364:VOL655364 VYA655364:VYH655364 WHW655364:WID655364 WRS655364:WRZ655364 FG720900:FN720900 PC720900:PJ720900 YY720900:ZF720900 AIU720900:AJB720900 ASQ720900:ASX720900 BCM720900:BCT720900 BMI720900:BMP720900 BWE720900:BWL720900 CGA720900:CGH720900 CPW720900:CQD720900 CZS720900:CZZ720900 DJO720900:DJV720900 DTK720900:DTR720900 EDG720900:EDN720900 ENC720900:ENJ720900 EWY720900:EXF720900 FGU720900:FHB720900 FQQ720900:FQX720900 GAM720900:GAT720900 GKI720900:GKP720900 GUE720900:GUL720900 HEA720900:HEH720900 HNW720900:HOD720900 HXS720900:HXZ720900 IHO720900:IHV720900 IRK720900:IRR720900 JBG720900:JBN720900 JLC720900:JLJ720900 JUY720900:JVF720900 KEU720900:KFB720900 KOQ720900:KOX720900 KYM720900:KYT720900 LII720900:LIP720900 LSE720900:LSL720900 MCA720900:MCH720900 MLW720900:MMD720900 MVS720900:MVZ720900 NFO720900:NFV720900 NPK720900:NPR720900 NZG720900:NZN720900 OJC720900:OJJ720900 OSY720900:OTF720900 PCU720900:PDB720900 PMQ720900:PMX720900 PWM720900:PWT720900 QGI720900:QGP720900 QQE720900:QQL720900 RAA720900:RAH720900 RJW720900:RKD720900 RTS720900:RTZ720900 SDO720900:SDV720900 SNK720900:SNR720900 SXG720900:SXN720900 THC720900:THJ720900 TQY720900:TRF720900 UAU720900:UBB720900 UKQ720900:UKX720900 UUM720900:UUT720900 VEI720900:VEP720900 VOE720900:VOL720900 VYA720900:VYH720900 WHW720900:WID720900 WRS720900:WRZ720900 FG786436:FN786436 PC786436:PJ786436 YY786436:ZF786436 AIU786436:AJB786436 ASQ786436:ASX786436 BCM786436:BCT786436 BMI786436:BMP786436 BWE786436:BWL786436 CGA786436:CGH786436 CPW786436:CQD786436 CZS786436:CZZ786436 DJO786436:DJV786436 DTK786436:DTR786436 EDG786436:EDN786436 ENC786436:ENJ786436 EWY786436:EXF786436 FGU786436:FHB786436 FQQ786436:FQX786436 GAM786436:GAT786436 GKI786436:GKP786436 GUE786436:GUL786436 HEA786436:HEH786436 HNW786436:HOD786436 HXS786436:HXZ786436 IHO786436:IHV786436 IRK786436:IRR786436 JBG786436:JBN786436 JLC786436:JLJ786436 JUY786436:JVF786436 KEU786436:KFB786436 KOQ786436:KOX786436 KYM786436:KYT786436 LII786436:LIP786436 LSE786436:LSL786436 MCA786436:MCH786436 MLW786436:MMD786436 MVS786436:MVZ786436 NFO786436:NFV786436 NPK786436:NPR786436 NZG786436:NZN786436 OJC786436:OJJ786436 OSY786436:OTF786436 PCU786436:PDB786436 PMQ786436:PMX786436 PWM786436:PWT786436 QGI786436:QGP786436 QQE786436:QQL786436 RAA786436:RAH786436 RJW786436:RKD786436 RTS786436:RTZ786436 SDO786436:SDV786436 SNK786436:SNR786436 SXG786436:SXN786436 THC786436:THJ786436 TQY786436:TRF786436 UAU786436:UBB786436 UKQ786436:UKX786436 UUM786436:UUT786436 VEI786436:VEP786436 VOE786436:VOL786436 VYA786436:VYH786436 WHW786436:WID786436 WRS786436:WRZ786436 FG851972:FN851972 PC851972:PJ851972 YY851972:ZF851972 AIU851972:AJB851972 ASQ851972:ASX851972 BCM851972:BCT851972 BMI851972:BMP851972 BWE851972:BWL851972 CGA851972:CGH851972 CPW851972:CQD851972 CZS851972:CZZ851972 DJO851972:DJV851972 DTK851972:DTR851972 EDG851972:EDN851972 ENC851972:ENJ851972 EWY851972:EXF851972 FGU851972:FHB851972 FQQ851972:FQX851972 GAM851972:GAT851972 GKI851972:GKP851972 GUE851972:GUL851972 HEA851972:HEH851972 HNW851972:HOD851972 HXS851972:HXZ851972 IHO851972:IHV851972 IRK851972:IRR851972 JBG851972:JBN851972 JLC851972:JLJ851972 JUY851972:JVF851972 KEU851972:KFB851972 KOQ851972:KOX851972 KYM851972:KYT851972 LII851972:LIP851972 LSE851972:LSL851972 MCA851972:MCH851972 MLW851972:MMD851972 MVS851972:MVZ851972 NFO851972:NFV851972 NPK851972:NPR851972 NZG851972:NZN851972 OJC851972:OJJ851972 OSY851972:OTF851972 PCU851972:PDB851972 PMQ851972:PMX851972 PWM851972:PWT851972 QGI851972:QGP851972 QQE851972:QQL851972 RAA851972:RAH851972 RJW851972:RKD851972 RTS851972:RTZ851972 SDO851972:SDV851972 SNK851972:SNR851972 SXG851972:SXN851972 THC851972:THJ851972 TQY851972:TRF851972 UAU851972:UBB851972 UKQ851972:UKX851972 UUM851972:UUT851972 VEI851972:VEP851972 VOE851972:VOL851972 VYA851972:VYH851972 WHW851972:WID851972 WRS851972:WRZ851972 FG917508:FN917508 PC917508:PJ917508 YY917508:ZF917508 AIU917508:AJB917508 ASQ917508:ASX917508 BCM917508:BCT917508 BMI917508:BMP917508 BWE917508:BWL917508 CGA917508:CGH917508 CPW917508:CQD917508 CZS917508:CZZ917508 DJO917508:DJV917508 DTK917508:DTR917508 EDG917508:EDN917508 ENC917508:ENJ917508 EWY917508:EXF917508 FGU917508:FHB917508 FQQ917508:FQX917508 GAM917508:GAT917508 GKI917508:GKP917508 GUE917508:GUL917508 HEA917508:HEH917508 HNW917508:HOD917508 HXS917508:HXZ917508 IHO917508:IHV917508 IRK917508:IRR917508 JBG917508:JBN917508 JLC917508:JLJ917508 JUY917508:JVF917508 KEU917508:KFB917508 KOQ917508:KOX917508 KYM917508:KYT917508 LII917508:LIP917508 LSE917508:LSL917508 MCA917508:MCH917508 MLW917508:MMD917508 MVS917508:MVZ917508 NFO917508:NFV917508 NPK917508:NPR917508 NZG917508:NZN917508 OJC917508:OJJ917508 OSY917508:OTF917508 PCU917508:PDB917508 PMQ917508:PMX917508 PWM917508:PWT917508 QGI917508:QGP917508 QQE917508:QQL917508 RAA917508:RAH917508 RJW917508:RKD917508 RTS917508:RTZ917508 SDO917508:SDV917508 SNK917508:SNR917508 SXG917508:SXN917508 THC917508:THJ917508 TQY917508:TRF917508 UAU917508:UBB917508 UKQ917508:UKX917508 UUM917508:UUT917508 VEI917508:VEP917508 VOE917508:VOL917508 VYA917508:VYH917508 WHW917508:WID917508 WRS917508:WRZ917508 FG983044:FN983044 PC983044:PJ983044 YY983044:ZF983044 AIU983044:AJB983044 ASQ983044:ASX983044 BCM983044:BCT983044 BMI983044:BMP983044 BWE983044:BWL983044 CGA983044:CGH983044 CPW983044:CQD983044 CZS983044:CZZ983044 DJO983044:DJV983044 DTK983044:DTR983044 EDG983044:EDN983044 ENC983044:ENJ983044 EWY983044:EXF983044 FGU983044:FHB983044 FQQ983044:FQX983044 GAM983044:GAT983044 GKI983044:GKP983044 GUE983044:GUL983044 HEA983044:HEH983044 HNW983044:HOD983044 HXS983044:HXZ983044 IHO983044:IHV983044 IRK983044:IRR983044 JBG983044:JBN983044 JLC983044:JLJ983044 JUY983044:JVF983044 KEU983044:KFB983044 KOQ983044:KOX983044 KYM983044:KYT983044 LII983044:LIP983044 LSE983044:LSL983044 MCA983044:MCH983044 MLW983044:MMD983044 MVS983044:MVZ983044 NFO983044:NFV983044 NPK983044:NPR983044 NZG983044:NZN983044 OJC983044:OJJ983044 OSY983044:OTF983044 PCU983044:PDB983044 PMQ983044:PMX983044 PWM983044:PWT983044 QGI983044:QGP983044 QQE983044:QQL983044 RAA983044:RAH983044 RJW983044:RKD983044 RTS983044:RTZ983044 SDO983044:SDV983044 SNK983044:SNR983044 SXG983044:SXN983044 THC983044:THJ983044 TQY983044:TRF983044 UAU983044:UBB983044 UKQ983044:UKX983044 UUM983044:UUT983044 VEI983044:VEP983044 VOE983044:VOL983044 VYA983044:VYH983044 WHW983044:WID983044 WRS983044:WRZ983044 WSB983044 FP1 PL1 ZH1 AJD1 ASZ1 BCV1 BMR1 BWN1 CGJ1 CQF1 DAB1 DJX1 DTT1 EDP1 ENL1 EXH1 FHD1 FQZ1 GAV1 GKR1 GUN1 HEJ1 HOF1 HYB1 IHX1 IRT1 JBP1 JLL1 JVH1 KFD1 KOZ1 KYV1 LIR1 LSN1 MCJ1 MMF1 MWB1 NFX1 NPT1 NZP1 OJL1 OTH1 PDD1 PMZ1 PWV1 QGR1 QQN1 RAJ1 RKF1 RUB1 SDX1 SNT1 SXP1 THL1 TRH1 UBD1 UKZ1 UUV1 VER1 VON1 VYJ1 WIF1 WSB1 AA65540 FP65540 PL65540 ZH65540 AJD65540 ASZ65540 BCV65540 BMR65540 BWN65540 CGJ65540 CQF65540 DAB65540 DJX65540 DTT65540 EDP65540 ENL65540 EXH65540 FHD65540 FQZ65540 GAV65540 GKR65540 GUN65540 HEJ65540 HOF65540 HYB65540 IHX65540 IRT65540 JBP65540 JLL65540 JVH65540 KFD65540 KOZ65540 KYV65540 LIR65540 LSN65540 MCJ65540 MMF65540 MWB65540 NFX65540 NPT65540 NZP65540 OJL65540 OTH65540 PDD65540 PMZ65540 PWV65540 QGR65540 QQN65540 RAJ65540 RKF65540 RUB65540 SDX65540 SNT65540 SXP65540 THL65540 TRH65540 UBD65540 UKZ65540 UUV65540 VER65540 VON65540 VYJ65540 WIF65540 WSB65540 AA131076 FP131076 PL131076 ZH131076 AJD131076 ASZ131076 BCV131076 BMR131076 BWN131076 CGJ131076 CQF131076 DAB131076 DJX131076 DTT131076 EDP131076 ENL131076 EXH131076 FHD131076 FQZ131076 GAV131076 GKR131076 GUN131076 HEJ131076 HOF131076 HYB131076 IHX131076 IRT131076 JBP131076 JLL131076 JVH131076 KFD131076 KOZ131076 KYV131076 LIR131076 LSN131076 MCJ131076 MMF131076 MWB131076 NFX131076 NPT131076 NZP131076 OJL131076 OTH131076 PDD131076 PMZ131076 PWV131076 QGR131076 QQN131076 RAJ131076 RKF131076 RUB131076 SDX131076 SNT131076 SXP131076 THL131076 TRH131076 UBD131076 UKZ131076 UUV131076 VER131076 VON131076 VYJ131076 WIF131076 WSB131076 AA196612 FP196612 PL196612 ZH196612 AJD196612 ASZ196612 BCV196612 BMR196612 BWN196612 CGJ196612 CQF196612 DAB196612 DJX196612 DTT196612 EDP196612 ENL196612 EXH196612 FHD196612 FQZ196612 GAV196612 GKR196612 GUN196612 HEJ196612 HOF196612 HYB196612 IHX196612 IRT196612 JBP196612 JLL196612 JVH196612 KFD196612 KOZ196612 KYV196612 LIR196612 LSN196612 MCJ196612 MMF196612 MWB196612 NFX196612 NPT196612 NZP196612 OJL196612 OTH196612 PDD196612 PMZ196612 PWV196612 QGR196612 QQN196612 RAJ196612 RKF196612 RUB196612 SDX196612 SNT196612 SXP196612 THL196612 TRH196612 UBD196612 UKZ196612 UUV196612 VER196612 VON196612 VYJ196612 WIF196612 WSB196612 AA262148 FP262148 PL262148 ZH262148 AJD262148 ASZ262148 BCV262148 BMR262148 BWN262148 CGJ262148 CQF262148 DAB262148 DJX262148 DTT262148 EDP262148 ENL262148 EXH262148 FHD262148 FQZ262148 GAV262148 GKR262148 GUN262148 HEJ262148 HOF262148 HYB262148 IHX262148 IRT262148 JBP262148 JLL262148 JVH262148 KFD262148 KOZ262148 KYV262148 LIR262148 LSN262148 MCJ262148 MMF262148 MWB262148 NFX262148 NPT262148 NZP262148 OJL262148 OTH262148 PDD262148 PMZ262148 PWV262148 QGR262148 QQN262148 RAJ262148 RKF262148 RUB262148 SDX262148 SNT262148 SXP262148 THL262148 TRH262148 UBD262148 UKZ262148 UUV262148 VER262148 VON262148 VYJ262148 WIF262148 WSB262148 AA327684 FP327684 PL327684 ZH327684 AJD327684 ASZ327684 BCV327684 BMR327684 BWN327684 CGJ327684 CQF327684 DAB327684 DJX327684 DTT327684 EDP327684 ENL327684 EXH327684 FHD327684 FQZ327684 GAV327684 GKR327684 GUN327684 HEJ327684 HOF327684 HYB327684 IHX327684 IRT327684 JBP327684 JLL327684 JVH327684 KFD327684 KOZ327684 KYV327684 LIR327684 LSN327684 MCJ327684 MMF327684 MWB327684 NFX327684 NPT327684 NZP327684 OJL327684 OTH327684 PDD327684 PMZ327684 PWV327684 QGR327684 QQN327684 RAJ327684 RKF327684 RUB327684 SDX327684 SNT327684 SXP327684 THL327684 TRH327684 UBD327684 UKZ327684 UUV327684 VER327684 VON327684 VYJ327684 WIF327684 WSB327684 AA393220 FP393220 PL393220 ZH393220 AJD393220 ASZ393220 BCV393220 BMR393220 BWN393220 CGJ393220 CQF393220 DAB393220 DJX393220 DTT393220 EDP393220 ENL393220 EXH393220 FHD393220 FQZ393220 GAV393220 GKR393220 GUN393220 HEJ393220 HOF393220 HYB393220 IHX393220 IRT393220 JBP393220 JLL393220 JVH393220 KFD393220 KOZ393220 KYV393220 LIR393220 LSN393220 MCJ393220 MMF393220 MWB393220 NFX393220 NPT393220 NZP393220 OJL393220 OTH393220 PDD393220 PMZ393220 PWV393220 QGR393220 QQN393220 RAJ393220 RKF393220 RUB393220 SDX393220 SNT393220 SXP393220 THL393220 TRH393220 UBD393220 UKZ393220 UUV393220 VER393220 VON393220 VYJ393220 WIF393220 WSB393220 AA458756 FP458756 PL458756 ZH458756 AJD458756 ASZ458756 BCV458756 BMR458756 BWN458756 CGJ458756 CQF458756 DAB458756 DJX458756 DTT458756 EDP458756 ENL458756 EXH458756 FHD458756 FQZ458756 GAV458756 GKR458756 GUN458756 HEJ458756 HOF458756 HYB458756 IHX458756 IRT458756 JBP458756 JLL458756 JVH458756 KFD458756 KOZ458756 KYV458756 LIR458756 LSN458756 MCJ458756 MMF458756 MWB458756 NFX458756 NPT458756 NZP458756 OJL458756 OTH458756 PDD458756 PMZ458756 PWV458756 QGR458756 QQN458756 RAJ458756 RKF458756 RUB458756 SDX458756 SNT458756 SXP458756 THL458756 TRH458756 UBD458756 UKZ458756 UUV458756 VER458756 VON458756 VYJ458756 WIF458756 WSB458756 AA524292 FP524292 PL524292 ZH524292 AJD524292 ASZ524292 BCV524292 BMR524292 BWN524292 CGJ524292 CQF524292 DAB524292 DJX524292 DTT524292 EDP524292 ENL524292 EXH524292 FHD524292 FQZ524292 GAV524292 GKR524292 GUN524292 HEJ524292 HOF524292 HYB524292 IHX524292 IRT524292 JBP524292 JLL524292 JVH524292 KFD524292 KOZ524292 KYV524292 LIR524292 LSN524292 MCJ524292 MMF524292 MWB524292 NFX524292 NPT524292 NZP524292 OJL524292 OTH524292 PDD524292 PMZ524292 PWV524292 QGR524292 QQN524292 RAJ524292 RKF524292 RUB524292 SDX524292 SNT524292 SXP524292 THL524292 TRH524292 UBD524292 UKZ524292 UUV524292 VER524292 VON524292 VYJ524292 WIF524292 WSB524292 AA589828 FP589828 PL589828 ZH589828 AJD589828 ASZ589828 BCV589828 BMR589828 BWN589828 CGJ589828 CQF589828 DAB589828 DJX589828 DTT589828 EDP589828 ENL589828 EXH589828 FHD589828 FQZ589828 GAV589828 GKR589828 GUN589828 HEJ589828 HOF589828 HYB589828 IHX589828 IRT589828 JBP589828 JLL589828 JVH589828 KFD589828 KOZ589828 KYV589828 LIR589828 LSN589828 MCJ589828 MMF589828 MWB589828 NFX589828 NPT589828 NZP589828 OJL589828 OTH589828 PDD589828 PMZ589828 PWV589828 QGR589828 QQN589828 RAJ589828 RKF589828 RUB589828 SDX589828 SNT589828 SXP589828 THL589828 TRH589828 UBD589828 UKZ589828 UUV589828 VER589828 VON589828 VYJ589828 WIF589828 WSB589828 AA655364 FP655364 PL655364 ZH655364 AJD655364 ASZ655364 BCV655364 BMR655364 BWN655364 CGJ655364 CQF655364 DAB655364 DJX655364 DTT655364 EDP655364 ENL655364 EXH655364 FHD655364 FQZ655364 GAV655364 GKR655364 GUN655364 HEJ655364 HOF655364 HYB655364 IHX655364 IRT655364 JBP655364 JLL655364 JVH655364 KFD655364 KOZ655364 KYV655364 LIR655364 LSN655364 MCJ655364 MMF655364 MWB655364 NFX655364 NPT655364 NZP655364 OJL655364 OTH655364 PDD655364 PMZ655364 PWV655364 QGR655364 QQN655364 RAJ655364 RKF655364 RUB655364 SDX655364 SNT655364 SXP655364 THL655364 TRH655364 UBD655364 UKZ655364 UUV655364 VER655364 VON655364 VYJ655364 WIF655364 WSB655364 AA720900 FP720900 PL720900 ZH720900 AJD720900 ASZ720900 BCV720900 BMR720900 BWN720900 CGJ720900 CQF720900 DAB720900 DJX720900 DTT720900 EDP720900 ENL720900 EXH720900 FHD720900 FQZ720900 GAV720900 GKR720900 GUN720900 HEJ720900 HOF720900 HYB720900 IHX720900 IRT720900 JBP720900 JLL720900 JVH720900 KFD720900 KOZ720900 KYV720900 LIR720900 LSN720900 MCJ720900 MMF720900 MWB720900 NFX720900 NPT720900 NZP720900 OJL720900 OTH720900 PDD720900 PMZ720900 PWV720900 QGR720900 QQN720900 RAJ720900 RKF720900 RUB720900 SDX720900 SNT720900 SXP720900 THL720900 TRH720900 UBD720900 UKZ720900 UUV720900 VER720900 VON720900 VYJ720900 WIF720900 WSB720900 AA786436 FP786436 PL786436 ZH786436 AJD786436 ASZ786436 BCV786436 BMR786436 BWN786436 CGJ786436 CQF786436 DAB786436 DJX786436 DTT786436 EDP786436 ENL786436 EXH786436 FHD786436 FQZ786436 GAV786436 GKR786436 GUN786436 HEJ786436 HOF786436 HYB786436 IHX786436 IRT786436 JBP786436 JLL786436 JVH786436 KFD786436 KOZ786436 KYV786436 LIR786436 LSN786436 MCJ786436 MMF786436 MWB786436 NFX786436 NPT786436 NZP786436 OJL786436 OTH786436 PDD786436 PMZ786436 PWV786436 QGR786436 QQN786436 RAJ786436 RKF786436 RUB786436 SDX786436 SNT786436 SXP786436 THL786436 TRH786436 UBD786436 UKZ786436 UUV786436 VER786436 VON786436 VYJ786436 WIF786436 WSB786436 AA851972 FP851972 PL851972 ZH851972 AJD851972 ASZ851972 BCV851972 BMR851972 BWN851972 CGJ851972 CQF851972 DAB851972 DJX851972 DTT851972 EDP851972 ENL851972 EXH851972 FHD851972 FQZ851972 GAV851972 GKR851972 GUN851972 HEJ851972 HOF851972 HYB851972 IHX851972 IRT851972 JBP851972 JLL851972 JVH851972 KFD851972 KOZ851972 KYV851972 LIR851972 LSN851972 MCJ851972 MMF851972 MWB851972 NFX851972 NPT851972 NZP851972 OJL851972 OTH851972 PDD851972 PMZ851972 PWV851972 QGR851972 QQN851972 RAJ851972 RKF851972 RUB851972 SDX851972 SNT851972 SXP851972 THL851972 TRH851972 UBD851972 UKZ851972 UUV851972 VER851972 VON851972 VYJ851972 WIF851972 WSB851972 AA917508 FP917508 PL917508 ZH917508 AJD917508 ASZ917508 BCV917508 BMR917508 BWN917508 CGJ917508 CQF917508 DAB917508 DJX917508 DTT917508 EDP917508 ENL917508 EXH917508 FHD917508 FQZ917508 GAV917508 GKR917508 GUN917508 HEJ917508 HOF917508 HYB917508 IHX917508 IRT917508 JBP917508 JLL917508 JVH917508 KFD917508 KOZ917508 KYV917508 LIR917508 LSN917508 MCJ917508 MMF917508 MWB917508 NFX917508 NPT917508 NZP917508 OJL917508 OTH917508 PDD917508 PMZ917508 PWV917508 QGR917508 QQN917508 RAJ917508 RKF917508 RUB917508 SDX917508 SNT917508 SXP917508 THL917508 TRH917508 UBD917508 UKZ917508 UUV917508 VER917508 VON917508 VYJ917508 WIF917508 WSB917508 AA983044 FP983044 PL983044 ZH983044 AJD983044 ASZ983044 BCV983044 BMR983044 BWN983044 CGJ983044 CQF983044 DAB983044 DJX983044 DTT983044 EDP983044 ENL983044 EXH983044 FHD983044 FQZ983044 GAV983044 GKR983044 GUN983044 HEJ983044 HOF983044 HYB983044 IHX983044 IRT983044 JBP983044 JLL983044 JVH983044 KFD983044 KOZ983044 KYV983044 LIR983044 LSN983044 MCJ983044 MMF983044 MWB983044 NFX983044 NPT983044 NZP983044 OJL983044 OTH983044 PDD983044 PMZ983044 PWV983044 QGR983044 QQN983044 RAJ983044 RKF983044 RUB983044 SDX983044 SNT983044 SXP983044 THL983044 TRH983044 UBD983044 UKZ983044 UUV983044 VER983044 VON983044 VYJ983044 T983044:Y983044 T917508:Y917508 T851972:Y851972 T786436:Y786436 T720900:Y720900 T655364:Y655364 T589828:Y589828 T524292:Y524292 T458756:Y458756 T393220:Y393220 T327684:Y327684 T262148:Y262148 T196612:Y196612 T131076:Y131076 T65540:Y65540" xr:uid="{D870E929-0EA9-4578-95A2-BDF21B95AF88}">
      <formula1>"Ｍ３（部長）,Ｍ２（Ｍ）,Ｍ１（ＰＭ）,Ｓ２,Ｓ１,Ｒ４,Ｒ３,Ｒ２,Ｒ１"</formula1>
    </dataValidation>
  </dataValidations>
  <pageMargins left="0.70866141732283472" right="0.31496062992125984" top="0.55118110236220474" bottom="0.35433070866141736" header="0.31496062992125984" footer="0.31496062992125984"/>
  <pageSetup paperSize="9" scale="51"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DE3BF-1186-4E2C-B500-9888271AFD68}">
  <sheetPr>
    <pageSetUpPr fitToPage="1"/>
  </sheetPr>
  <dimension ref="A1:AR63"/>
  <sheetViews>
    <sheetView zoomScale="50" zoomScaleNormal="50" workbookViewId="0">
      <selection activeCell="G31" sqref="G31:G36"/>
    </sheetView>
  </sheetViews>
  <sheetFormatPr defaultColWidth="2.7109375" defaultRowHeight="13.15"/>
  <cols>
    <col min="1" max="1" width="4.28515625" style="85" customWidth="1"/>
    <col min="2" max="7" width="6.7109375" style="84" customWidth="1"/>
    <col min="8" max="25" width="5.140625" style="84" customWidth="1"/>
    <col min="26" max="26" width="7.140625" style="84" customWidth="1"/>
    <col min="27" max="44" width="5.140625" style="84" customWidth="1"/>
    <col min="45" max="141" width="2.7109375" style="84"/>
    <col min="142" max="159" width="4.28515625" style="84" customWidth="1"/>
    <col min="160" max="160" width="5.42578125" style="84" customWidth="1"/>
    <col min="161" max="170" width="4.28515625" style="84" customWidth="1"/>
    <col min="171" max="171" width="7.140625" style="84" customWidth="1"/>
    <col min="172" max="189" width="4.28515625" style="84" customWidth="1"/>
    <col min="190" max="397" width="2.7109375" style="84"/>
    <col min="398" max="415" width="4.28515625" style="84" customWidth="1"/>
    <col min="416" max="416" width="5.42578125" style="84" customWidth="1"/>
    <col min="417" max="426" width="4.28515625" style="84" customWidth="1"/>
    <col min="427" max="427" width="7.140625" style="84" customWidth="1"/>
    <col min="428" max="445" width="4.28515625" style="84" customWidth="1"/>
    <col min="446" max="653" width="2.7109375" style="84"/>
    <col min="654" max="671" width="4.28515625" style="84" customWidth="1"/>
    <col min="672" max="672" width="5.42578125" style="84" customWidth="1"/>
    <col min="673" max="682" width="4.28515625" style="84" customWidth="1"/>
    <col min="683" max="683" width="7.140625" style="84" customWidth="1"/>
    <col min="684" max="701" width="4.28515625" style="84" customWidth="1"/>
    <col min="702" max="909" width="2.7109375" style="84"/>
    <col min="910" max="927" width="4.28515625" style="84" customWidth="1"/>
    <col min="928" max="928" width="5.42578125" style="84" customWidth="1"/>
    <col min="929" max="938" width="4.28515625" style="84" customWidth="1"/>
    <col min="939" max="939" width="7.140625" style="84" customWidth="1"/>
    <col min="940" max="957" width="4.28515625" style="84" customWidth="1"/>
    <col min="958" max="1165" width="2.7109375" style="84"/>
    <col min="1166" max="1183" width="4.28515625" style="84" customWidth="1"/>
    <col min="1184" max="1184" width="5.42578125" style="84" customWidth="1"/>
    <col min="1185" max="1194" width="4.28515625" style="84" customWidth="1"/>
    <col min="1195" max="1195" width="7.140625" style="84" customWidth="1"/>
    <col min="1196" max="1213" width="4.28515625" style="84" customWidth="1"/>
    <col min="1214" max="1421" width="2.7109375" style="84"/>
    <col min="1422" max="1439" width="4.28515625" style="84" customWidth="1"/>
    <col min="1440" max="1440" width="5.42578125" style="84" customWidth="1"/>
    <col min="1441" max="1450" width="4.28515625" style="84" customWidth="1"/>
    <col min="1451" max="1451" width="7.140625" style="84" customWidth="1"/>
    <col min="1452" max="1469" width="4.28515625" style="84" customWidth="1"/>
    <col min="1470" max="1677" width="2.7109375" style="84"/>
    <col min="1678" max="1695" width="4.28515625" style="84" customWidth="1"/>
    <col min="1696" max="1696" width="5.42578125" style="84" customWidth="1"/>
    <col min="1697" max="1706" width="4.28515625" style="84" customWidth="1"/>
    <col min="1707" max="1707" width="7.140625" style="84" customWidth="1"/>
    <col min="1708" max="1725" width="4.28515625" style="84" customWidth="1"/>
    <col min="1726" max="1933" width="2.7109375" style="84"/>
    <col min="1934" max="1951" width="4.28515625" style="84" customWidth="1"/>
    <col min="1952" max="1952" width="5.42578125" style="84" customWidth="1"/>
    <col min="1953" max="1962" width="4.28515625" style="84" customWidth="1"/>
    <col min="1963" max="1963" width="7.140625" style="84" customWidth="1"/>
    <col min="1964" max="1981" width="4.28515625" style="84" customWidth="1"/>
    <col min="1982" max="2189" width="2.7109375" style="84"/>
    <col min="2190" max="2207" width="4.28515625" style="84" customWidth="1"/>
    <col min="2208" max="2208" width="5.42578125" style="84" customWidth="1"/>
    <col min="2209" max="2218" width="4.28515625" style="84" customWidth="1"/>
    <col min="2219" max="2219" width="7.140625" style="84" customWidth="1"/>
    <col min="2220" max="2237" width="4.28515625" style="84" customWidth="1"/>
    <col min="2238" max="2445" width="2.7109375" style="84"/>
    <col min="2446" max="2463" width="4.28515625" style="84" customWidth="1"/>
    <col min="2464" max="2464" width="5.42578125" style="84" customWidth="1"/>
    <col min="2465" max="2474" width="4.28515625" style="84" customWidth="1"/>
    <col min="2475" max="2475" width="7.140625" style="84" customWidth="1"/>
    <col min="2476" max="2493" width="4.28515625" style="84" customWidth="1"/>
    <col min="2494" max="2701" width="2.7109375" style="84"/>
    <col min="2702" max="2719" width="4.28515625" style="84" customWidth="1"/>
    <col min="2720" max="2720" width="5.42578125" style="84" customWidth="1"/>
    <col min="2721" max="2730" width="4.28515625" style="84" customWidth="1"/>
    <col min="2731" max="2731" width="7.140625" style="84" customWidth="1"/>
    <col min="2732" max="2749" width="4.28515625" style="84" customWidth="1"/>
    <col min="2750" max="2957" width="2.7109375" style="84"/>
    <col min="2958" max="2975" width="4.28515625" style="84" customWidth="1"/>
    <col min="2976" max="2976" width="5.42578125" style="84" customWidth="1"/>
    <col min="2977" max="2986" width="4.28515625" style="84" customWidth="1"/>
    <col min="2987" max="2987" width="7.140625" style="84" customWidth="1"/>
    <col min="2988" max="3005" width="4.28515625" style="84" customWidth="1"/>
    <col min="3006" max="3213" width="2.7109375" style="84"/>
    <col min="3214" max="3231" width="4.28515625" style="84" customWidth="1"/>
    <col min="3232" max="3232" width="5.42578125" style="84" customWidth="1"/>
    <col min="3233" max="3242" width="4.28515625" style="84" customWidth="1"/>
    <col min="3243" max="3243" width="7.140625" style="84" customWidth="1"/>
    <col min="3244" max="3261" width="4.28515625" style="84" customWidth="1"/>
    <col min="3262" max="3469" width="2.7109375" style="84"/>
    <col min="3470" max="3487" width="4.28515625" style="84" customWidth="1"/>
    <col min="3488" max="3488" width="5.42578125" style="84" customWidth="1"/>
    <col min="3489" max="3498" width="4.28515625" style="84" customWidth="1"/>
    <col min="3499" max="3499" width="7.140625" style="84" customWidth="1"/>
    <col min="3500" max="3517" width="4.28515625" style="84" customWidth="1"/>
    <col min="3518" max="3725" width="2.7109375" style="84"/>
    <col min="3726" max="3743" width="4.28515625" style="84" customWidth="1"/>
    <col min="3744" max="3744" width="5.42578125" style="84" customWidth="1"/>
    <col min="3745" max="3754" width="4.28515625" style="84" customWidth="1"/>
    <col min="3755" max="3755" width="7.140625" style="84" customWidth="1"/>
    <col min="3756" max="3773" width="4.28515625" style="84" customWidth="1"/>
    <col min="3774" max="3981" width="2.7109375" style="84"/>
    <col min="3982" max="3999" width="4.28515625" style="84" customWidth="1"/>
    <col min="4000" max="4000" width="5.42578125" style="84" customWidth="1"/>
    <col min="4001" max="4010" width="4.28515625" style="84" customWidth="1"/>
    <col min="4011" max="4011" width="7.140625" style="84" customWidth="1"/>
    <col min="4012" max="4029" width="4.28515625" style="84" customWidth="1"/>
    <col min="4030" max="4237" width="2.7109375" style="84"/>
    <col min="4238" max="4255" width="4.28515625" style="84" customWidth="1"/>
    <col min="4256" max="4256" width="5.42578125" style="84" customWidth="1"/>
    <col min="4257" max="4266" width="4.28515625" style="84" customWidth="1"/>
    <col min="4267" max="4267" width="7.140625" style="84" customWidth="1"/>
    <col min="4268" max="4285" width="4.28515625" style="84" customWidth="1"/>
    <col min="4286" max="4493" width="2.7109375" style="84"/>
    <col min="4494" max="4511" width="4.28515625" style="84" customWidth="1"/>
    <col min="4512" max="4512" width="5.42578125" style="84" customWidth="1"/>
    <col min="4513" max="4522" width="4.28515625" style="84" customWidth="1"/>
    <col min="4523" max="4523" width="7.140625" style="84" customWidth="1"/>
    <col min="4524" max="4541" width="4.28515625" style="84" customWidth="1"/>
    <col min="4542" max="4749" width="2.7109375" style="84"/>
    <col min="4750" max="4767" width="4.28515625" style="84" customWidth="1"/>
    <col min="4768" max="4768" width="5.42578125" style="84" customWidth="1"/>
    <col min="4769" max="4778" width="4.28515625" style="84" customWidth="1"/>
    <col min="4779" max="4779" width="7.140625" style="84" customWidth="1"/>
    <col min="4780" max="4797" width="4.28515625" style="84" customWidth="1"/>
    <col min="4798" max="5005" width="2.7109375" style="84"/>
    <col min="5006" max="5023" width="4.28515625" style="84" customWidth="1"/>
    <col min="5024" max="5024" width="5.42578125" style="84" customWidth="1"/>
    <col min="5025" max="5034" width="4.28515625" style="84" customWidth="1"/>
    <col min="5035" max="5035" width="7.140625" style="84" customWidth="1"/>
    <col min="5036" max="5053" width="4.28515625" style="84" customWidth="1"/>
    <col min="5054" max="5261" width="2.7109375" style="84"/>
    <col min="5262" max="5279" width="4.28515625" style="84" customWidth="1"/>
    <col min="5280" max="5280" width="5.42578125" style="84" customWidth="1"/>
    <col min="5281" max="5290" width="4.28515625" style="84" customWidth="1"/>
    <col min="5291" max="5291" width="7.140625" style="84" customWidth="1"/>
    <col min="5292" max="5309" width="4.28515625" style="84" customWidth="1"/>
    <col min="5310" max="5517" width="2.7109375" style="84"/>
    <col min="5518" max="5535" width="4.28515625" style="84" customWidth="1"/>
    <col min="5536" max="5536" width="5.42578125" style="84" customWidth="1"/>
    <col min="5537" max="5546" width="4.28515625" style="84" customWidth="1"/>
    <col min="5547" max="5547" width="7.140625" style="84" customWidth="1"/>
    <col min="5548" max="5565" width="4.28515625" style="84" customWidth="1"/>
    <col min="5566" max="5773" width="2.7109375" style="84"/>
    <col min="5774" max="5791" width="4.28515625" style="84" customWidth="1"/>
    <col min="5792" max="5792" width="5.42578125" style="84" customWidth="1"/>
    <col min="5793" max="5802" width="4.28515625" style="84" customWidth="1"/>
    <col min="5803" max="5803" width="7.140625" style="84" customWidth="1"/>
    <col min="5804" max="5821" width="4.28515625" style="84" customWidth="1"/>
    <col min="5822" max="6029" width="2.7109375" style="84"/>
    <col min="6030" max="6047" width="4.28515625" style="84" customWidth="1"/>
    <col min="6048" max="6048" width="5.42578125" style="84" customWidth="1"/>
    <col min="6049" max="6058" width="4.28515625" style="84" customWidth="1"/>
    <col min="6059" max="6059" width="7.140625" style="84" customWidth="1"/>
    <col min="6060" max="6077" width="4.28515625" style="84" customWidth="1"/>
    <col min="6078" max="6285" width="2.7109375" style="84"/>
    <col min="6286" max="6303" width="4.28515625" style="84" customWidth="1"/>
    <col min="6304" max="6304" width="5.42578125" style="84" customWidth="1"/>
    <col min="6305" max="6314" width="4.28515625" style="84" customWidth="1"/>
    <col min="6315" max="6315" width="7.140625" style="84" customWidth="1"/>
    <col min="6316" max="6333" width="4.28515625" style="84" customWidth="1"/>
    <col min="6334" max="6541" width="2.7109375" style="84"/>
    <col min="6542" max="6559" width="4.28515625" style="84" customWidth="1"/>
    <col min="6560" max="6560" width="5.42578125" style="84" customWidth="1"/>
    <col min="6561" max="6570" width="4.28515625" style="84" customWidth="1"/>
    <col min="6571" max="6571" width="7.140625" style="84" customWidth="1"/>
    <col min="6572" max="6589" width="4.28515625" style="84" customWidth="1"/>
    <col min="6590" max="6797" width="2.7109375" style="84"/>
    <col min="6798" max="6815" width="4.28515625" style="84" customWidth="1"/>
    <col min="6816" max="6816" width="5.42578125" style="84" customWidth="1"/>
    <col min="6817" max="6826" width="4.28515625" style="84" customWidth="1"/>
    <col min="6827" max="6827" width="7.140625" style="84" customWidth="1"/>
    <col min="6828" max="6845" width="4.28515625" style="84" customWidth="1"/>
    <col min="6846" max="7053" width="2.7109375" style="84"/>
    <col min="7054" max="7071" width="4.28515625" style="84" customWidth="1"/>
    <col min="7072" max="7072" width="5.42578125" style="84" customWidth="1"/>
    <col min="7073" max="7082" width="4.28515625" style="84" customWidth="1"/>
    <col min="7083" max="7083" width="7.140625" style="84" customWidth="1"/>
    <col min="7084" max="7101" width="4.28515625" style="84" customWidth="1"/>
    <col min="7102" max="7309" width="2.7109375" style="84"/>
    <col min="7310" max="7327" width="4.28515625" style="84" customWidth="1"/>
    <col min="7328" max="7328" width="5.42578125" style="84" customWidth="1"/>
    <col min="7329" max="7338" width="4.28515625" style="84" customWidth="1"/>
    <col min="7339" max="7339" width="7.140625" style="84" customWidth="1"/>
    <col min="7340" max="7357" width="4.28515625" style="84" customWidth="1"/>
    <col min="7358" max="7565" width="2.7109375" style="84"/>
    <col min="7566" max="7583" width="4.28515625" style="84" customWidth="1"/>
    <col min="7584" max="7584" width="5.42578125" style="84" customWidth="1"/>
    <col min="7585" max="7594" width="4.28515625" style="84" customWidth="1"/>
    <col min="7595" max="7595" width="7.140625" style="84" customWidth="1"/>
    <col min="7596" max="7613" width="4.28515625" style="84" customWidth="1"/>
    <col min="7614" max="7821" width="2.7109375" style="84"/>
    <col min="7822" max="7839" width="4.28515625" style="84" customWidth="1"/>
    <col min="7840" max="7840" width="5.42578125" style="84" customWidth="1"/>
    <col min="7841" max="7850" width="4.28515625" style="84" customWidth="1"/>
    <col min="7851" max="7851" width="7.140625" style="84" customWidth="1"/>
    <col min="7852" max="7869" width="4.28515625" style="84" customWidth="1"/>
    <col min="7870" max="8077" width="2.7109375" style="84"/>
    <col min="8078" max="8095" width="4.28515625" style="84" customWidth="1"/>
    <col min="8096" max="8096" width="5.42578125" style="84" customWidth="1"/>
    <col min="8097" max="8106" width="4.28515625" style="84" customWidth="1"/>
    <col min="8107" max="8107" width="7.140625" style="84" customWidth="1"/>
    <col min="8108" max="8125" width="4.28515625" style="84" customWidth="1"/>
    <col min="8126" max="8333" width="2.7109375" style="84"/>
    <col min="8334" max="8351" width="4.28515625" style="84" customWidth="1"/>
    <col min="8352" max="8352" width="5.42578125" style="84" customWidth="1"/>
    <col min="8353" max="8362" width="4.28515625" style="84" customWidth="1"/>
    <col min="8363" max="8363" width="7.140625" style="84" customWidth="1"/>
    <col min="8364" max="8381" width="4.28515625" style="84" customWidth="1"/>
    <col min="8382" max="8589" width="2.7109375" style="84"/>
    <col min="8590" max="8607" width="4.28515625" style="84" customWidth="1"/>
    <col min="8608" max="8608" width="5.42578125" style="84" customWidth="1"/>
    <col min="8609" max="8618" width="4.28515625" style="84" customWidth="1"/>
    <col min="8619" max="8619" width="7.140625" style="84" customWidth="1"/>
    <col min="8620" max="8637" width="4.28515625" style="84" customWidth="1"/>
    <col min="8638" max="8845" width="2.7109375" style="84"/>
    <col min="8846" max="8863" width="4.28515625" style="84" customWidth="1"/>
    <col min="8864" max="8864" width="5.42578125" style="84" customWidth="1"/>
    <col min="8865" max="8874" width="4.28515625" style="84" customWidth="1"/>
    <col min="8875" max="8875" width="7.140625" style="84" customWidth="1"/>
    <col min="8876" max="8893" width="4.28515625" style="84" customWidth="1"/>
    <col min="8894" max="9101" width="2.7109375" style="84"/>
    <col min="9102" max="9119" width="4.28515625" style="84" customWidth="1"/>
    <col min="9120" max="9120" width="5.42578125" style="84" customWidth="1"/>
    <col min="9121" max="9130" width="4.28515625" style="84" customWidth="1"/>
    <col min="9131" max="9131" width="7.140625" style="84" customWidth="1"/>
    <col min="9132" max="9149" width="4.28515625" style="84" customWidth="1"/>
    <col min="9150" max="9357" width="2.7109375" style="84"/>
    <col min="9358" max="9375" width="4.28515625" style="84" customWidth="1"/>
    <col min="9376" max="9376" width="5.42578125" style="84" customWidth="1"/>
    <col min="9377" max="9386" width="4.28515625" style="84" customWidth="1"/>
    <col min="9387" max="9387" width="7.140625" style="84" customWidth="1"/>
    <col min="9388" max="9405" width="4.28515625" style="84" customWidth="1"/>
    <col min="9406" max="9613" width="2.7109375" style="84"/>
    <col min="9614" max="9631" width="4.28515625" style="84" customWidth="1"/>
    <col min="9632" max="9632" width="5.42578125" style="84" customWidth="1"/>
    <col min="9633" max="9642" width="4.28515625" style="84" customWidth="1"/>
    <col min="9643" max="9643" width="7.140625" style="84" customWidth="1"/>
    <col min="9644" max="9661" width="4.28515625" style="84" customWidth="1"/>
    <col min="9662" max="9869" width="2.7109375" style="84"/>
    <col min="9870" max="9887" width="4.28515625" style="84" customWidth="1"/>
    <col min="9888" max="9888" width="5.42578125" style="84" customWidth="1"/>
    <col min="9889" max="9898" width="4.28515625" style="84" customWidth="1"/>
    <col min="9899" max="9899" width="7.140625" style="84" customWidth="1"/>
    <col min="9900" max="9917" width="4.28515625" style="84" customWidth="1"/>
    <col min="9918" max="10125" width="2.7109375" style="84"/>
    <col min="10126" max="10143" width="4.28515625" style="84" customWidth="1"/>
    <col min="10144" max="10144" width="5.42578125" style="84" customWidth="1"/>
    <col min="10145" max="10154" width="4.28515625" style="84" customWidth="1"/>
    <col min="10155" max="10155" width="7.140625" style="84" customWidth="1"/>
    <col min="10156" max="10173" width="4.28515625" style="84" customWidth="1"/>
    <col min="10174" max="10381" width="2.7109375" style="84"/>
    <col min="10382" max="10399" width="4.28515625" style="84" customWidth="1"/>
    <col min="10400" max="10400" width="5.42578125" style="84" customWidth="1"/>
    <col min="10401" max="10410" width="4.28515625" style="84" customWidth="1"/>
    <col min="10411" max="10411" width="7.140625" style="84" customWidth="1"/>
    <col min="10412" max="10429" width="4.28515625" style="84" customWidth="1"/>
    <col min="10430" max="10637" width="2.7109375" style="84"/>
    <col min="10638" max="10655" width="4.28515625" style="84" customWidth="1"/>
    <col min="10656" max="10656" width="5.42578125" style="84" customWidth="1"/>
    <col min="10657" max="10666" width="4.28515625" style="84" customWidth="1"/>
    <col min="10667" max="10667" width="7.140625" style="84" customWidth="1"/>
    <col min="10668" max="10685" width="4.28515625" style="84" customWidth="1"/>
    <col min="10686" max="10893" width="2.7109375" style="84"/>
    <col min="10894" max="10911" width="4.28515625" style="84" customWidth="1"/>
    <col min="10912" max="10912" width="5.42578125" style="84" customWidth="1"/>
    <col min="10913" max="10922" width="4.28515625" style="84" customWidth="1"/>
    <col min="10923" max="10923" width="7.140625" style="84" customWidth="1"/>
    <col min="10924" max="10941" width="4.28515625" style="84" customWidth="1"/>
    <col min="10942" max="11149" width="2.7109375" style="84"/>
    <col min="11150" max="11167" width="4.28515625" style="84" customWidth="1"/>
    <col min="11168" max="11168" width="5.42578125" style="84" customWidth="1"/>
    <col min="11169" max="11178" width="4.28515625" style="84" customWidth="1"/>
    <col min="11179" max="11179" width="7.140625" style="84" customWidth="1"/>
    <col min="11180" max="11197" width="4.28515625" style="84" customWidth="1"/>
    <col min="11198" max="11405" width="2.7109375" style="84"/>
    <col min="11406" max="11423" width="4.28515625" style="84" customWidth="1"/>
    <col min="11424" max="11424" width="5.42578125" style="84" customWidth="1"/>
    <col min="11425" max="11434" width="4.28515625" style="84" customWidth="1"/>
    <col min="11435" max="11435" width="7.140625" style="84" customWidth="1"/>
    <col min="11436" max="11453" width="4.28515625" style="84" customWidth="1"/>
    <col min="11454" max="11661" width="2.7109375" style="84"/>
    <col min="11662" max="11679" width="4.28515625" style="84" customWidth="1"/>
    <col min="11680" max="11680" width="5.42578125" style="84" customWidth="1"/>
    <col min="11681" max="11690" width="4.28515625" style="84" customWidth="1"/>
    <col min="11691" max="11691" width="7.140625" style="84" customWidth="1"/>
    <col min="11692" max="11709" width="4.28515625" style="84" customWidth="1"/>
    <col min="11710" max="11917" width="2.7109375" style="84"/>
    <col min="11918" max="11935" width="4.28515625" style="84" customWidth="1"/>
    <col min="11936" max="11936" width="5.42578125" style="84" customWidth="1"/>
    <col min="11937" max="11946" width="4.28515625" style="84" customWidth="1"/>
    <col min="11947" max="11947" width="7.140625" style="84" customWidth="1"/>
    <col min="11948" max="11965" width="4.28515625" style="84" customWidth="1"/>
    <col min="11966" max="12173" width="2.7109375" style="84"/>
    <col min="12174" max="12191" width="4.28515625" style="84" customWidth="1"/>
    <col min="12192" max="12192" width="5.42578125" style="84" customWidth="1"/>
    <col min="12193" max="12202" width="4.28515625" style="84" customWidth="1"/>
    <col min="12203" max="12203" width="7.140625" style="84" customWidth="1"/>
    <col min="12204" max="12221" width="4.28515625" style="84" customWidth="1"/>
    <col min="12222" max="12429" width="2.7109375" style="84"/>
    <col min="12430" max="12447" width="4.28515625" style="84" customWidth="1"/>
    <col min="12448" max="12448" width="5.42578125" style="84" customWidth="1"/>
    <col min="12449" max="12458" width="4.28515625" style="84" customWidth="1"/>
    <col min="12459" max="12459" width="7.140625" style="84" customWidth="1"/>
    <col min="12460" max="12477" width="4.28515625" style="84" customWidth="1"/>
    <col min="12478" max="12685" width="2.7109375" style="84"/>
    <col min="12686" max="12703" width="4.28515625" style="84" customWidth="1"/>
    <col min="12704" max="12704" width="5.42578125" style="84" customWidth="1"/>
    <col min="12705" max="12714" width="4.28515625" style="84" customWidth="1"/>
    <col min="12715" max="12715" width="7.140625" style="84" customWidth="1"/>
    <col min="12716" max="12733" width="4.28515625" style="84" customWidth="1"/>
    <col min="12734" max="12941" width="2.7109375" style="84"/>
    <col min="12942" max="12959" width="4.28515625" style="84" customWidth="1"/>
    <col min="12960" max="12960" width="5.42578125" style="84" customWidth="1"/>
    <col min="12961" max="12970" width="4.28515625" style="84" customWidth="1"/>
    <col min="12971" max="12971" width="7.140625" style="84" customWidth="1"/>
    <col min="12972" max="12989" width="4.28515625" style="84" customWidth="1"/>
    <col min="12990" max="13197" width="2.7109375" style="84"/>
    <col min="13198" max="13215" width="4.28515625" style="84" customWidth="1"/>
    <col min="13216" max="13216" width="5.42578125" style="84" customWidth="1"/>
    <col min="13217" max="13226" width="4.28515625" style="84" customWidth="1"/>
    <col min="13227" max="13227" width="7.140625" style="84" customWidth="1"/>
    <col min="13228" max="13245" width="4.28515625" style="84" customWidth="1"/>
    <col min="13246" max="13453" width="2.7109375" style="84"/>
    <col min="13454" max="13471" width="4.28515625" style="84" customWidth="1"/>
    <col min="13472" max="13472" width="5.42578125" style="84" customWidth="1"/>
    <col min="13473" max="13482" width="4.28515625" style="84" customWidth="1"/>
    <col min="13483" max="13483" width="7.140625" style="84" customWidth="1"/>
    <col min="13484" max="13501" width="4.28515625" style="84" customWidth="1"/>
    <col min="13502" max="13709" width="2.7109375" style="84"/>
    <col min="13710" max="13727" width="4.28515625" style="84" customWidth="1"/>
    <col min="13728" max="13728" width="5.42578125" style="84" customWidth="1"/>
    <col min="13729" max="13738" width="4.28515625" style="84" customWidth="1"/>
    <col min="13739" max="13739" width="7.140625" style="84" customWidth="1"/>
    <col min="13740" max="13757" width="4.28515625" style="84" customWidth="1"/>
    <col min="13758" max="13965" width="2.7109375" style="84"/>
    <col min="13966" max="13983" width="4.28515625" style="84" customWidth="1"/>
    <col min="13984" max="13984" width="5.42578125" style="84" customWidth="1"/>
    <col min="13985" max="13994" width="4.28515625" style="84" customWidth="1"/>
    <col min="13995" max="13995" width="7.140625" style="84" customWidth="1"/>
    <col min="13996" max="14013" width="4.28515625" style="84" customWidth="1"/>
    <col min="14014" max="14221" width="2.7109375" style="84"/>
    <col min="14222" max="14239" width="4.28515625" style="84" customWidth="1"/>
    <col min="14240" max="14240" width="5.42578125" style="84" customWidth="1"/>
    <col min="14241" max="14250" width="4.28515625" style="84" customWidth="1"/>
    <col min="14251" max="14251" width="7.140625" style="84" customWidth="1"/>
    <col min="14252" max="14269" width="4.28515625" style="84" customWidth="1"/>
    <col min="14270" max="14477" width="2.7109375" style="84"/>
    <col min="14478" max="14495" width="4.28515625" style="84" customWidth="1"/>
    <col min="14496" max="14496" width="5.42578125" style="84" customWidth="1"/>
    <col min="14497" max="14506" width="4.28515625" style="84" customWidth="1"/>
    <col min="14507" max="14507" width="7.140625" style="84" customWidth="1"/>
    <col min="14508" max="14525" width="4.28515625" style="84" customWidth="1"/>
    <col min="14526" max="14733" width="2.7109375" style="84"/>
    <col min="14734" max="14751" width="4.28515625" style="84" customWidth="1"/>
    <col min="14752" max="14752" width="5.42578125" style="84" customWidth="1"/>
    <col min="14753" max="14762" width="4.28515625" style="84" customWidth="1"/>
    <col min="14763" max="14763" width="7.140625" style="84" customWidth="1"/>
    <col min="14764" max="14781" width="4.28515625" style="84" customWidth="1"/>
    <col min="14782" max="14989" width="2.7109375" style="84"/>
    <col min="14990" max="15007" width="4.28515625" style="84" customWidth="1"/>
    <col min="15008" max="15008" width="5.42578125" style="84" customWidth="1"/>
    <col min="15009" max="15018" width="4.28515625" style="84" customWidth="1"/>
    <col min="15019" max="15019" width="7.140625" style="84" customWidth="1"/>
    <col min="15020" max="15037" width="4.28515625" style="84" customWidth="1"/>
    <col min="15038" max="15245" width="2.7109375" style="84"/>
    <col min="15246" max="15263" width="4.28515625" style="84" customWidth="1"/>
    <col min="15264" max="15264" width="5.42578125" style="84" customWidth="1"/>
    <col min="15265" max="15274" width="4.28515625" style="84" customWidth="1"/>
    <col min="15275" max="15275" width="7.140625" style="84" customWidth="1"/>
    <col min="15276" max="15293" width="4.28515625" style="84" customWidth="1"/>
    <col min="15294" max="15501" width="2.7109375" style="84"/>
    <col min="15502" max="15519" width="4.28515625" style="84" customWidth="1"/>
    <col min="15520" max="15520" width="5.42578125" style="84" customWidth="1"/>
    <col min="15521" max="15530" width="4.28515625" style="84" customWidth="1"/>
    <col min="15531" max="15531" width="7.140625" style="84" customWidth="1"/>
    <col min="15532" max="15549" width="4.28515625" style="84" customWidth="1"/>
    <col min="15550" max="15757" width="2.7109375" style="84"/>
    <col min="15758" max="15775" width="4.28515625" style="84" customWidth="1"/>
    <col min="15776" max="15776" width="5.42578125" style="84" customWidth="1"/>
    <col min="15777" max="15786" width="4.28515625" style="84" customWidth="1"/>
    <col min="15787" max="15787" width="7.140625" style="84" customWidth="1"/>
    <col min="15788" max="15805" width="4.28515625" style="84" customWidth="1"/>
    <col min="15806" max="16013" width="2.7109375" style="84"/>
    <col min="16014" max="16031" width="4.28515625" style="84" customWidth="1"/>
    <col min="16032" max="16032" width="5.42578125" style="84" customWidth="1"/>
    <col min="16033" max="16042" width="4.28515625" style="84" customWidth="1"/>
    <col min="16043" max="16043" width="7.140625" style="84" customWidth="1"/>
    <col min="16044" max="16061" width="4.28515625" style="84" customWidth="1"/>
    <col min="16062" max="16384" width="2.7109375" style="84"/>
  </cols>
  <sheetData>
    <row r="1" spans="1:44" s="83" customFormat="1" ht="30" customHeight="1">
      <c r="A1" s="484" t="s">
        <v>163</v>
      </c>
      <c r="B1" s="484"/>
      <c r="C1" s="484"/>
      <c r="D1" s="484"/>
      <c r="E1" s="484"/>
      <c r="F1" s="484"/>
      <c r="G1" s="484"/>
      <c r="H1" s="484"/>
      <c r="I1" s="484"/>
      <c r="J1" s="484"/>
      <c r="K1" s="484"/>
      <c r="L1" s="484"/>
      <c r="M1" s="484"/>
      <c r="N1" s="484"/>
      <c r="O1" s="484"/>
      <c r="Y1" s="485" t="s">
        <v>164</v>
      </c>
      <c r="Z1" s="486"/>
      <c r="AA1" s="486"/>
      <c r="AB1" s="487" t="s">
        <v>210</v>
      </c>
      <c r="AC1" s="487"/>
      <c r="AD1" s="487"/>
      <c r="AE1" s="487"/>
      <c r="AF1" s="487"/>
      <c r="AG1" s="487"/>
      <c r="AH1" s="487"/>
      <c r="AI1" s="488"/>
      <c r="AJ1" s="486" t="s">
        <v>166</v>
      </c>
      <c r="AK1" s="486"/>
      <c r="AL1" s="486"/>
      <c r="AM1" s="487" t="s">
        <v>167</v>
      </c>
      <c r="AN1" s="487"/>
      <c r="AO1" s="487"/>
      <c r="AP1" s="487"/>
      <c r="AQ1" s="487"/>
      <c r="AR1" s="489"/>
    </row>
    <row r="2" spans="1:44" s="85" customFormat="1" ht="30" customHeight="1" thickBot="1">
      <c r="A2" s="484"/>
      <c r="B2" s="484"/>
      <c r="C2" s="484"/>
      <c r="D2" s="484"/>
      <c r="E2" s="484"/>
      <c r="F2" s="484"/>
      <c r="G2" s="484"/>
      <c r="H2" s="484"/>
      <c r="I2" s="484"/>
      <c r="J2" s="484"/>
      <c r="K2" s="484"/>
      <c r="L2" s="484"/>
      <c r="M2" s="484"/>
      <c r="N2" s="484"/>
      <c r="O2" s="484"/>
      <c r="Y2" s="490" t="s">
        <v>168</v>
      </c>
      <c r="Z2" s="491"/>
      <c r="AA2" s="491"/>
      <c r="AB2" s="492"/>
      <c r="AC2" s="492"/>
      <c r="AD2" s="492"/>
      <c r="AE2" s="492"/>
      <c r="AF2" s="492"/>
      <c r="AG2" s="492"/>
      <c r="AH2" s="492"/>
      <c r="AI2" s="493"/>
      <c r="AJ2" s="494" t="s">
        <v>169</v>
      </c>
      <c r="AK2" s="495"/>
      <c r="AL2" s="496"/>
      <c r="AM2" s="497"/>
      <c r="AN2" s="497"/>
      <c r="AO2" s="497"/>
      <c r="AP2" s="497"/>
      <c r="AQ2" s="497"/>
      <c r="AR2" s="498"/>
    </row>
    <row r="3" spans="1:44" s="85" customFormat="1" ht="30" customHeight="1" thickBot="1">
      <c r="A3" s="194"/>
      <c r="B3" s="194"/>
      <c r="C3" s="194"/>
      <c r="D3" s="194"/>
      <c r="E3" s="194"/>
      <c r="F3" s="194"/>
      <c r="G3" s="194"/>
      <c r="H3" s="194"/>
      <c r="I3" s="194"/>
      <c r="J3" s="194"/>
      <c r="K3" s="194"/>
      <c r="L3" s="194"/>
      <c r="M3" s="194"/>
      <c r="N3" s="194"/>
      <c r="O3" s="194"/>
      <c r="Y3" s="433" t="s">
        <v>170</v>
      </c>
      <c r="Z3" s="434"/>
      <c r="AA3" s="434"/>
      <c r="AB3" s="434"/>
      <c r="AC3" s="434"/>
      <c r="AD3" s="435"/>
      <c r="AE3" s="436"/>
      <c r="AF3" s="437"/>
      <c r="AG3" s="437"/>
      <c r="AH3" s="437"/>
      <c r="AI3" s="438"/>
      <c r="AJ3" s="439" t="s">
        <v>171</v>
      </c>
      <c r="AK3" s="440"/>
      <c r="AL3" s="441"/>
      <c r="AM3" s="442"/>
      <c r="AN3" s="443"/>
      <c r="AO3" s="443"/>
      <c r="AP3" s="443"/>
      <c r="AQ3" s="443"/>
      <c r="AR3" s="444"/>
    </row>
    <row r="4" spans="1:44" s="85" customFormat="1" ht="30.75" customHeight="1" thickBot="1">
      <c r="A4" s="445" t="s">
        <v>172</v>
      </c>
      <c r="B4" s="445"/>
      <c r="C4" s="445"/>
      <c r="D4" s="445"/>
      <c r="E4" s="445"/>
      <c r="S4" s="86"/>
      <c r="T4" s="86"/>
      <c r="U4" s="86"/>
      <c r="V4" s="86"/>
      <c r="W4" s="86"/>
      <c r="X4" s="86"/>
      <c r="Y4" s="86"/>
      <c r="Z4" s="86"/>
      <c r="AA4" s="86"/>
      <c r="AB4" s="86"/>
      <c r="AC4" s="86"/>
      <c r="AD4" s="86"/>
      <c r="AE4" s="86"/>
      <c r="AF4" s="86"/>
      <c r="AG4" s="86"/>
      <c r="AH4" s="86"/>
      <c r="AI4" s="86"/>
      <c r="AJ4" s="86"/>
      <c r="AK4" s="84"/>
    </row>
    <row r="5" spans="1:44" s="85" customFormat="1" ht="24" customHeight="1">
      <c r="A5" s="446" t="s">
        <v>173</v>
      </c>
      <c r="B5" s="447"/>
      <c r="C5" s="447"/>
      <c r="D5" s="447"/>
      <c r="E5" s="447"/>
      <c r="F5" s="447"/>
      <c r="G5" s="447"/>
      <c r="H5" s="447"/>
      <c r="I5" s="447"/>
      <c r="J5" s="447"/>
      <c r="K5" s="447"/>
      <c r="L5" s="447"/>
      <c r="M5" s="447"/>
      <c r="N5" s="447"/>
      <c r="O5" s="447"/>
      <c r="P5" s="447"/>
      <c r="Q5" s="447"/>
      <c r="R5" s="447"/>
      <c r="S5" s="447"/>
      <c r="T5" s="447"/>
      <c r="U5" s="447"/>
      <c r="V5" s="447"/>
      <c r="W5" s="447"/>
      <c r="X5" s="447"/>
      <c r="Y5" s="447"/>
      <c r="Z5" s="448"/>
      <c r="AA5" s="449" t="s">
        <v>174</v>
      </c>
      <c r="AB5" s="450"/>
      <c r="AC5" s="450"/>
      <c r="AD5" s="450"/>
      <c r="AE5" s="450"/>
      <c r="AF5" s="450"/>
      <c r="AG5" s="450"/>
      <c r="AH5" s="451"/>
      <c r="AI5" s="452" t="s">
        <v>175</v>
      </c>
      <c r="AJ5" s="453"/>
      <c r="AK5" s="453"/>
      <c r="AL5" s="453"/>
      <c r="AM5" s="453"/>
      <c r="AN5" s="453"/>
      <c r="AO5" s="453"/>
      <c r="AP5" s="454"/>
      <c r="AQ5" s="455" t="s">
        <v>176</v>
      </c>
      <c r="AR5" s="456"/>
    </row>
    <row r="6" spans="1:44" ht="15.6" customHeight="1">
      <c r="A6" s="279" t="s">
        <v>177</v>
      </c>
      <c r="B6" s="310" t="s">
        <v>178</v>
      </c>
      <c r="C6" s="311"/>
      <c r="D6" s="311"/>
      <c r="E6" s="311"/>
      <c r="F6" s="311"/>
      <c r="G6" s="312"/>
      <c r="H6" s="310" t="s">
        <v>179</v>
      </c>
      <c r="I6" s="311"/>
      <c r="J6" s="311"/>
      <c r="K6" s="311"/>
      <c r="L6" s="311"/>
      <c r="M6" s="311"/>
      <c r="N6" s="311"/>
      <c r="O6" s="311"/>
      <c r="P6" s="312"/>
      <c r="Q6" s="310" t="s">
        <v>180</v>
      </c>
      <c r="R6" s="311"/>
      <c r="S6" s="311"/>
      <c r="T6" s="311"/>
      <c r="U6" s="311"/>
      <c r="V6" s="311"/>
      <c r="W6" s="311"/>
      <c r="X6" s="311"/>
      <c r="Y6" s="312"/>
      <c r="Z6" s="461" t="s">
        <v>181</v>
      </c>
      <c r="AA6" s="464" t="s">
        <v>182</v>
      </c>
      <c r="AB6" s="465"/>
      <c r="AC6" s="465"/>
      <c r="AD6" s="465"/>
      <c r="AE6" s="465"/>
      <c r="AF6" s="465"/>
      <c r="AG6" s="465"/>
      <c r="AH6" s="466"/>
      <c r="AI6" s="467" t="s">
        <v>183</v>
      </c>
      <c r="AJ6" s="468"/>
      <c r="AK6" s="468"/>
      <c r="AL6" s="468"/>
      <c r="AM6" s="468"/>
      <c r="AN6" s="468"/>
      <c r="AO6" s="468"/>
      <c r="AP6" s="469"/>
      <c r="AQ6" s="457"/>
      <c r="AR6" s="458"/>
    </row>
    <row r="7" spans="1:44" ht="15.6" customHeight="1">
      <c r="A7" s="280"/>
      <c r="B7" s="326" t="s">
        <v>184</v>
      </c>
      <c r="C7" s="327"/>
      <c r="D7" s="327"/>
      <c r="E7" s="327"/>
      <c r="F7" s="327"/>
      <c r="G7" s="470"/>
      <c r="H7" s="326" t="s">
        <v>185</v>
      </c>
      <c r="I7" s="327"/>
      <c r="J7" s="327"/>
      <c r="K7" s="327"/>
      <c r="L7" s="327"/>
      <c r="M7" s="327"/>
      <c r="N7" s="327"/>
      <c r="O7" s="327"/>
      <c r="P7" s="470"/>
      <c r="Q7" s="472" t="s">
        <v>186</v>
      </c>
      <c r="R7" s="473"/>
      <c r="S7" s="473"/>
      <c r="T7" s="473"/>
      <c r="U7" s="473"/>
      <c r="V7" s="473"/>
      <c r="W7" s="473"/>
      <c r="X7" s="473"/>
      <c r="Y7" s="474"/>
      <c r="Z7" s="462"/>
      <c r="AA7" s="478" t="s">
        <v>187</v>
      </c>
      <c r="AB7" s="479"/>
      <c r="AC7" s="479"/>
      <c r="AD7" s="479"/>
      <c r="AE7" s="479"/>
      <c r="AF7" s="479"/>
      <c r="AG7" s="479"/>
      <c r="AH7" s="480"/>
      <c r="AI7" s="425" t="s">
        <v>188</v>
      </c>
      <c r="AJ7" s="426"/>
      <c r="AK7" s="426"/>
      <c r="AL7" s="426"/>
      <c r="AM7" s="426"/>
      <c r="AN7" s="426"/>
      <c r="AO7" s="426"/>
      <c r="AP7" s="427"/>
      <c r="AQ7" s="457"/>
      <c r="AR7" s="458"/>
    </row>
    <row r="8" spans="1:44" ht="14.25" customHeight="1">
      <c r="A8" s="281"/>
      <c r="B8" s="329"/>
      <c r="C8" s="330"/>
      <c r="D8" s="330"/>
      <c r="E8" s="330"/>
      <c r="F8" s="330"/>
      <c r="G8" s="471"/>
      <c r="H8" s="329"/>
      <c r="I8" s="330"/>
      <c r="J8" s="330"/>
      <c r="K8" s="330"/>
      <c r="L8" s="330"/>
      <c r="M8" s="330"/>
      <c r="N8" s="330"/>
      <c r="O8" s="330"/>
      <c r="P8" s="471"/>
      <c r="Q8" s="475"/>
      <c r="R8" s="476"/>
      <c r="S8" s="476"/>
      <c r="T8" s="476"/>
      <c r="U8" s="476"/>
      <c r="V8" s="476"/>
      <c r="W8" s="476"/>
      <c r="X8" s="476"/>
      <c r="Y8" s="477"/>
      <c r="Z8" s="463"/>
      <c r="AA8" s="481"/>
      <c r="AB8" s="482"/>
      <c r="AC8" s="482"/>
      <c r="AD8" s="482"/>
      <c r="AE8" s="482"/>
      <c r="AF8" s="482"/>
      <c r="AG8" s="482"/>
      <c r="AH8" s="483"/>
      <c r="AI8" s="428"/>
      <c r="AJ8" s="429"/>
      <c r="AK8" s="429"/>
      <c r="AL8" s="429"/>
      <c r="AM8" s="429"/>
      <c r="AN8" s="429"/>
      <c r="AO8" s="429"/>
      <c r="AP8" s="430"/>
      <c r="AQ8" s="459"/>
      <c r="AR8" s="460"/>
    </row>
    <row r="9" spans="1:44" ht="20.100000000000001" customHeight="1">
      <c r="A9" s="279">
        <v>1</v>
      </c>
      <c r="B9" s="381" t="s">
        <v>189</v>
      </c>
      <c r="C9" s="382"/>
      <c r="D9" s="382"/>
      <c r="E9" s="382"/>
      <c r="F9" s="382"/>
      <c r="G9" s="383"/>
      <c r="H9" s="384"/>
      <c r="I9" s="385"/>
      <c r="J9" s="385"/>
      <c r="K9" s="385"/>
      <c r="L9" s="385"/>
      <c r="M9" s="385"/>
      <c r="N9" s="385"/>
      <c r="O9" s="385"/>
      <c r="P9" s="386"/>
      <c r="Q9" s="87" t="s">
        <v>190</v>
      </c>
      <c r="R9" s="431"/>
      <c r="S9" s="431"/>
      <c r="T9" s="431"/>
      <c r="U9" s="431"/>
      <c r="V9" s="431"/>
      <c r="W9" s="431"/>
      <c r="X9" s="431"/>
      <c r="Y9" s="432"/>
      <c r="Z9" s="395">
        <v>4</v>
      </c>
      <c r="AA9" s="398"/>
      <c r="AB9" s="399"/>
      <c r="AC9" s="399"/>
      <c r="AD9" s="399"/>
      <c r="AE9" s="399"/>
      <c r="AF9" s="399"/>
      <c r="AG9" s="399"/>
      <c r="AH9" s="400"/>
      <c r="AI9" s="398"/>
      <c r="AJ9" s="399"/>
      <c r="AK9" s="399"/>
      <c r="AL9" s="399"/>
      <c r="AM9" s="399"/>
      <c r="AN9" s="399"/>
      <c r="AO9" s="399"/>
      <c r="AP9" s="661"/>
      <c r="AQ9" s="421" t="s">
        <v>191</v>
      </c>
      <c r="AR9" s="422"/>
    </row>
    <row r="10" spans="1:44" ht="20.100000000000001" customHeight="1">
      <c r="A10" s="280"/>
      <c r="B10" s="358"/>
      <c r="C10" s="359"/>
      <c r="D10" s="359"/>
      <c r="E10" s="359"/>
      <c r="F10" s="359"/>
      <c r="G10" s="360"/>
      <c r="H10" s="387"/>
      <c r="I10" s="388"/>
      <c r="J10" s="388"/>
      <c r="K10" s="388"/>
      <c r="L10" s="388"/>
      <c r="M10" s="388"/>
      <c r="N10" s="388"/>
      <c r="O10" s="388"/>
      <c r="P10" s="389"/>
      <c r="Q10" s="88" t="s">
        <v>192</v>
      </c>
      <c r="R10" s="364"/>
      <c r="S10" s="364"/>
      <c r="T10" s="364"/>
      <c r="U10" s="364"/>
      <c r="V10" s="364"/>
      <c r="W10" s="364"/>
      <c r="X10" s="364"/>
      <c r="Y10" s="365"/>
      <c r="Z10" s="396"/>
      <c r="AA10" s="401"/>
      <c r="AB10" s="298"/>
      <c r="AC10" s="298"/>
      <c r="AD10" s="298"/>
      <c r="AE10" s="298"/>
      <c r="AF10" s="298"/>
      <c r="AG10" s="298"/>
      <c r="AH10" s="402"/>
      <c r="AI10" s="401"/>
      <c r="AJ10" s="298"/>
      <c r="AK10" s="298"/>
      <c r="AL10" s="298"/>
      <c r="AM10" s="298"/>
      <c r="AN10" s="298"/>
      <c r="AO10" s="298"/>
      <c r="AP10" s="662"/>
      <c r="AQ10" s="377"/>
      <c r="AR10" s="378"/>
    </row>
    <row r="11" spans="1:44" ht="20.100000000000001" customHeight="1">
      <c r="A11" s="280"/>
      <c r="B11" s="358"/>
      <c r="C11" s="359"/>
      <c r="D11" s="359"/>
      <c r="E11" s="359"/>
      <c r="F11" s="359"/>
      <c r="G11" s="360"/>
      <c r="H11" s="387"/>
      <c r="I11" s="388"/>
      <c r="J11" s="388"/>
      <c r="K11" s="388"/>
      <c r="L11" s="388"/>
      <c r="M11" s="388"/>
      <c r="N11" s="388"/>
      <c r="O11" s="388"/>
      <c r="P11" s="389"/>
      <c r="Q11" s="88" t="s">
        <v>193</v>
      </c>
      <c r="R11" s="364"/>
      <c r="S11" s="364"/>
      <c r="T11" s="364"/>
      <c r="U11" s="364"/>
      <c r="V11" s="364"/>
      <c r="W11" s="364"/>
      <c r="X11" s="364"/>
      <c r="Y11" s="365"/>
      <c r="Z11" s="396"/>
      <c r="AA11" s="401"/>
      <c r="AB11" s="298"/>
      <c r="AC11" s="298"/>
      <c r="AD11" s="298"/>
      <c r="AE11" s="298"/>
      <c r="AF11" s="298"/>
      <c r="AG11" s="298"/>
      <c r="AH11" s="402"/>
      <c r="AI11" s="401"/>
      <c r="AJ11" s="298"/>
      <c r="AK11" s="298"/>
      <c r="AL11" s="298"/>
      <c r="AM11" s="298"/>
      <c r="AN11" s="298"/>
      <c r="AO11" s="298"/>
      <c r="AP11" s="662"/>
      <c r="AQ11" s="379"/>
      <c r="AR11" s="380"/>
    </row>
    <row r="12" spans="1:44" ht="20.100000000000001" customHeight="1">
      <c r="A12" s="280"/>
      <c r="B12" s="374"/>
      <c r="C12" s="375"/>
      <c r="D12" s="375"/>
      <c r="E12" s="375"/>
      <c r="F12" s="375"/>
      <c r="G12" s="376"/>
      <c r="H12" s="387"/>
      <c r="I12" s="388"/>
      <c r="J12" s="388"/>
      <c r="K12" s="388"/>
      <c r="L12" s="388"/>
      <c r="M12" s="388"/>
      <c r="N12" s="388"/>
      <c r="O12" s="388"/>
      <c r="P12" s="389"/>
      <c r="Q12" s="88" t="s">
        <v>194</v>
      </c>
      <c r="R12" s="364"/>
      <c r="S12" s="364"/>
      <c r="T12" s="364"/>
      <c r="U12" s="364"/>
      <c r="V12" s="364"/>
      <c r="W12" s="364"/>
      <c r="X12" s="364"/>
      <c r="Y12" s="365"/>
      <c r="Z12" s="396"/>
      <c r="AA12" s="401"/>
      <c r="AB12" s="298"/>
      <c r="AC12" s="298"/>
      <c r="AD12" s="298"/>
      <c r="AE12" s="298"/>
      <c r="AF12" s="298"/>
      <c r="AG12" s="298"/>
      <c r="AH12" s="402"/>
      <c r="AI12" s="401"/>
      <c r="AJ12" s="298"/>
      <c r="AK12" s="298"/>
      <c r="AL12" s="298"/>
      <c r="AM12" s="298"/>
      <c r="AN12" s="298"/>
      <c r="AO12" s="298"/>
      <c r="AP12" s="662"/>
      <c r="AQ12" s="423"/>
      <c r="AR12" s="424"/>
    </row>
    <row r="13" spans="1:44" ht="20.100000000000001" customHeight="1">
      <c r="A13" s="280"/>
      <c r="B13" s="406" t="s">
        <v>195</v>
      </c>
      <c r="C13" s="407"/>
      <c r="D13" s="407"/>
      <c r="E13" s="407"/>
      <c r="F13" s="407"/>
      <c r="G13" s="408"/>
      <c r="H13" s="387"/>
      <c r="I13" s="388"/>
      <c r="J13" s="388"/>
      <c r="K13" s="388"/>
      <c r="L13" s="388"/>
      <c r="M13" s="388"/>
      <c r="N13" s="388"/>
      <c r="O13" s="388"/>
      <c r="P13" s="389"/>
      <c r="Q13" s="88" t="s">
        <v>196</v>
      </c>
      <c r="R13" s="364"/>
      <c r="S13" s="364"/>
      <c r="T13" s="364"/>
      <c r="U13" s="364"/>
      <c r="V13" s="364"/>
      <c r="W13" s="364"/>
      <c r="X13" s="364"/>
      <c r="Y13" s="365"/>
      <c r="Z13" s="396"/>
      <c r="AA13" s="401"/>
      <c r="AB13" s="298"/>
      <c r="AC13" s="298"/>
      <c r="AD13" s="298"/>
      <c r="AE13" s="298"/>
      <c r="AF13" s="298"/>
      <c r="AG13" s="298"/>
      <c r="AH13" s="402"/>
      <c r="AI13" s="401"/>
      <c r="AJ13" s="298"/>
      <c r="AK13" s="298"/>
      <c r="AL13" s="298"/>
      <c r="AM13" s="298"/>
      <c r="AN13" s="298"/>
      <c r="AO13" s="298"/>
      <c r="AP13" s="662"/>
      <c r="AQ13" s="409" t="s">
        <v>197</v>
      </c>
      <c r="AR13" s="410"/>
    </row>
    <row r="14" spans="1:44" ht="20.100000000000001" customHeight="1">
      <c r="A14" s="280"/>
      <c r="B14" s="358"/>
      <c r="C14" s="359"/>
      <c r="D14" s="359"/>
      <c r="E14" s="359"/>
      <c r="F14" s="359"/>
      <c r="G14" s="360"/>
      <c r="H14" s="387"/>
      <c r="I14" s="388"/>
      <c r="J14" s="388"/>
      <c r="K14" s="388"/>
      <c r="L14" s="388"/>
      <c r="M14" s="388"/>
      <c r="N14" s="388"/>
      <c r="O14" s="388"/>
      <c r="P14" s="389"/>
      <c r="Q14" s="88" t="s">
        <v>198</v>
      </c>
      <c r="R14" s="364"/>
      <c r="S14" s="364"/>
      <c r="T14" s="364"/>
      <c r="U14" s="364"/>
      <c r="V14" s="364"/>
      <c r="W14" s="364"/>
      <c r="X14" s="364"/>
      <c r="Y14" s="365"/>
      <c r="Z14" s="396"/>
      <c r="AA14" s="401"/>
      <c r="AB14" s="298"/>
      <c r="AC14" s="298"/>
      <c r="AD14" s="298"/>
      <c r="AE14" s="298"/>
      <c r="AF14" s="298"/>
      <c r="AG14" s="298"/>
      <c r="AH14" s="402"/>
      <c r="AI14" s="401"/>
      <c r="AJ14" s="298"/>
      <c r="AK14" s="298"/>
      <c r="AL14" s="298"/>
      <c r="AM14" s="298"/>
      <c r="AN14" s="298"/>
      <c r="AO14" s="298"/>
      <c r="AP14" s="663"/>
      <c r="AQ14" s="366">
        <f>Z9*AQ10</f>
        <v>0</v>
      </c>
      <c r="AR14" s="367"/>
    </row>
    <row r="15" spans="1:44" ht="20.100000000000001" customHeight="1">
      <c r="A15" s="280"/>
      <c r="B15" s="358"/>
      <c r="C15" s="359"/>
      <c r="D15" s="359"/>
      <c r="E15" s="359"/>
      <c r="F15" s="359"/>
      <c r="G15" s="360"/>
      <c r="H15" s="387"/>
      <c r="I15" s="388"/>
      <c r="J15" s="388"/>
      <c r="K15" s="388"/>
      <c r="L15" s="388"/>
      <c r="M15" s="388"/>
      <c r="N15" s="388"/>
      <c r="O15" s="388"/>
      <c r="P15" s="389"/>
      <c r="R15" s="359"/>
      <c r="S15" s="359"/>
      <c r="T15" s="359"/>
      <c r="U15" s="359"/>
      <c r="V15" s="359"/>
      <c r="W15" s="359"/>
      <c r="X15" s="359"/>
      <c r="Y15" s="360"/>
      <c r="Z15" s="396"/>
      <c r="AA15" s="401"/>
      <c r="AB15" s="298"/>
      <c r="AC15" s="298"/>
      <c r="AD15" s="298"/>
      <c r="AE15" s="298"/>
      <c r="AF15" s="298"/>
      <c r="AG15" s="298"/>
      <c r="AH15" s="402"/>
      <c r="AI15" s="401"/>
      <c r="AJ15" s="298"/>
      <c r="AK15" s="298"/>
      <c r="AL15" s="298"/>
      <c r="AM15" s="298"/>
      <c r="AN15" s="298"/>
      <c r="AO15" s="298"/>
      <c r="AP15" s="663"/>
      <c r="AQ15" s="368"/>
      <c r="AR15" s="369"/>
    </row>
    <row r="16" spans="1:44" ht="20.100000000000001" customHeight="1">
      <c r="A16" s="281"/>
      <c r="B16" s="416"/>
      <c r="C16" s="417"/>
      <c r="D16" s="417"/>
      <c r="E16" s="417"/>
      <c r="F16" s="417"/>
      <c r="G16" s="418"/>
      <c r="H16" s="411"/>
      <c r="I16" s="412"/>
      <c r="J16" s="412"/>
      <c r="K16" s="412"/>
      <c r="L16" s="412"/>
      <c r="M16" s="412"/>
      <c r="N16" s="412"/>
      <c r="O16" s="412"/>
      <c r="P16" s="413"/>
      <c r="Q16" s="88"/>
      <c r="R16" s="417"/>
      <c r="S16" s="417"/>
      <c r="T16" s="417"/>
      <c r="U16" s="417"/>
      <c r="V16" s="417"/>
      <c r="W16" s="417"/>
      <c r="X16" s="417"/>
      <c r="Y16" s="418"/>
      <c r="Z16" s="414"/>
      <c r="AA16" s="405"/>
      <c r="AB16" s="301"/>
      <c r="AC16" s="301"/>
      <c r="AD16" s="301"/>
      <c r="AE16" s="301"/>
      <c r="AF16" s="301"/>
      <c r="AG16" s="301"/>
      <c r="AH16" s="415"/>
      <c r="AI16" s="405"/>
      <c r="AJ16" s="301"/>
      <c r="AK16" s="301"/>
      <c r="AL16" s="301"/>
      <c r="AM16" s="301"/>
      <c r="AN16" s="301"/>
      <c r="AO16" s="301"/>
      <c r="AP16" s="664"/>
      <c r="AQ16" s="419"/>
      <c r="AR16" s="420"/>
    </row>
    <row r="17" spans="1:44" ht="20.100000000000001" customHeight="1">
      <c r="A17" s="279">
        <v>2</v>
      </c>
      <c r="B17" s="381" t="s">
        <v>189</v>
      </c>
      <c r="C17" s="382"/>
      <c r="D17" s="382"/>
      <c r="E17" s="382"/>
      <c r="F17" s="382"/>
      <c r="G17" s="383"/>
      <c r="H17" s="384"/>
      <c r="I17" s="385"/>
      <c r="J17" s="385"/>
      <c r="K17" s="385"/>
      <c r="L17" s="385"/>
      <c r="M17" s="385"/>
      <c r="N17" s="385"/>
      <c r="O17" s="385"/>
      <c r="P17" s="386"/>
      <c r="Q17" s="87" t="s">
        <v>190</v>
      </c>
      <c r="R17" s="393"/>
      <c r="S17" s="393"/>
      <c r="T17" s="393"/>
      <c r="U17" s="393"/>
      <c r="V17" s="393"/>
      <c r="W17" s="393"/>
      <c r="X17" s="393"/>
      <c r="Y17" s="394"/>
      <c r="Z17" s="395">
        <v>4</v>
      </c>
      <c r="AA17" s="398"/>
      <c r="AB17" s="399"/>
      <c r="AC17" s="399"/>
      <c r="AD17" s="399"/>
      <c r="AE17" s="399"/>
      <c r="AF17" s="399"/>
      <c r="AG17" s="399"/>
      <c r="AH17" s="400"/>
      <c r="AI17" s="398"/>
      <c r="AJ17" s="399"/>
      <c r="AK17" s="399"/>
      <c r="AL17" s="399"/>
      <c r="AM17" s="399"/>
      <c r="AN17" s="399"/>
      <c r="AO17" s="399"/>
      <c r="AP17" s="661"/>
      <c r="AQ17" s="372" t="s">
        <v>211</v>
      </c>
      <c r="AR17" s="373"/>
    </row>
    <row r="18" spans="1:44" ht="19.5" customHeight="1">
      <c r="A18" s="280"/>
      <c r="B18" s="358"/>
      <c r="C18" s="359"/>
      <c r="D18" s="359"/>
      <c r="E18" s="359"/>
      <c r="F18" s="359"/>
      <c r="G18" s="360"/>
      <c r="H18" s="387"/>
      <c r="I18" s="388"/>
      <c r="J18" s="388"/>
      <c r="K18" s="388"/>
      <c r="L18" s="388"/>
      <c r="M18" s="388"/>
      <c r="N18" s="388"/>
      <c r="O18" s="388"/>
      <c r="P18" s="389"/>
      <c r="Q18" s="88" t="s">
        <v>192</v>
      </c>
      <c r="R18" s="359"/>
      <c r="S18" s="359"/>
      <c r="T18" s="359"/>
      <c r="U18" s="359"/>
      <c r="V18" s="359"/>
      <c r="W18" s="359"/>
      <c r="X18" s="359"/>
      <c r="Y18" s="360"/>
      <c r="Z18" s="396"/>
      <c r="AA18" s="401"/>
      <c r="AB18" s="298"/>
      <c r="AC18" s="298"/>
      <c r="AD18" s="298"/>
      <c r="AE18" s="298"/>
      <c r="AF18" s="298"/>
      <c r="AG18" s="298"/>
      <c r="AH18" s="402"/>
      <c r="AI18" s="401"/>
      <c r="AJ18" s="298"/>
      <c r="AK18" s="298"/>
      <c r="AL18" s="298"/>
      <c r="AM18" s="298"/>
      <c r="AN18" s="298"/>
      <c r="AO18" s="298"/>
      <c r="AP18" s="662"/>
      <c r="AQ18" s="377"/>
      <c r="AR18" s="378"/>
    </row>
    <row r="19" spans="1:44" ht="19.5" customHeight="1">
      <c r="A19" s="280"/>
      <c r="B19" s="358"/>
      <c r="C19" s="359"/>
      <c r="D19" s="359"/>
      <c r="E19" s="359"/>
      <c r="F19" s="359"/>
      <c r="G19" s="360"/>
      <c r="H19" s="387"/>
      <c r="I19" s="388"/>
      <c r="J19" s="388"/>
      <c r="K19" s="388"/>
      <c r="L19" s="388"/>
      <c r="M19" s="388"/>
      <c r="N19" s="388"/>
      <c r="O19" s="388"/>
      <c r="P19" s="389"/>
      <c r="Q19" s="88" t="s">
        <v>193</v>
      </c>
      <c r="R19" s="359"/>
      <c r="S19" s="359"/>
      <c r="T19" s="359"/>
      <c r="U19" s="359"/>
      <c r="V19" s="359"/>
      <c r="W19" s="359"/>
      <c r="X19" s="359"/>
      <c r="Y19" s="360"/>
      <c r="Z19" s="396"/>
      <c r="AA19" s="401"/>
      <c r="AB19" s="298"/>
      <c r="AC19" s="298"/>
      <c r="AD19" s="298"/>
      <c r="AE19" s="298"/>
      <c r="AF19" s="298"/>
      <c r="AG19" s="298"/>
      <c r="AH19" s="402"/>
      <c r="AI19" s="401"/>
      <c r="AJ19" s="298"/>
      <c r="AK19" s="298"/>
      <c r="AL19" s="298"/>
      <c r="AM19" s="298"/>
      <c r="AN19" s="298"/>
      <c r="AO19" s="298"/>
      <c r="AP19" s="662"/>
      <c r="AQ19" s="379"/>
      <c r="AR19" s="380"/>
    </row>
    <row r="20" spans="1:44" ht="20.100000000000001" customHeight="1">
      <c r="A20" s="280"/>
      <c r="B20" s="374"/>
      <c r="C20" s="375"/>
      <c r="D20" s="375"/>
      <c r="E20" s="375"/>
      <c r="F20" s="375"/>
      <c r="G20" s="376"/>
      <c r="H20" s="387"/>
      <c r="I20" s="388"/>
      <c r="J20" s="388"/>
      <c r="K20" s="388"/>
      <c r="L20" s="388"/>
      <c r="M20" s="388"/>
      <c r="N20" s="388"/>
      <c r="O20" s="388"/>
      <c r="P20" s="389"/>
      <c r="Q20" s="88" t="s">
        <v>194</v>
      </c>
      <c r="R20" s="359"/>
      <c r="S20" s="359"/>
      <c r="T20" s="359"/>
      <c r="U20" s="359"/>
      <c r="V20" s="359"/>
      <c r="W20" s="359"/>
      <c r="X20" s="359"/>
      <c r="Y20" s="360"/>
      <c r="Z20" s="396"/>
      <c r="AA20" s="401"/>
      <c r="AB20" s="298"/>
      <c r="AC20" s="298"/>
      <c r="AD20" s="298"/>
      <c r="AE20" s="298"/>
      <c r="AF20" s="298"/>
      <c r="AG20" s="298"/>
      <c r="AH20" s="402"/>
      <c r="AI20" s="401"/>
      <c r="AJ20" s="298"/>
      <c r="AK20" s="298"/>
      <c r="AL20" s="298"/>
      <c r="AM20" s="298"/>
      <c r="AN20" s="298"/>
      <c r="AO20" s="298"/>
      <c r="AP20" s="662"/>
      <c r="AQ20" s="379"/>
      <c r="AR20" s="380"/>
    </row>
    <row r="21" spans="1:44" ht="20.100000000000001" customHeight="1">
      <c r="A21" s="280"/>
      <c r="B21" s="406" t="s">
        <v>195</v>
      </c>
      <c r="C21" s="407"/>
      <c r="D21" s="407"/>
      <c r="E21" s="407"/>
      <c r="F21" s="407"/>
      <c r="G21" s="408"/>
      <c r="H21" s="387"/>
      <c r="I21" s="388"/>
      <c r="J21" s="388"/>
      <c r="K21" s="388"/>
      <c r="L21" s="388"/>
      <c r="M21" s="388"/>
      <c r="N21" s="388"/>
      <c r="O21" s="388"/>
      <c r="P21" s="389"/>
      <c r="Q21" s="88" t="s">
        <v>196</v>
      </c>
      <c r="R21" s="359"/>
      <c r="S21" s="359"/>
      <c r="T21" s="359"/>
      <c r="U21" s="359"/>
      <c r="V21" s="359"/>
      <c r="W21" s="359"/>
      <c r="X21" s="359"/>
      <c r="Y21" s="360"/>
      <c r="Z21" s="396"/>
      <c r="AA21" s="401"/>
      <c r="AB21" s="298"/>
      <c r="AC21" s="298"/>
      <c r="AD21" s="298"/>
      <c r="AE21" s="298"/>
      <c r="AF21" s="298"/>
      <c r="AG21" s="298"/>
      <c r="AH21" s="402"/>
      <c r="AI21" s="401"/>
      <c r="AJ21" s="298"/>
      <c r="AK21" s="298"/>
      <c r="AL21" s="298"/>
      <c r="AM21" s="298"/>
      <c r="AN21" s="298"/>
      <c r="AO21" s="298"/>
      <c r="AP21" s="662"/>
      <c r="AQ21" s="409" t="s">
        <v>197</v>
      </c>
      <c r="AR21" s="410"/>
    </row>
    <row r="22" spans="1:44" ht="20.100000000000001" customHeight="1">
      <c r="A22" s="280"/>
      <c r="B22" s="358"/>
      <c r="C22" s="359"/>
      <c r="D22" s="359"/>
      <c r="E22" s="359"/>
      <c r="F22" s="359"/>
      <c r="G22" s="360"/>
      <c r="H22" s="387"/>
      <c r="I22" s="388"/>
      <c r="J22" s="388"/>
      <c r="K22" s="388"/>
      <c r="L22" s="388"/>
      <c r="M22" s="388"/>
      <c r="N22" s="388"/>
      <c r="O22" s="388"/>
      <c r="P22" s="389"/>
      <c r="Q22" s="88" t="s">
        <v>198</v>
      </c>
      <c r="R22" s="364"/>
      <c r="S22" s="364"/>
      <c r="T22" s="364"/>
      <c r="U22" s="364"/>
      <c r="V22" s="364"/>
      <c r="W22" s="364"/>
      <c r="X22" s="364"/>
      <c r="Y22" s="365"/>
      <c r="Z22" s="396"/>
      <c r="AA22" s="401"/>
      <c r="AB22" s="298"/>
      <c r="AC22" s="298"/>
      <c r="AD22" s="298"/>
      <c r="AE22" s="298"/>
      <c r="AF22" s="298"/>
      <c r="AG22" s="298"/>
      <c r="AH22" s="402"/>
      <c r="AI22" s="401"/>
      <c r="AJ22" s="298"/>
      <c r="AK22" s="298"/>
      <c r="AL22" s="298"/>
      <c r="AM22" s="298"/>
      <c r="AN22" s="298"/>
      <c r="AO22" s="298"/>
      <c r="AP22" s="662"/>
      <c r="AQ22" s="366">
        <f>Z17*AQ18</f>
        <v>0</v>
      </c>
      <c r="AR22" s="367"/>
    </row>
    <row r="23" spans="1:44" ht="20.100000000000001" customHeight="1">
      <c r="A23" s="280"/>
      <c r="B23" s="358"/>
      <c r="C23" s="359"/>
      <c r="D23" s="359"/>
      <c r="E23" s="359"/>
      <c r="F23" s="359"/>
      <c r="G23" s="360"/>
      <c r="H23" s="387"/>
      <c r="I23" s="388"/>
      <c r="J23" s="388"/>
      <c r="K23" s="388"/>
      <c r="L23" s="388"/>
      <c r="M23" s="388"/>
      <c r="N23" s="388"/>
      <c r="O23" s="388"/>
      <c r="P23" s="389"/>
      <c r="R23" s="359"/>
      <c r="S23" s="359"/>
      <c r="T23" s="359"/>
      <c r="U23" s="359"/>
      <c r="V23" s="359"/>
      <c r="W23" s="359"/>
      <c r="X23" s="359"/>
      <c r="Y23" s="360"/>
      <c r="Z23" s="396"/>
      <c r="AA23" s="401"/>
      <c r="AB23" s="298"/>
      <c r="AC23" s="298"/>
      <c r="AD23" s="298"/>
      <c r="AE23" s="298"/>
      <c r="AF23" s="298"/>
      <c r="AG23" s="298"/>
      <c r="AH23" s="402"/>
      <c r="AI23" s="401"/>
      <c r="AJ23" s="298"/>
      <c r="AK23" s="298"/>
      <c r="AL23" s="298"/>
      <c r="AM23" s="298"/>
      <c r="AN23" s="298"/>
      <c r="AO23" s="298"/>
      <c r="AP23" s="662"/>
      <c r="AQ23" s="368"/>
      <c r="AR23" s="369"/>
    </row>
    <row r="24" spans="1:44" ht="20.100000000000001" customHeight="1">
      <c r="A24" s="281"/>
      <c r="B24" s="416"/>
      <c r="C24" s="417"/>
      <c r="D24" s="417"/>
      <c r="E24" s="417"/>
      <c r="F24" s="417"/>
      <c r="G24" s="418"/>
      <c r="H24" s="411"/>
      <c r="I24" s="412"/>
      <c r="J24" s="412"/>
      <c r="K24" s="412"/>
      <c r="L24" s="412"/>
      <c r="M24" s="412"/>
      <c r="N24" s="412"/>
      <c r="O24" s="412"/>
      <c r="P24" s="413"/>
      <c r="Q24" s="88"/>
      <c r="R24" s="417"/>
      <c r="S24" s="417"/>
      <c r="T24" s="417"/>
      <c r="U24" s="417"/>
      <c r="V24" s="417"/>
      <c r="W24" s="417"/>
      <c r="X24" s="417"/>
      <c r="Y24" s="418"/>
      <c r="Z24" s="414"/>
      <c r="AA24" s="405"/>
      <c r="AB24" s="301"/>
      <c r="AC24" s="301"/>
      <c r="AD24" s="301"/>
      <c r="AE24" s="301"/>
      <c r="AF24" s="301"/>
      <c r="AG24" s="301"/>
      <c r="AH24" s="415"/>
      <c r="AI24" s="405"/>
      <c r="AJ24" s="301"/>
      <c r="AK24" s="301"/>
      <c r="AL24" s="301"/>
      <c r="AM24" s="301"/>
      <c r="AN24" s="301"/>
      <c r="AO24" s="301"/>
      <c r="AP24" s="665"/>
      <c r="AQ24" s="419"/>
      <c r="AR24" s="420"/>
    </row>
    <row r="25" spans="1:44" ht="20.100000000000001" customHeight="1">
      <c r="A25" s="279">
        <v>3</v>
      </c>
      <c r="B25" s="381" t="s">
        <v>189</v>
      </c>
      <c r="C25" s="382"/>
      <c r="D25" s="382"/>
      <c r="E25" s="382"/>
      <c r="F25" s="382"/>
      <c r="G25" s="383"/>
      <c r="H25" s="384"/>
      <c r="I25" s="385"/>
      <c r="J25" s="385"/>
      <c r="K25" s="385"/>
      <c r="L25" s="385"/>
      <c r="M25" s="385"/>
      <c r="N25" s="385"/>
      <c r="O25" s="385"/>
      <c r="P25" s="386"/>
      <c r="Q25" s="87" t="s">
        <v>190</v>
      </c>
      <c r="R25" s="393"/>
      <c r="S25" s="393"/>
      <c r="T25" s="393"/>
      <c r="U25" s="393"/>
      <c r="V25" s="393"/>
      <c r="W25" s="393"/>
      <c r="X25" s="393"/>
      <c r="Y25" s="394"/>
      <c r="Z25" s="395">
        <v>2</v>
      </c>
      <c r="AA25" s="398"/>
      <c r="AB25" s="399"/>
      <c r="AC25" s="399"/>
      <c r="AD25" s="399"/>
      <c r="AE25" s="399"/>
      <c r="AF25" s="399"/>
      <c r="AG25" s="399"/>
      <c r="AH25" s="400"/>
      <c r="AI25" s="398"/>
      <c r="AJ25" s="399"/>
      <c r="AK25" s="399"/>
      <c r="AL25" s="399"/>
      <c r="AM25" s="399"/>
      <c r="AN25" s="399"/>
      <c r="AO25" s="399"/>
      <c r="AP25" s="661"/>
      <c r="AQ25" s="372" t="s">
        <v>191</v>
      </c>
      <c r="AR25" s="373"/>
    </row>
    <row r="26" spans="1:44" ht="20.100000000000001" customHeight="1">
      <c r="A26" s="280"/>
      <c r="B26" s="358"/>
      <c r="C26" s="359"/>
      <c r="D26" s="359"/>
      <c r="E26" s="359"/>
      <c r="F26" s="359"/>
      <c r="G26" s="360"/>
      <c r="H26" s="387"/>
      <c r="I26" s="388"/>
      <c r="J26" s="388"/>
      <c r="K26" s="388"/>
      <c r="L26" s="388"/>
      <c r="M26" s="388"/>
      <c r="N26" s="388"/>
      <c r="O26" s="388"/>
      <c r="P26" s="389"/>
      <c r="Q26" s="88" t="s">
        <v>192</v>
      </c>
      <c r="R26" s="359"/>
      <c r="S26" s="359"/>
      <c r="T26" s="359"/>
      <c r="U26" s="359"/>
      <c r="V26" s="359"/>
      <c r="W26" s="359"/>
      <c r="X26" s="359"/>
      <c r="Y26" s="360"/>
      <c r="Z26" s="396"/>
      <c r="AA26" s="401"/>
      <c r="AB26" s="298"/>
      <c r="AC26" s="298"/>
      <c r="AD26" s="298"/>
      <c r="AE26" s="298"/>
      <c r="AF26" s="298"/>
      <c r="AG26" s="298"/>
      <c r="AH26" s="402"/>
      <c r="AI26" s="401"/>
      <c r="AJ26" s="298"/>
      <c r="AK26" s="298"/>
      <c r="AL26" s="298"/>
      <c r="AM26" s="298"/>
      <c r="AN26" s="298"/>
      <c r="AO26" s="298"/>
      <c r="AP26" s="662"/>
      <c r="AQ26" s="377"/>
      <c r="AR26" s="378"/>
    </row>
    <row r="27" spans="1:44" ht="20.100000000000001" customHeight="1">
      <c r="A27" s="280"/>
      <c r="B27" s="358"/>
      <c r="C27" s="359"/>
      <c r="D27" s="359"/>
      <c r="E27" s="359"/>
      <c r="F27" s="359"/>
      <c r="G27" s="360"/>
      <c r="H27" s="387"/>
      <c r="I27" s="388"/>
      <c r="J27" s="388"/>
      <c r="K27" s="388"/>
      <c r="L27" s="388"/>
      <c r="M27" s="388"/>
      <c r="N27" s="388"/>
      <c r="O27" s="388"/>
      <c r="P27" s="389"/>
      <c r="Q27" s="88" t="s">
        <v>193</v>
      </c>
      <c r="R27" s="359"/>
      <c r="S27" s="359"/>
      <c r="T27" s="359"/>
      <c r="U27" s="359"/>
      <c r="V27" s="359"/>
      <c r="W27" s="359"/>
      <c r="X27" s="359"/>
      <c r="Y27" s="360"/>
      <c r="Z27" s="396"/>
      <c r="AA27" s="401"/>
      <c r="AB27" s="298"/>
      <c r="AC27" s="298"/>
      <c r="AD27" s="298"/>
      <c r="AE27" s="298"/>
      <c r="AF27" s="298"/>
      <c r="AG27" s="298"/>
      <c r="AH27" s="402"/>
      <c r="AI27" s="401"/>
      <c r="AJ27" s="298"/>
      <c r="AK27" s="298"/>
      <c r="AL27" s="298"/>
      <c r="AM27" s="298"/>
      <c r="AN27" s="298"/>
      <c r="AO27" s="298"/>
      <c r="AP27" s="662"/>
      <c r="AQ27" s="379"/>
      <c r="AR27" s="380"/>
    </row>
    <row r="28" spans="1:44" ht="20.100000000000001" customHeight="1">
      <c r="A28" s="280"/>
      <c r="B28" s="374"/>
      <c r="C28" s="375"/>
      <c r="D28" s="375"/>
      <c r="E28" s="375"/>
      <c r="F28" s="375"/>
      <c r="G28" s="376"/>
      <c r="H28" s="387"/>
      <c r="I28" s="388"/>
      <c r="J28" s="388"/>
      <c r="K28" s="388"/>
      <c r="L28" s="388"/>
      <c r="M28" s="388"/>
      <c r="N28" s="388"/>
      <c r="O28" s="388"/>
      <c r="P28" s="389"/>
      <c r="Q28" s="88" t="s">
        <v>194</v>
      </c>
      <c r="R28" s="359"/>
      <c r="S28" s="359"/>
      <c r="T28" s="359"/>
      <c r="U28" s="359"/>
      <c r="V28" s="359"/>
      <c r="W28" s="359"/>
      <c r="X28" s="359"/>
      <c r="Y28" s="360"/>
      <c r="Z28" s="396"/>
      <c r="AA28" s="401"/>
      <c r="AB28" s="298"/>
      <c r="AC28" s="298"/>
      <c r="AD28" s="298"/>
      <c r="AE28" s="298"/>
      <c r="AF28" s="298"/>
      <c r="AG28" s="298"/>
      <c r="AH28" s="402"/>
      <c r="AI28" s="401"/>
      <c r="AJ28" s="298"/>
      <c r="AK28" s="298"/>
      <c r="AL28" s="298"/>
      <c r="AM28" s="298"/>
      <c r="AN28" s="298"/>
      <c r="AO28" s="298"/>
      <c r="AP28" s="662"/>
      <c r="AQ28" s="379"/>
      <c r="AR28" s="380"/>
    </row>
    <row r="29" spans="1:44" ht="20.100000000000001" customHeight="1">
      <c r="A29" s="280"/>
      <c r="B29" s="406" t="s">
        <v>195</v>
      </c>
      <c r="C29" s="407"/>
      <c r="D29" s="407"/>
      <c r="E29" s="407"/>
      <c r="F29" s="407"/>
      <c r="G29" s="408"/>
      <c r="H29" s="387"/>
      <c r="I29" s="388"/>
      <c r="J29" s="388"/>
      <c r="K29" s="388"/>
      <c r="L29" s="388"/>
      <c r="M29" s="388"/>
      <c r="N29" s="388"/>
      <c r="O29" s="388"/>
      <c r="P29" s="389"/>
      <c r="Q29" s="88" t="s">
        <v>196</v>
      </c>
      <c r="R29" s="359"/>
      <c r="S29" s="359"/>
      <c r="T29" s="359"/>
      <c r="U29" s="359"/>
      <c r="V29" s="359"/>
      <c r="W29" s="359"/>
      <c r="X29" s="359"/>
      <c r="Y29" s="360"/>
      <c r="Z29" s="396"/>
      <c r="AA29" s="401"/>
      <c r="AB29" s="298"/>
      <c r="AC29" s="298"/>
      <c r="AD29" s="298"/>
      <c r="AE29" s="298"/>
      <c r="AF29" s="298"/>
      <c r="AG29" s="298"/>
      <c r="AH29" s="402"/>
      <c r="AI29" s="401"/>
      <c r="AJ29" s="298"/>
      <c r="AK29" s="298"/>
      <c r="AL29" s="298"/>
      <c r="AM29" s="298"/>
      <c r="AN29" s="298"/>
      <c r="AO29" s="298"/>
      <c r="AP29" s="662"/>
      <c r="AQ29" s="409" t="s">
        <v>197</v>
      </c>
      <c r="AR29" s="410"/>
    </row>
    <row r="30" spans="1:44" ht="20.100000000000001" customHeight="1">
      <c r="A30" s="280"/>
      <c r="B30" s="358"/>
      <c r="C30" s="359"/>
      <c r="D30" s="359"/>
      <c r="E30" s="359"/>
      <c r="F30" s="359"/>
      <c r="G30" s="360"/>
      <c r="H30" s="387"/>
      <c r="I30" s="388"/>
      <c r="J30" s="388"/>
      <c r="K30" s="388"/>
      <c r="L30" s="388"/>
      <c r="M30" s="388"/>
      <c r="N30" s="388"/>
      <c r="O30" s="388"/>
      <c r="P30" s="389"/>
      <c r="Q30" s="88" t="s">
        <v>198</v>
      </c>
      <c r="R30" s="364"/>
      <c r="S30" s="364"/>
      <c r="T30" s="364"/>
      <c r="U30" s="364"/>
      <c r="V30" s="364"/>
      <c r="W30" s="364"/>
      <c r="X30" s="364"/>
      <c r="Y30" s="365"/>
      <c r="Z30" s="396"/>
      <c r="AA30" s="401"/>
      <c r="AB30" s="298"/>
      <c r="AC30" s="298"/>
      <c r="AD30" s="298"/>
      <c r="AE30" s="298"/>
      <c r="AF30" s="298"/>
      <c r="AG30" s="298"/>
      <c r="AH30" s="402"/>
      <c r="AI30" s="401"/>
      <c r="AJ30" s="298"/>
      <c r="AK30" s="298"/>
      <c r="AL30" s="298"/>
      <c r="AM30" s="298"/>
      <c r="AN30" s="298"/>
      <c r="AO30" s="298"/>
      <c r="AP30" s="662"/>
      <c r="AQ30" s="366">
        <f>Z25*AQ26</f>
        <v>0</v>
      </c>
      <c r="AR30" s="367"/>
    </row>
    <row r="31" spans="1:44" ht="20.100000000000001" customHeight="1">
      <c r="A31" s="280"/>
      <c r="B31" s="358"/>
      <c r="C31" s="359"/>
      <c r="D31" s="359"/>
      <c r="E31" s="359"/>
      <c r="F31" s="359"/>
      <c r="G31" s="360"/>
      <c r="H31" s="387"/>
      <c r="I31" s="388"/>
      <c r="J31" s="388"/>
      <c r="K31" s="388"/>
      <c r="L31" s="388"/>
      <c r="M31" s="388"/>
      <c r="N31" s="388"/>
      <c r="O31" s="388"/>
      <c r="P31" s="389"/>
      <c r="Q31" s="200"/>
      <c r="R31" s="359"/>
      <c r="S31" s="359"/>
      <c r="T31" s="359"/>
      <c r="U31" s="359"/>
      <c r="V31" s="359"/>
      <c r="W31" s="359"/>
      <c r="X31" s="359"/>
      <c r="Y31" s="360"/>
      <c r="Z31" s="396"/>
      <c r="AA31" s="401"/>
      <c r="AB31" s="298"/>
      <c r="AC31" s="298"/>
      <c r="AD31" s="298"/>
      <c r="AE31" s="298"/>
      <c r="AF31" s="298"/>
      <c r="AG31" s="298"/>
      <c r="AH31" s="402"/>
      <c r="AI31" s="401"/>
      <c r="AJ31" s="298"/>
      <c r="AK31" s="298"/>
      <c r="AL31" s="298"/>
      <c r="AM31" s="298"/>
      <c r="AN31" s="298"/>
      <c r="AO31" s="298"/>
      <c r="AP31" s="662"/>
      <c r="AQ31" s="368"/>
      <c r="AR31" s="369"/>
    </row>
    <row r="32" spans="1:44" ht="20.100000000000001" customHeight="1" thickBot="1">
      <c r="A32" s="303"/>
      <c r="B32" s="361"/>
      <c r="C32" s="362"/>
      <c r="D32" s="362"/>
      <c r="E32" s="362"/>
      <c r="F32" s="362"/>
      <c r="G32" s="363"/>
      <c r="H32" s="390"/>
      <c r="I32" s="391"/>
      <c r="J32" s="391"/>
      <c r="K32" s="391"/>
      <c r="L32" s="391"/>
      <c r="M32" s="391"/>
      <c r="N32" s="391"/>
      <c r="O32" s="391"/>
      <c r="P32" s="392"/>
      <c r="Q32" s="89"/>
      <c r="R32" s="362"/>
      <c r="S32" s="362"/>
      <c r="T32" s="362"/>
      <c r="U32" s="362"/>
      <c r="V32" s="362"/>
      <c r="W32" s="362"/>
      <c r="X32" s="362"/>
      <c r="Y32" s="363"/>
      <c r="Z32" s="397"/>
      <c r="AA32" s="403"/>
      <c r="AB32" s="308"/>
      <c r="AC32" s="308"/>
      <c r="AD32" s="308"/>
      <c r="AE32" s="308"/>
      <c r="AF32" s="308"/>
      <c r="AG32" s="308"/>
      <c r="AH32" s="404"/>
      <c r="AI32" s="403"/>
      <c r="AJ32" s="308"/>
      <c r="AK32" s="308"/>
      <c r="AL32" s="308"/>
      <c r="AM32" s="308"/>
      <c r="AN32" s="308"/>
      <c r="AO32" s="308"/>
      <c r="AP32" s="666"/>
      <c r="AQ32" s="370"/>
      <c r="AR32" s="371"/>
    </row>
    <row r="33" spans="1:44" ht="20.100000000000001" customHeight="1">
      <c r="A33" s="279">
        <v>4</v>
      </c>
      <c r="B33" s="381" t="s">
        <v>212</v>
      </c>
      <c r="C33" s="382"/>
      <c r="D33" s="382"/>
      <c r="E33" s="382"/>
      <c r="F33" s="382"/>
      <c r="G33" s="383"/>
      <c r="H33" s="384"/>
      <c r="I33" s="385"/>
      <c r="J33" s="385"/>
      <c r="K33" s="385"/>
      <c r="L33" s="385"/>
      <c r="M33" s="385"/>
      <c r="N33" s="385"/>
      <c r="O33" s="385"/>
      <c r="P33" s="386"/>
      <c r="Q33" s="87" t="s">
        <v>190</v>
      </c>
      <c r="R33" s="393"/>
      <c r="S33" s="393"/>
      <c r="T33" s="393"/>
      <c r="U33" s="393"/>
      <c r="V33" s="393"/>
      <c r="W33" s="393"/>
      <c r="X33" s="393"/>
      <c r="Y33" s="394"/>
      <c r="Z33" s="395">
        <v>2</v>
      </c>
      <c r="AA33" s="398"/>
      <c r="AB33" s="399"/>
      <c r="AC33" s="399"/>
      <c r="AD33" s="399"/>
      <c r="AE33" s="399"/>
      <c r="AF33" s="399"/>
      <c r="AG33" s="399"/>
      <c r="AH33" s="400"/>
      <c r="AI33" s="398"/>
      <c r="AJ33" s="399"/>
      <c r="AK33" s="399"/>
      <c r="AL33" s="399"/>
      <c r="AM33" s="399"/>
      <c r="AN33" s="399"/>
      <c r="AO33" s="399"/>
      <c r="AP33" s="661"/>
      <c r="AQ33" s="372" t="s">
        <v>191</v>
      </c>
      <c r="AR33" s="373"/>
    </row>
    <row r="34" spans="1:44" ht="20.100000000000001" customHeight="1">
      <c r="A34" s="280"/>
      <c r="B34" s="358"/>
      <c r="C34" s="359"/>
      <c r="D34" s="359"/>
      <c r="E34" s="359"/>
      <c r="F34" s="359"/>
      <c r="G34" s="360"/>
      <c r="H34" s="387"/>
      <c r="I34" s="388"/>
      <c r="J34" s="388"/>
      <c r="K34" s="388"/>
      <c r="L34" s="388"/>
      <c r="M34" s="388"/>
      <c r="N34" s="388"/>
      <c r="O34" s="388"/>
      <c r="P34" s="389"/>
      <c r="Q34" s="88" t="s">
        <v>192</v>
      </c>
      <c r="R34" s="359"/>
      <c r="S34" s="359"/>
      <c r="T34" s="359"/>
      <c r="U34" s="359"/>
      <c r="V34" s="359"/>
      <c r="W34" s="359"/>
      <c r="X34" s="359"/>
      <c r="Y34" s="360"/>
      <c r="Z34" s="396"/>
      <c r="AA34" s="401"/>
      <c r="AB34" s="298"/>
      <c r="AC34" s="298"/>
      <c r="AD34" s="298"/>
      <c r="AE34" s="298"/>
      <c r="AF34" s="298"/>
      <c r="AG34" s="298"/>
      <c r="AH34" s="402"/>
      <c r="AI34" s="401"/>
      <c r="AJ34" s="298"/>
      <c r="AK34" s="298"/>
      <c r="AL34" s="298"/>
      <c r="AM34" s="298"/>
      <c r="AN34" s="298"/>
      <c r="AO34" s="298"/>
      <c r="AP34" s="662"/>
      <c r="AQ34" s="377"/>
      <c r="AR34" s="378"/>
    </row>
    <row r="35" spans="1:44" ht="20.100000000000001" customHeight="1">
      <c r="A35" s="280"/>
      <c r="B35" s="358"/>
      <c r="C35" s="359"/>
      <c r="D35" s="359"/>
      <c r="E35" s="359"/>
      <c r="F35" s="359"/>
      <c r="G35" s="360"/>
      <c r="H35" s="387"/>
      <c r="I35" s="388"/>
      <c r="J35" s="388"/>
      <c r="K35" s="388"/>
      <c r="L35" s="388"/>
      <c r="M35" s="388"/>
      <c r="N35" s="388"/>
      <c r="O35" s="388"/>
      <c r="P35" s="389"/>
      <c r="Q35" s="88" t="s">
        <v>193</v>
      </c>
      <c r="R35" s="359"/>
      <c r="S35" s="359"/>
      <c r="T35" s="359"/>
      <c r="U35" s="359"/>
      <c r="V35" s="359"/>
      <c r="W35" s="359"/>
      <c r="X35" s="359"/>
      <c r="Y35" s="360"/>
      <c r="Z35" s="396"/>
      <c r="AA35" s="401"/>
      <c r="AB35" s="298"/>
      <c r="AC35" s="298"/>
      <c r="AD35" s="298"/>
      <c r="AE35" s="298"/>
      <c r="AF35" s="298"/>
      <c r="AG35" s="298"/>
      <c r="AH35" s="402"/>
      <c r="AI35" s="401"/>
      <c r="AJ35" s="298"/>
      <c r="AK35" s="298"/>
      <c r="AL35" s="298"/>
      <c r="AM35" s="298"/>
      <c r="AN35" s="298"/>
      <c r="AO35" s="298"/>
      <c r="AP35" s="662"/>
      <c r="AQ35" s="379"/>
      <c r="AR35" s="380"/>
    </row>
    <row r="36" spans="1:44" ht="20.100000000000001" customHeight="1">
      <c r="A36" s="280"/>
      <c r="B36" s="374"/>
      <c r="C36" s="375"/>
      <c r="D36" s="375"/>
      <c r="E36" s="375"/>
      <c r="F36" s="375"/>
      <c r="G36" s="376"/>
      <c r="H36" s="387"/>
      <c r="I36" s="388"/>
      <c r="J36" s="388"/>
      <c r="K36" s="388"/>
      <c r="L36" s="388"/>
      <c r="M36" s="388"/>
      <c r="N36" s="388"/>
      <c r="O36" s="388"/>
      <c r="P36" s="389"/>
      <c r="Q36" s="88" t="s">
        <v>194</v>
      </c>
      <c r="R36" s="359"/>
      <c r="S36" s="359"/>
      <c r="T36" s="359"/>
      <c r="U36" s="359"/>
      <c r="V36" s="359"/>
      <c r="W36" s="359"/>
      <c r="X36" s="359"/>
      <c r="Y36" s="360"/>
      <c r="Z36" s="396"/>
      <c r="AA36" s="401"/>
      <c r="AB36" s="298"/>
      <c r="AC36" s="298"/>
      <c r="AD36" s="298"/>
      <c r="AE36" s="298"/>
      <c r="AF36" s="298"/>
      <c r="AG36" s="298"/>
      <c r="AH36" s="402"/>
      <c r="AI36" s="401"/>
      <c r="AJ36" s="298"/>
      <c r="AK36" s="298"/>
      <c r="AL36" s="298"/>
      <c r="AM36" s="298"/>
      <c r="AN36" s="298"/>
      <c r="AO36" s="298"/>
      <c r="AP36" s="662"/>
      <c r="AQ36" s="379"/>
      <c r="AR36" s="380"/>
    </row>
    <row r="37" spans="1:44" ht="20.100000000000001" customHeight="1">
      <c r="A37" s="280"/>
      <c r="B37" s="406" t="s">
        <v>195</v>
      </c>
      <c r="C37" s="407"/>
      <c r="D37" s="407"/>
      <c r="E37" s="407"/>
      <c r="F37" s="407"/>
      <c r="G37" s="408"/>
      <c r="H37" s="387"/>
      <c r="I37" s="388"/>
      <c r="J37" s="388"/>
      <c r="K37" s="388"/>
      <c r="L37" s="388"/>
      <c r="M37" s="388"/>
      <c r="N37" s="388"/>
      <c r="O37" s="388"/>
      <c r="P37" s="389"/>
      <c r="Q37" s="88" t="s">
        <v>196</v>
      </c>
      <c r="R37" s="359"/>
      <c r="S37" s="359"/>
      <c r="T37" s="359"/>
      <c r="U37" s="359"/>
      <c r="V37" s="359"/>
      <c r="W37" s="359"/>
      <c r="X37" s="359"/>
      <c r="Y37" s="360"/>
      <c r="Z37" s="396"/>
      <c r="AA37" s="401"/>
      <c r="AB37" s="298"/>
      <c r="AC37" s="298"/>
      <c r="AD37" s="298"/>
      <c r="AE37" s="298"/>
      <c r="AF37" s="298"/>
      <c r="AG37" s="298"/>
      <c r="AH37" s="402"/>
      <c r="AI37" s="401"/>
      <c r="AJ37" s="298"/>
      <c r="AK37" s="298"/>
      <c r="AL37" s="298"/>
      <c r="AM37" s="298"/>
      <c r="AN37" s="298"/>
      <c r="AO37" s="298"/>
      <c r="AP37" s="662"/>
      <c r="AQ37" s="409" t="s">
        <v>197</v>
      </c>
      <c r="AR37" s="410"/>
    </row>
    <row r="38" spans="1:44" ht="20.100000000000001" customHeight="1">
      <c r="A38" s="280"/>
      <c r="B38" s="358"/>
      <c r="C38" s="359"/>
      <c r="D38" s="359"/>
      <c r="E38" s="359"/>
      <c r="F38" s="359"/>
      <c r="G38" s="360"/>
      <c r="H38" s="387"/>
      <c r="I38" s="388"/>
      <c r="J38" s="388"/>
      <c r="K38" s="388"/>
      <c r="L38" s="388"/>
      <c r="M38" s="388"/>
      <c r="N38" s="388"/>
      <c r="O38" s="388"/>
      <c r="P38" s="389"/>
      <c r="Q38" s="88" t="s">
        <v>198</v>
      </c>
      <c r="R38" s="364"/>
      <c r="S38" s="364"/>
      <c r="T38" s="364"/>
      <c r="U38" s="364"/>
      <c r="V38" s="364"/>
      <c r="W38" s="364"/>
      <c r="X38" s="364"/>
      <c r="Y38" s="365"/>
      <c r="Z38" s="396"/>
      <c r="AA38" s="401"/>
      <c r="AB38" s="298"/>
      <c r="AC38" s="298"/>
      <c r="AD38" s="298"/>
      <c r="AE38" s="298"/>
      <c r="AF38" s="298"/>
      <c r="AG38" s="298"/>
      <c r="AH38" s="402"/>
      <c r="AI38" s="401"/>
      <c r="AJ38" s="298"/>
      <c r="AK38" s="298"/>
      <c r="AL38" s="298"/>
      <c r="AM38" s="298"/>
      <c r="AN38" s="298"/>
      <c r="AO38" s="298"/>
      <c r="AP38" s="662"/>
      <c r="AQ38" s="366">
        <f>Z33*AQ34</f>
        <v>0</v>
      </c>
      <c r="AR38" s="367"/>
    </row>
    <row r="39" spans="1:44" ht="20.100000000000001" customHeight="1">
      <c r="A39" s="280"/>
      <c r="B39" s="358"/>
      <c r="C39" s="359"/>
      <c r="D39" s="359"/>
      <c r="E39" s="359"/>
      <c r="F39" s="359"/>
      <c r="G39" s="360"/>
      <c r="H39" s="387"/>
      <c r="I39" s="388"/>
      <c r="J39" s="388"/>
      <c r="K39" s="388"/>
      <c r="L39" s="388"/>
      <c r="M39" s="388"/>
      <c r="N39" s="388"/>
      <c r="O39" s="388"/>
      <c r="P39" s="389"/>
      <c r="Q39" s="200"/>
      <c r="R39" s="359"/>
      <c r="S39" s="359"/>
      <c r="T39" s="359"/>
      <c r="U39" s="359"/>
      <c r="V39" s="359"/>
      <c r="W39" s="359"/>
      <c r="X39" s="359"/>
      <c r="Y39" s="360"/>
      <c r="Z39" s="396"/>
      <c r="AA39" s="401"/>
      <c r="AB39" s="298"/>
      <c r="AC39" s="298"/>
      <c r="AD39" s="298"/>
      <c r="AE39" s="298"/>
      <c r="AF39" s="298"/>
      <c r="AG39" s="298"/>
      <c r="AH39" s="402"/>
      <c r="AI39" s="401"/>
      <c r="AJ39" s="298"/>
      <c r="AK39" s="298"/>
      <c r="AL39" s="298"/>
      <c r="AM39" s="298"/>
      <c r="AN39" s="298"/>
      <c r="AO39" s="298"/>
      <c r="AP39" s="662"/>
      <c r="AQ39" s="368"/>
      <c r="AR39" s="369"/>
    </row>
    <row r="40" spans="1:44" ht="20.100000000000001" customHeight="1" thickBot="1">
      <c r="A40" s="303"/>
      <c r="B40" s="361"/>
      <c r="C40" s="362"/>
      <c r="D40" s="362"/>
      <c r="E40" s="362"/>
      <c r="F40" s="362"/>
      <c r="G40" s="363"/>
      <c r="H40" s="390"/>
      <c r="I40" s="391"/>
      <c r="J40" s="391"/>
      <c r="K40" s="391"/>
      <c r="L40" s="391"/>
      <c r="M40" s="391"/>
      <c r="N40" s="391"/>
      <c r="O40" s="391"/>
      <c r="P40" s="392"/>
      <c r="Q40" s="89"/>
      <c r="R40" s="362"/>
      <c r="S40" s="362"/>
      <c r="T40" s="362"/>
      <c r="U40" s="362"/>
      <c r="V40" s="362"/>
      <c r="W40" s="362"/>
      <c r="X40" s="362"/>
      <c r="Y40" s="363"/>
      <c r="Z40" s="397"/>
      <c r="AA40" s="403"/>
      <c r="AB40" s="308"/>
      <c r="AC40" s="308"/>
      <c r="AD40" s="308"/>
      <c r="AE40" s="308"/>
      <c r="AF40" s="308"/>
      <c r="AG40" s="308"/>
      <c r="AH40" s="404"/>
      <c r="AI40" s="403"/>
      <c r="AJ40" s="308"/>
      <c r="AK40" s="308"/>
      <c r="AL40" s="308"/>
      <c r="AM40" s="308"/>
      <c r="AN40" s="308"/>
      <c r="AO40" s="308"/>
      <c r="AP40" s="666"/>
      <c r="AQ40" s="370"/>
      <c r="AR40" s="371"/>
    </row>
    <row r="41" spans="1:44" ht="20.100000000000001" customHeight="1">
      <c r="Z41" s="90">
        <f>SUM(Z9:Z40)</f>
        <v>12</v>
      </c>
      <c r="AA41" s="201"/>
      <c r="AB41" s="201"/>
      <c r="AC41" s="201"/>
      <c r="AD41" s="201"/>
      <c r="AE41" s="201"/>
      <c r="AF41" s="201"/>
      <c r="AG41" s="201"/>
      <c r="AH41" s="201"/>
      <c r="AQ41" s="344">
        <f>AQ14+AQ22+AQ38+AQ30</f>
        <v>0</v>
      </c>
      <c r="AR41" s="344"/>
    </row>
    <row r="42" spans="1:44" ht="42.75" customHeight="1" thickBot="1"/>
    <row r="43" spans="1:44" s="92" customFormat="1" ht="27.75" customHeight="1" thickBot="1">
      <c r="A43" s="345" t="s">
        <v>199</v>
      </c>
      <c r="B43" s="345"/>
      <c r="C43" s="345"/>
      <c r="D43" s="345"/>
      <c r="E43" s="345"/>
      <c r="F43" s="345" t="s">
        <v>200</v>
      </c>
      <c r="G43" s="345"/>
      <c r="H43" s="345"/>
      <c r="I43" s="345"/>
      <c r="J43" s="345"/>
      <c r="K43" s="345"/>
      <c r="L43" s="346"/>
      <c r="M43" s="347"/>
      <c r="N43" s="347"/>
      <c r="O43" s="347"/>
      <c r="P43" s="347"/>
      <c r="Q43" s="347"/>
      <c r="R43" s="347"/>
      <c r="S43" s="347"/>
      <c r="T43" s="347"/>
      <c r="U43" s="347"/>
      <c r="V43" s="347"/>
      <c r="W43" s="347"/>
      <c r="X43" s="347"/>
      <c r="Y43" s="347"/>
      <c r="Z43" s="347"/>
      <c r="AA43" s="347"/>
      <c r="AB43" s="347"/>
      <c r="AC43" s="347"/>
      <c r="AD43" s="347"/>
      <c r="AE43" s="347"/>
      <c r="AF43" s="347"/>
      <c r="AG43" s="348"/>
    </row>
    <row r="44" spans="1:44" s="92" customFormat="1" ht="15" customHeight="1" thickBot="1">
      <c r="A44" s="202"/>
      <c r="B44" s="202"/>
      <c r="C44" s="202"/>
      <c r="D44" s="202"/>
      <c r="E44" s="202"/>
      <c r="F44" s="202"/>
      <c r="G44" s="202"/>
      <c r="H44" s="202"/>
      <c r="I44" s="202"/>
      <c r="J44" s="202"/>
      <c r="K44" s="202"/>
      <c r="L44" s="203"/>
      <c r="M44" s="203"/>
      <c r="N44" s="203"/>
      <c r="O44" s="203"/>
      <c r="P44" s="203"/>
      <c r="Q44" s="203"/>
      <c r="R44" s="203"/>
      <c r="S44" s="203"/>
      <c r="T44" s="203"/>
      <c r="U44" s="203"/>
      <c r="V44" s="203"/>
      <c r="W44" s="203"/>
      <c r="X44" s="203"/>
      <c r="Y44" s="203"/>
      <c r="Z44" s="203"/>
      <c r="AA44" s="203"/>
      <c r="AB44" s="203"/>
      <c r="AC44" s="203"/>
      <c r="AD44" s="203"/>
      <c r="AE44" s="203"/>
      <c r="AF44" s="203"/>
      <c r="AG44" s="203"/>
    </row>
    <row r="45" spans="1:44" s="85" customFormat="1" ht="24" customHeight="1">
      <c r="A45" s="349" t="s">
        <v>173</v>
      </c>
      <c r="B45" s="350"/>
      <c r="C45" s="350"/>
      <c r="D45" s="350"/>
      <c r="E45" s="350"/>
      <c r="F45" s="350"/>
      <c r="G45" s="350"/>
      <c r="H45" s="350"/>
      <c r="I45" s="350"/>
      <c r="J45" s="350"/>
      <c r="K45" s="350"/>
      <c r="L45" s="350"/>
      <c r="M45" s="350"/>
      <c r="N45" s="350"/>
      <c r="O45" s="350"/>
      <c r="P45" s="350"/>
      <c r="Q45" s="350"/>
      <c r="R45" s="350"/>
      <c r="S45" s="350"/>
      <c r="T45" s="350"/>
      <c r="U45" s="350"/>
      <c r="V45" s="350"/>
      <c r="W45" s="350"/>
      <c r="X45" s="351"/>
      <c r="Y45" s="352" t="s">
        <v>201</v>
      </c>
      <c r="Z45" s="353"/>
      <c r="AA45" s="353"/>
      <c r="AB45" s="353"/>
      <c r="AC45" s="353"/>
      <c r="AD45" s="353"/>
      <c r="AE45" s="353"/>
      <c r="AF45" s="353"/>
      <c r="AG45" s="354"/>
      <c r="AH45" s="355" t="s">
        <v>202</v>
      </c>
      <c r="AI45" s="356"/>
      <c r="AJ45" s="356"/>
      <c r="AK45" s="356"/>
      <c r="AL45" s="356"/>
      <c r="AM45" s="356"/>
      <c r="AN45" s="356"/>
      <c r="AO45" s="356"/>
      <c r="AP45" s="356"/>
      <c r="AQ45" s="356"/>
      <c r="AR45" s="357"/>
    </row>
    <row r="46" spans="1:44" ht="15.6" customHeight="1">
      <c r="A46" s="279" t="s">
        <v>177</v>
      </c>
      <c r="B46" s="310" t="s">
        <v>203</v>
      </c>
      <c r="C46" s="311"/>
      <c r="D46" s="311"/>
      <c r="E46" s="311"/>
      <c r="F46" s="311"/>
      <c r="G46" s="311"/>
      <c r="H46" s="311"/>
      <c r="I46" s="311"/>
      <c r="J46" s="311"/>
      <c r="K46" s="312"/>
      <c r="L46" s="310" t="s">
        <v>179</v>
      </c>
      <c r="M46" s="311"/>
      <c r="N46" s="311"/>
      <c r="O46" s="311"/>
      <c r="P46" s="311"/>
      <c r="Q46" s="311"/>
      <c r="R46" s="311"/>
      <c r="S46" s="311"/>
      <c r="T46" s="311"/>
      <c r="U46" s="311"/>
      <c r="V46" s="311"/>
      <c r="W46" s="311"/>
      <c r="X46" s="319"/>
      <c r="Y46" s="320" t="s">
        <v>182</v>
      </c>
      <c r="Z46" s="321"/>
      <c r="AA46" s="321"/>
      <c r="AB46" s="321"/>
      <c r="AC46" s="321"/>
      <c r="AD46" s="321"/>
      <c r="AE46" s="321"/>
      <c r="AF46" s="321"/>
      <c r="AG46" s="322"/>
      <c r="AH46" s="323" t="s">
        <v>204</v>
      </c>
      <c r="AI46" s="324"/>
      <c r="AJ46" s="324"/>
      <c r="AK46" s="324"/>
      <c r="AL46" s="324"/>
      <c r="AM46" s="324"/>
      <c r="AN46" s="324"/>
      <c r="AO46" s="324"/>
      <c r="AP46" s="324"/>
      <c r="AQ46" s="324"/>
      <c r="AR46" s="325"/>
    </row>
    <row r="47" spans="1:44" ht="15.6" customHeight="1">
      <c r="A47" s="280"/>
      <c r="B47" s="313"/>
      <c r="C47" s="314"/>
      <c r="D47" s="314"/>
      <c r="E47" s="314"/>
      <c r="F47" s="314"/>
      <c r="G47" s="314"/>
      <c r="H47" s="314"/>
      <c r="I47" s="314"/>
      <c r="J47" s="314"/>
      <c r="K47" s="315"/>
      <c r="L47" s="326" t="s">
        <v>205</v>
      </c>
      <c r="M47" s="327"/>
      <c r="N47" s="327"/>
      <c r="O47" s="327"/>
      <c r="P47" s="327"/>
      <c r="Q47" s="327"/>
      <c r="R47" s="327"/>
      <c r="S47" s="327"/>
      <c r="T47" s="327"/>
      <c r="U47" s="327"/>
      <c r="V47" s="327"/>
      <c r="W47" s="327"/>
      <c r="X47" s="328"/>
      <c r="Y47" s="332" t="s">
        <v>206</v>
      </c>
      <c r="Z47" s="333"/>
      <c r="AA47" s="333"/>
      <c r="AB47" s="333"/>
      <c r="AC47" s="333"/>
      <c r="AD47" s="333"/>
      <c r="AE47" s="333"/>
      <c r="AF47" s="333"/>
      <c r="AG47" s="334"/>
      <c r="AH47" s="338" t="s">
        <v>207</v>
      </c>
      <c r="AI47" s="339"/>
      <c r="AJ47" s="339"/>
      <c r="AK47" s="339"/>
      <c r="AL47" s="339"/>
      <c r="AM47" s="339"/>
      <c r="AN47" s="339"/>
      <c r="AO47" s="339"/>
      <c r="AP47" s="339"/>
      <c r="AQ47" s="339"/>
      <c r="AR47" s="340"/>
    </row>
    <row r="48" spans="1:44">
      <c r="A48" s="281"/>
      <c r="B48" s="316"/>
      <c r="C48" s="317"/>
      <c r="D48" s="317"/>
      <c r="E48" s="317"/>
      <c r="F48" s="317"/>
      <c r="G48" s="317"/>
      <c r="H48" s="317"/>
      <c r="I48" s="317"/>
      <c r="J48" s="317"/>
      <c r="K48" s="318"/>
      <c r="L48" s="329"/>
      <c r="M48" s="330"/>
      <c r="N48" s="330"/>
      <c r="O48" s="330"/>
      <c r="P48" s="330"/>
      <c r="Q48" s="330"/>
      <c r="R48" s="330"/>
      <c r="S48" s="330"/>
      <c r="T48" s="330"/>
      <c r="U48" s="330"/>
      <c r="V48" s="330"/>
      <c r="W48" s="330"/>
      <c r="X48" s="331"/>
      <c r="Y48" s="335"/>
      <c r="Z48" s="336"/>
      <c r="AA48" s="336"/>
      <c r="AB48" s="336"/>
      <c r="AC48" s="336"/>
      <c r="AD48" s="336"/>
      <c r="AE48" s="336"/>
      <c r="AF48" s="336"/>
      <c r="AG48" s="337"/>
      <c r="AH48" s="341"/>
      <c r="AI48" s="342"/>
      <c r="AJ48" s="342"/>
      <c r="AK48" s="342"/>
      <c r="AL48" s="342"/>
      <c r="AM48" s="342"/>
      <c r="AN48" s="342"/>
      <c r="AO48" s="342"/>
      <c r="AP48" s="342"/>
      <c r="AQ48" s="342"/>
      <c r="AR48" s="343"/>
    </row>
    <row r="49" spans="1:44" ht="20.100000000000001" customHeight="1">
      <c r="A49" s="279">
        <v>1</v>
      </c>
      <c r="B49" s="282" t="s">
        <v>208</v>
      </c>
      <c r="C49" s="283"/>
      <c r="D49" s="283"/>
      <c r="E49" s="283"/>
      <c r="F49" s="283"/>
      <c r="G49" s="283"/>
      <c r="H49" s="283"/>
      <c r="I49" s="283"/>
      <c r="J49" s="283"/>
      <c r="K49" s="284"/>
      <c r="L49" s="285"/>
      <c r="M49" s="286"/>
      <c r="N49" s="286"/>
      <c r="O49" s="286"/>
      <c r="P49" s="286"/>
      <c r="Q49" s="286"/>
      <c r="R49" s="286"/>
      <c r="S49" s="286"/>
      <c r="T49" s="286"/>
      <c r="U49" s="286"/>
      <c r="V49" s="286"/>
      <c r="W49" s="286"/>
      <c r="X49" s="287"/>
      <c r="Y49" s="195"/>
      <c r="Z49" s="195"/>
      <c r="AA49" s="195"/>
      <c r="AB49" s="195"/>
      <c r="AC49" s="195"/>
      <c r="AD49" s="195"/>
      <c r="AE49" s="195"/>
      <c r="AF49" s="195"/>
      <c r="AG49" s="195"/>
      <c r="AH49" s="204"/>
      <c r="AI49" s="205"/>
      <c r="AJ49" s="205"/>
      <c r="AK49" s="205"/>
      <c r="AL49" s="205"/>
      <c r="AM49" s="205"/>
      <c r="AN49" s="205"/>
      <c r="AO49" s="205"/>
      <c r="AP49" s="205"/>
      <c r="AQ49" s="205"/>
      <c r="AR49" s="206"/>
    </row>
    <row r="50" spans="1:44" ht="20.100000000000001" customHeight="1">
      <c r="A50" s="280"/>
      <c r="B50" s="294"/>
      <c r="C50" s="295"/>
      <c r="D50" s="295"/>
      <c r="E50" s="295"/>
      <c r="F50" s="295"/>
      <c r="G50" s="295"/>
      <c r="H50" s="295"/>
      <c r="I50" s="295"/>
      <c r="J50" s="295"/>
      <c r="K50" s="296"/>
      <c r="L50" s="288"/>
      <c r="M50" s="289"/>
      <c r="N50" s="289"/>
      <c r="O50" s="289"/>
      <c r="P50" s="289"/>
      <c r="Q50" s="289"/>
      <c r="R50" s="289"/>
      <c r="S50" s="289"/>
      <c r="T50" s="289"/>
      <c r="U50" s="289"/>
      <c r="V50" s="289"/>
      <c r="W50" s="289"/>
      <c r="X50" s="290"/>
      <c r="Y50" s="196"/>
      <c r="Z50" s="196"/>
      <c r="AA50" s="196"/>
      <c r="AB50" s="196"/>
      <c r="AC50" s="196"/>
      <c r="AD50" s="196"/>
      <c r="AE50" s="196"/>
      <c r="AF50" s="196"/>
      <c r="AG50" s="196"/>
      <c r="AH50" s="207"/>
      <c r="AI50" s="83"/>
      <c r="AJ50" s="83"/>
      <c r="AK50" s="83"/>
      <c r="AL50" s="83"/>
      <c r="AM50" s="83"/>
      <c r="AN50" s="83"/>
      <c r="AO50" s="83"/>
      <c r="AP50" s="83"/>
      <c r="AQ50" s="83"/>
      <c r="AR50" s="208"/>
    </row>
    <row r="51" spans="1:44" ht="20.100000000000001" customHeight="1">
      <c r="A51" s="280"/>
      <c r="B51" s="297"/>
      <c r="C51" s="298"/>
      <c r="D51" s="298"/>
      <c r="E51" s="298"/>
      <c r="F51" s="298"/>
      <c r="G51" s="298"/>
      <c r="H51" s="298"/>
      <c r="I51" s="298"/>
      <c r="J51" s="298"/>
      <c r="K51" s="299"/>
      <c r="L51" s="288"/>
      <c r="M51" s="289"/>
      <c r="N51" s="289"/>
      <c r="O51" s="289"/>
      <c r="P51" s="289"/>
      <c r="Q51" s="289"/>
      <c r="R51" s="289"/>
      <c r="S51" s="289"/>
      <c r="T51" s="289"/>
      <c r="U51" s="289"/>
      <c r="V51" s="289"/>
      <c r="W51" s="289"/>
      <c r="X51" s="290"/>
      <c r="Y51" s="196"/>
      <c r="Z51" s="196"/>
      <c r="AA51" s="196"/>
      <c r="AB51" s="196"/>
      <c r="AC51" s="196"/>
      <c r="AD51" s="196"/>
      <c r="AE51" s="196"/>
      <c r="AF51" s="196"/>
      <c r="AG51" s="196"/>
      <c r="AH51" s="207"/>
      <c r="AI51" s="83"/>
      <c r="AJ51" s="83"/>
      <c r="AK51" s="83"/>
      <c r="AL51" s="83"/>
      <c r="AM51" s="83"/>
      <c r="AN51" s="83"/>
      <c r="AO51" s="83"/>
      <c r="AP51" s="83"/>
      <c r="AQ51" s="83"/>
      <c r="AR51" s="208"/>
    </row>
    <row r="52" spans="1:44" ht="20.100000000000001" customHeight="1">
      <c r="A52" s="280"/>
      <c r="B52" s="297"/>
      <c r="C52" s="298"/>
      <c r="D52" s="298"/>
      <c r="E52" s="298"/>
      <c r="F52" s="298"/>
      <c r="G52" s="298"/>
      <c r="H52" s="298"/>
      <c r="I52" s="298"/>
      <c r="J52" s="298"/>
      <c r="K52" s="299"/>
      <c r="L52" s="288"/>
      <c r="M52" s="289"/>
      <c r="N52" s="289"/>
      <c r="O52" s="289"/>
      <c r="P52" s="289"/>
      <c r="Q52" s="289"/>
      <c r="R52" s="289"/>
      <c r="S52" s="289"/>
      <c r="T52" s="289"/>
      <c r="U52" s="289"/>
      <c r="V52" s="289"/>
      <c r="W52" s="289"/>
      <c r="X52" s="290"/>
      <c r="Y52" s="196"/>
      <c r="Z52" s="196"/>
      <c r="AA52" s="196"/>
      <c r="AB52" s="196"/>
      <c r="AC52" s="196"/>
      <c r="AD52" s="196"/>
      <c r="AE52" s="196"/>
      <c r="AF52" s="196"/>
      <c r="AG52" s="196"/>
      <c r="AH52" s="207"/>
      <c r="AI52" s="83"/>
      <c r="AJ52" s="83"/>
      <c r="AK52" s="83"/>
      <c r="AL52" s="83"/>
      <c r="AM52" s="83"/>
      <c r="AN52" s="83"/>
      <c r="AO52" s="83"/>
      <c r="AP52" s="83"/>
      <c r="AQ52" s="83"/>
      <c r="AR52" s="208"/>
    </row>
    <row r="53" spans="1:44" ht="20.100000000000001" customHeight="1">
      <c r="A53" s="280"/>
      <c r="B53" s="297"/>
      <c r="C53" s="298"/>
      <c r="D53" s="298"/>
      <c r="E53" s="298"/>
      <c r="F53" s="298"/>
      <c r="G53" s="298"/>
      <c r="H53" s="298"/>
      <c r="I53" s="298"/>
      <c r="J53" s="298"/>
      <c r="K53" s="299"/>
      <c r="L53" s="288"/>
      <c r="M53" s="289"/>
      <c r="N53" s="289"/>
      <c r="O53" s="289"/>
      <c r="P53" s="289"/>
      <c r="Q53" s="289"/>
      <c r="R53" s="289"/>
      <c r="S53" s="289"/>
      <c r="T53" s="289"/>
      <c r="U53" s="289"/>
      <c r="V53" s="289"/>
      <c r="W53" s="289"/>
      <c r="X53" s="290"/>
      <c r="Y53" s="196"/>
      <c r="Z53" s="196"/>
      <c r="AA53" s="196"/>
      <c r="AB53" s="196"/>
      <c r="AC53" s="196"/>
      <c r="AD53" s="196"/>
      <c r="AE53" s="196"/>
      <c r="AF53" s="196"/>
      <c r="AG53" s="196"/>
      <c r="AH53" s="207"/>
      <c r="AI53" s="83"/>
      <c r="AJ53" s="83"/>
      <c r="AK53" s="83"/>
      <c r="AL53" s="83"/>
      <c r="AM53" s="83"/>
      <c r="AN53" s="83"/>
      <c r="AO53" s="83"/>
      <c r="AP53" s="83"/>
      <c r="AQ53" s="83"/>
      <c r="AR53" s="208"/>
    </row>
    <row r="54" spans="1:44" ht="20.100000000000001" customHeight="1">
      <c r="A54" s="280"/>
      <c r="B54" s="297"/>
      <c r="C54" s="298"/>
      <c r="D54" s="298"/>
      <c r="E54" s="298"/>
      <c r="F54" s="298"/>
      <c r="G54" s="298"/>
      <c r="H54" s="298"/>
      <c r="I54" s="298"/>
      <c r="J54" s="298"/>
      <c r="K54" s="299"/>
      <c r="L54" s="288"/>
      <c r="M54" s="289"/>
      <c r="N54" s="289"/>
      <c r="O54" s="289"/>
      <c r="P54" s="289"/>
      <c r="Q54" s="289"/>
      <c r="R54" s="289"/>
      <c r="S54" s="289"/>
      <c r="T54" s="289"/>
      <c r="U54" s="289"/>
      <c r="V54" s="289"/>
      <c r="W54" s="289"/>
      <c r="X54" s="290"/>
      <c r="Y54" s="196"/>
      <c r="Z54" s="196"/>
      <c r="AA54" s="196"/>
      <c r="AB54" s="196"/>
      <c r="AC54" s="196"/>
      <c r="AD54" s="196"/>
      <c r="AE54" s="196"/>
      <c r="AF54" s="196"/>
      <c r="AG54" s="196"/>
      <c r="AH54" s="207"/>
      <c r="AI54" s="83"/>
      <c r="AJ54" s="83"/>
      <c r="AK54" s="83"/>
      <c r="AL54" s="83"/>
      <c r="AM54" s="83"/>
      <c r="AN54" s="83"/>
      <c r="AO54" s="83"/>
      <c r="AP54" s="83"/>
      <c r="AQ54" s="83"/>
      <c r="AR54" s="208"/>
    </row>
    <row r="55" spans="1:44" ht="20.100000000000001" customHeight="1">
      <c r="A55" s="281"/>
      <c r="B55" s="300"/>
      <c r="C55" s="301"/>
      <c r="D55" s="301"/>
      <c r="E55" s="301"/>
      <c r="F55" s="301"/>
      <c r="G55" s="301"/>
      <c r="H55" s="301"/>
      <c r="I55" s="301"/>
      <c r="J55" s="301"/>
      <c r="K55" s="302"/>
      <c r="L55" s="291"/>
      <c r="M55" s="292"/>
      <c r="N55" s="292"/>
      <c r="O55" s="292"/>
      <c r="P55" s="292"/>
      <c r="Q55" s="292"/>
      <c r="R55" s="292"/>
      <c r="S55" s="292"/>
      <c r="T55" s="292"/>
      <c r="U55" s="292"/>
      <c r="V55" s="292"/>
      <c r="W55" s="292"/>
      <c r="X55" s="293"/>
      <c r="Y55" s="198"/>
      <c r="Z55" s="198"/>
      <c r="AA55" s="198"/>
      <c r="AB55" s="198"/>
      <c r="AC55" s="198"/>
      <c r="AD55" s="198"/>
      <c r="AE55" s="198"/>
      <c r="AF55" s="198"/>
      <c r="AG55" s="198"/>
      <c r="AH55" s="209"/>
      <c r="AI55" s="210"/>
      <c r="AJ55" s="210"/>
      <c r="AK55" s="210"/>
      <c r="AL55" s="210"/>
      <c r="AM55" s="210"/>
      <c r="AN55" s="210"/>
      <c r="AO55" s="210"/>
      <c r="AP55" s="210"/>
      <c r="AQ55" s="210"/>
      <c r="AR55" s="211"/>
    </row>
    <row r="56" spans="1:44" ht="20.100000000000001" customHeight="1">
      <c r="A56" s="279">
        <v>2</v>
      </c>
      <c r="B56" s="282" t="s">
        <v>209</v>
      </c>
      <c r="C56" s="283"/>
      <c r="D56" s="283"/>
      <c r="E56" s="283"/>
      <c r="F56" s="283"/>
      <c r="G56" s="283"/>
      <c r="H56" s="283"/>
      <c r="I56" s="283"/>
      <c r="J56" s="283"/>
      <c r="K56" s="284"/>
      <c r="L56" s="285"/>
      <c r="M56" s="286"/>
      <c r="N56" s="286"/>
      <c r="O56" s="286"/>
      <c r="P56" s="286"/>
      <c r="Q56" s="286"/>
      <c r="R56" s="286"/>
      <c r="S56" s="286"/>
      <c r="T56" s="286"/>
      <c r="U56" s="286"/>
      <c r="V56" s="286"/>
      <c r="W56" s="286"/>
      <c r="X56" s="287"/>
      <c r="Y56" s="195"/>
      <c r="Z56" s="195"/>
      <c r="AA56" s="195"/>
      <c r="AB56" s="195"/>
      <c r="AC56" s="195"/>
      <c r="AD56" s="195"/>
      <c r="AE56" s="195"/>
      <c r="AF56" s="195"/>
      <c r="AG56" s="195"/>
      <c r="AH56" s="204"/>
      <c r="AI56" s="205"/>
      <c r="AJ56" s="205"/>
      <c r="AK56" s="205"/>
      <c r="AL56" s="205"/>
      <c r="AM56" s="205"/>
      <c r="AN56" s="205"/>
      <c r="AO56" s="205"/>
      <c r="AP56" s="205"/>
      <c r="AQ56" s="205"/>
      <c r="AR56" s="206"/>
    </row>
    <row r="57" spans="1:44" ht="20.100000000000001" customHeight="1">
      <c r="A57" s="280"/>
      <c r="B57" s="294"/>
      <c r="C57" s="295"/>
      <c r="D57" s="295"/>
      <c r="E57" s="295"/>
      <c r="F57" s="295"/>
      <c r="G57" s="295"/>
      <c r="H57" s="295"/>
      <c r="I57" s="295"/>
      <c r="J57" s="295"/>
      <c r="K57" s="296"/>
      <c r="L57" s="288"/>
      <c r="M57" s="289"/>
      <c r="N57" s="289"/>
      <c r="O57" s="289"/>
      <c r="P57" s="289"/>
      <c r="Q57" s="289"/>
      <c r="R57" s="289"/>
      <c r="S57" s="289"/>
      <c r="T57" s="289"/>
      <c r="U57" s="289"/>
      <c r="V57" s="289"/>
      <c r="W57" s="289"/>
      <c r="X57" s="290"/>
      <c r="Y57" s="196"/>
      <c r="Z57" s="196"/>
      <c r="AA57" s="196"/>
      <c r="AB57" s="196"/>
      <c r="AC57" s="196"/>
      <c r="AD57" s="196"/>
      <c r="AE57" s="196"/>
      <c r="AF57" s="196"/>
      <c r="AG57" s="196"/>
      <c r="AH57" s="207"/>
      <c r="AI57" s="83"/>
      <c r="AJ57" s="83"/>
      <c r="AK57" s="83"/>
      <c r="AL57" s="83"/>
      <c r="AM57" s="83"/>
      <c r="AN57" s="83"/>
      <c r="AO57" s="83"/>
      <c r="AP57" s="83"/>
      <c r="AQ57" s="83"/>
      <c r="AR57" s="208"/>
    </row>
    <row r="58" spans="1:44" ht="20.100000000000001" customHeight="1">
      <c r="A58" s="280"/>
      <c r="B58" s="297"/>
      <c r="C58" s="298"/>
      <c r="D58" s="298"/>
      <c r="E58" s="298"/>
      <c r="F58" s="298"/>
      <c r="G58" s="298"/>
      <c r="H58" s="298"/>
      <c r="I58" s="298"/>
      <c r="J58" s="298"/>
      <c r="K58" s="299"/>
      <c r="L58" s="288"/>
      <c r="M58" s="289"/>
      <c r="N58" s="289"/>
      <c r="O58" s="289"/>
      <c r="P58" s="289"/>
      <c r="Q58" s="289"/>
      <c r="R58" s="289"/>
      <c r="S58" s="289"/>
      <c r="T58" s="289"/>
      <c r="U58" s="289"/>
      <c r="V58" s="289"/>
      <c r="W58" s="289"/>
      <c r="X58" s="290"/>
      <c r="Y58" s="196"/>
      <c r="Z58" s="196"/>
      <c r="AA58" s="196"/>
      <c r="AB58" s="196"/>
      <c r="AC58" s="196"/>
      <c r="AD58" s="196"/>
      <c r="AE58" s="196"/>
      <c r="AF58" s="196"/>
      <c r="AG58" s="196"/>
      <c r="AH58" s="207"/>
      <c r="AI58" s="83"/>
      <c r="AJ58" s="83"/>
      <c r="AK58" s="83"/>
      <c r="AL58" s="83"/>
      <c r="AM58" s="83"/>
      <c r="AN58" s="83"/>
      <c r="AO58" s="83"/>
      <c r="AP58" s="83"/>
      <c r="AQ58" s="83"/>
      <c r="AR58" s="208"/>
    </row>
    <row r="59" spans="1:44" ht="20.100000000000001" customHeight="1">
      <c r="A59" s="280"/>
      <c r="B59" s="297"/>
      <c r="C59" s="298"/>
      <c r="D59" s="298"/>
      <c r="E59" s="298"/>
      <c r="F59" s="298"/>
      <c r="G59" s="298"/>
      <c r="H59" s="298"/>
      <c r="I59" s="298"/>
      <c r="J59" s="298"/>
      <c r="K59" s="299"/>
      <c r="L59" s="288"/>
      <c r="M59" s="289"/>
      <c r="N59" s="289"/>
      <c r="O59" s="289"/>
      <c r="P59" s="289"/>
      <c r="Q59" s="289"/>
      <c r="R59" s="289"/>
      <c r="S59" s="289"/>
      <c r="T59" s="289"/>
      <c r="U59" s="289"/>
      <c r="V59" s="289"/>
      <c r="W59" s="289"/>
      <c r="X59" s="290"/>
      <c r="Y59" s="196"/>
      <c r="Z59" s="196"/>
      <c r="AA59" s="196"/>
      <c r="AB59" s="196"/>
      <c r="AC59" s="196"/>
      <c r="AD59" s="196"/>
      <c r="AE59" s="196"/>
      <c r="AF59" s="196"/>
      <c r="AG59" s="196"/>
      <c r="AH59" s="207"/>
      <c r="AI59" s="83"/>
      <c r="AJ59" s="83"/>
      <c r="AK59" s="83"/>
      <c r="AL59" s="83"/>
      <c r="AM59" s="83"/>
      <c r="AN59" s="83"/>
      <c r="AO59" s="83"/>
      <c r="AP59" s="83"/>
      <c r="AQ59" s="83"/>
      <c r="AR59" s="208"/>
    </row>
    <row r="60" spans="1:44" ht="20.100000000000001" customHeight="1">
      <c r="A60" s="280"/>
      <c r="B60" s="297"/>
      <c r="C60" s="298"/>
      <c r="D60" s="298"/>
      <c r="E60" s="298"/>
      <c r="F60" s="298"/>
      <c r="G60" s="298"/>
      <c r="H60" s="298"/>
      <c r="I60" s="298"/>
      <c r="J60" s="298"/>
      <c r="K60" s="299"/>
      <c r="L60" s="288"/>
      <c r="M60" s="289"/>
      <c r="N60" s="289"/>
      <c r="O60" s="289"/>
      <c r="P60" s="289"/>
      <c r="Q60" s="289"/>
      <c r="R60" s="289"/>
      <c r="S60" s="289"/>
      <c r="T60" s="289"/>
      <c r="U60" s="289"/>
      <c r="V60" s="289"/>
      <c r="W60" s="289"/>
      <c r="X60" s="290"/>
      <c r="Y60" s="196"/>
      <c r="Z60" s="196"/>
      <c r="AA60" s="196"/>
      <c r="AB60" s="196"/>
      <c r="AC60" s="196"/>
      <c r="AD60" s="196"/>
      <c r="AE60" s="196"/>
      <c r="AF60" s="196"/>
      <c r="AG60" s="196"/>
      <c r="AH60" s="207"/>
      <c r="AI60" s="83"/>
      <c r="AJ60" s="83"/>
      <c r="AK60" s="83"/>
      <c r="AL60" s="83"/>
      <c r="AM60" s="83"/>
      <c r="AN60" s="83"/>
      <c r="AO60" s="83"/>
      <c r="AP60" s="83"/>
      <c r="AQ60" s="83"/>
      <c r="AR60" s="208"/>
    </row>
    <row r="61" spans="1:44" ht="20.100000000000001" customHeight="1">
      <c r="A61" s="280"/>
      <c r="B61" s="297"/>
      <c r="C61" s="298"/>
      <c r="D61" s="298"/>
      <c r="E61" s="298"/>
      <c r="F61" s="298"/>
      <c r="G61" s="298"/>
      <c r="H61" s="298"/>
      <c r="I61" s="298"/>
      <c r="J61" s="298"/>
      <c r="K61" s="299"/>
      <c r="L61" s="288"/>
      <c r="M61" s="289"/>
      <c r="N61" s="289"/>
      <c r="O61" s="289"/>
      <c r="P61" s="289"/>
      <c r="Q61" s="289"/>
      <c r="R61" s="289"/>
      <c r="S61" s="289"/>
      <c r="T61" s="289"/>
      <c r="U61" s="289"/>
      <c r="V61" s="289"/>
      <c r="W61" s="289"/>
      <c r="X61" s="290"/>
      <c r="Y61" s="196"/>
      <c r="Z61" s="196"/>
      <c r="AA61" s="196"/>
      <c r="AB61" s="196"/>
      <c r="AC61" s="196"/>
      <c r="AD61" s="196"/>
      <c r="AE61" s="196"/>
      <c r="AF61" s="196"/>
      <c r="AG61" s="196"/>
      <c r="AH61" s="207"/>
      <c r="AI61" s="83"/>
      <c r="AJ61" s="83"/>
      <c r="AK61" s="83"/>
      <c r="AL61" s="83"/>
      <c r="AM61" s="83"/>
      <c r="AN61" s="83"/>
      <c r="AO61" s="83"/>
      <c r="AP61" s="83"/>
      <c r="AQ61" s="83"/>
      <c r="AR61" s="208"/>
    </row>
    <row r="62" spans="1:44" ht="20.100000000000001" customHeight="1" thickBot="1">
      <c r="A62" s="303"/>
      <c r="B62" s="307"/>
      <c r="C62" s="308"/>
      <c r="D62" s="308"/>
      <c r="E62" s="308"/>
      <c r="F62" s="308"/>
      <c r="G62" s="308"/>
      <c r="H62" s="308"/>
      <c r="I62" s="308"/>
      <c r="J62" s="308"/>
      <c r="K62" s="309"/>
      <c r="L62" s="304"/>
      <c r="M62" s="305"/>
      <c r="N62" s="305"/>
      <c r="O62" s="305"/>
      <c r="P62" s="305"/>
      <c r="Q62" s="305"/>
      <c r="R62" s="305"/>
      <c r="S62" s="305"/>
      <c r="T62" s="305"/>
      <c r="U62" s="305"/>
      <c r="V62" s="305"/>
      <c r="W62" s="305"/>
      <c r="X62" s="306"/>
      <c r="Y62" s="197"/>
      <c r="Z62" s="197"/>
      <c r="AA62" s="197"/>
      <c r="AB62" s="197"/>
      <c r="AC62" s="197"/>
      <c r="AD62" s="197"/>
      <c r="AE62" s="197"/>
      <c r="AF62" s="197"/>
      <c r="AG62" s="197"/>
      <c r="AH62" s="212"/>
      <c r="AI62" s="213"/>
      <c r="AJ62" s="213"/>
      <c r="AK62" s="213"/>
      <c r="AL62" s="213"/>
      <c r="AM62" s="213"/>
      <c r="AN62" s="213"/>
      <c r="AO62" s="213"/>
      <c r="AP62" s="213"/>
      <c r="AQ62" s="213"/>
      <c r="AR62" s="214"/>
    </row>
    <row r="63" spans="1:44" ht="20.100000000000001" customHeight="1"/>
  </sheetData>
  <mergeCells count="137">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A6:A8"/>
    <mergeCell ref="B6:G6"/>
    <mergeCell ref="H6:P6"/>
    <mergeCell ref="Q6:Y6"/>
    <mergeCell ref="Z6:Z8"/>
    <mergeCell ref="AA6:AH6"/>
    <mergeCell ref="AI6:AP6"/>
    <mergeCell ref="B7:G8"/>
    <mergeCell ref="H7:P8"/>
    <mergeCell ref="Q7:Y8"/>
    <mergeCell ref="AA7:AH8"/>
    <mergeCell ref="AI7:AP8"/>
    <mergeCell ref="A9:A16"/>
    <mergeCell ref="B9:G9"/>
    <mergeCell ref="H9:P16"/>
    <mergeCell ref="R9:Y9"/>
    <mergeCell ref="Z9:Z16"/>
    <mergeCell ref="AA9:AH16"/>
    <mergeCell ref="AI9:AP16"/>
    <mergeCell ref="B13:G13"/>
    <mergeCell ref="R13:Y13"/>
    <mergeCell ref="AQ13:AR13"/>
    <mergeCell ref="B14:G16"/>
    <mergeCell ref="R14:Y14"/>
    <mergeCell ref="AQ14:AR16"/>
    <mergeCell ref="R15:Y15"/>
    <mergeCell ref="R16:Y16"/>
    <mergeCell ref="AQ9:AR9"/>
    <mergeCell ref="B10:G12"/>
    <mergeCell ref="R10:Y10"/>
    <mergeCell ref="AQ10:AR12"/>
    <mergeCell ref="R11:Y11"/>
    <mergeCell ref="R12:Y12"/>
    <mergeCell ref="A25:A32"/>
    <mergeCell ref="B25:G25"/>
    <mergeCell ref="H25:P32"/>
    <mergeCell ref="R25:Y25"/>
    <mergeCell ref="Z25:Z32"/>
    <mergeCell ref="AA25:AH32"/>
    <mergeCell ref="AI25:AP32"/>
    <mergeCell ref="AI17:AP24"/>
    <mergeCell ref="AQ17:AR17"/>
    <mergeCell ref="B18:G20"/>
    <mergeCell ref="R18:Y18"/>
    <mergeCell ref="AQ18:AR20"/>
    <mergeCell ref="R19:Y19"/>
    <mergeCell ref="R20:Y20"/>
    <mergeCell ref="B21:G21"/>
    <mergeCell ref="R21:Y21"/>
    <mergeCell ref="AQ21:AR21"/>
    <mergeCell ref="A17:A24"/>
    <mergeCell ref="B17:G17"/>
    <mergeCell ref="H17:P24"/>
    <mergeCell ref="R17:Y17"/>
    <mergeCell ref="Z17:Z24"/>
    <mergeCell ref="AA17:AH24"/>
    <mergeCell ref="B22:G24"/>
    <mergeCell ref="AQ25:AR25"/>
    <mergeCell ref="B26:G28"/>
    <mergeCell ref="R26:Y26"/>
    <mergeCell ref="AQ26:AR28"/>
    <mergeCell ref="R27:Y27"/>
    <mergeCell ref="R28:Y28"/>
    <mergeCell ref="AQ22:AR24"/>
    <mergeCell ref="R23:Y23"/>
    <mergeCell ref="R24:Y24"/>
    <mergeCell ref="R22:Y22"/>
    <mergeCell ref="B29:G29"/>
    <mergeCell ref="R29:Y29"/>
    <mergeCell ref="AQ29:AR29"/>
    <mergeCell ref="B30:G32"/>
    <mergeCell ref="R30:Y30"/>
    <mergeCell ref="AQ30:AR32"/>
    <mergeCell ref="R31:Y31"/>
    <mergeCell ref="R32:Y32"/>
    <mergeCell ref="AQ38:AR40"/>
    <mergeCell ref="R39:Y39"/>
    <mergeCell ref="R40:Y40"/>
    <mergeCell ref="AQ41:AR41"/>
    <mergeCell ref="A43:E43"/>
    <mergeCell ref="F43:K43"/>
    <mergeCell ref="L43:AG43"/>
    <mergeCell ref="AI33:AP40"/>
    <mergeCell ref="AQ33:AR33"/>
    <mergeCell ref="B34:G36"/>
    <mergeCell ref="R34:Y34"/>
    <mergeCell ref="AQ34:AR36"/>
    <mergeCell ref="R35:Y35"/>
    <mergeCell ref="R36:Y36"/>
    <mergeCell ref="B37:G37"/>
    <mergeCell ref="R37:Y37"/>
    <mergeCell ref="AQ37:AR37"/>
    <mergeCell ref="A33:A40"/>
    <mergeCell ref="B33:G33"/>
    <mergeCell ref="H33:P40"/>
    <mergeCell ref="R33:Y33"/>
    <mergeCell ref="Z33:Z40"/>
    <mergeCell ref="AA33:AH40"/>
    <mergeCell ref="B38:G40"/>
    <mergeCell ref="R38:Y38"/>
    <mergeCell ref="Y45:AG45"/>
    <mergeCell ref="AH45:AR45"/>
    <mergeCell ref="A46:A48"/>
    <mergeCell ref="B46:K48"/>
    <mergeCell ref="L46:X46"/>
    <mergeCell ref="Y46:AG46"/>
    <mergeCell ref="AH46:AR46"/>
    <mergeCell ref="L47:X48"/>
    <mergeCell ref="Y47:AG48"/>
    <mergeCell ref="AH47:AR48"/>
    <mergeCell ref="A49:A55"/>
    <mergeCell ref="B49:K49"/>
    <mergeCell ref="L49:X55"/>
    <mergeCell ref="B50:K55"/>
    <mergeCell ref="A56:A62"/>
    <mergeCell ref="B56:K56"/>
    <mergeCell ref="L56:X62"/>
    <mergeCell ref="B57:K62"/>
    <mergeCell ref="A45:X45"/>
  </mergeCells>
  <phoneticPr fontId="2"/>
  <dataValidations count="2">
    <dataValidation type="list" allowBlank="1" showInputMessage="1" showErrorMessage="1" sqref="WIF983052 FG1:FN1 PC1:PJ1 YY1:ZF1 AIU1:AJB1 ASQ1:ASX1 BCM1:BCT1 BMI1:BMP1 BWE1:BWL1 CGA1:CGH1 CPW1:CQD1 CZS1:CZZ1 DJO1:DJV1 DTK1:DTR1 EDG1:EDN1 ENC1:ENJ1 EWY1:EXF1 FGU1:FHB1 FQQ1:FQX1 GAM1:GAT1 GKI1:GKP1 GUE1:GUL1 HEA1:HEH1 HNW1:HOD1 HXS1:HXZ1 IHO1:IHV1 IRK1:IRR1 JBG1:JBN1 JLC1:JLJ1 JUY1:JVF1 KEU1:KFB1 KOQ1:KOX1 KYM1:KYT1 LII1:LIP1 LSE1:LSL1 MCA1:MCH1 MLW1:MMD1 MVS1:MVZ1 NFO1:NFV1 NPK1:NPR1 NZG1:NZN1 OJC1:OJJ1 OSY1:OTF1 PCU1:PDB1 PMQ1:PMX1 PWM1:PWT1 QGI1:QGP1 QQE1:QQL1 RAA1:RAH1 RJW1:RKD1 RTS1:RTZ1 SDO1:SDV1 SNK1:SNR1 SXG1:SXN1 THC1:THJ1 TQY1:TRF1 UAU1:UBB1 UKQ1:UKX1 UUM1:UUT1 VEI1:VEP1 VOE1:VOL1 VYA1:VYH1 WHW1:WID1 WRS1:WRZ1 FG65548:FN65548 PC65548:PJ65548 YY65548:ZF65548 AIU65548:AJB65548 ASQ65548:ASX65548 BCM65548:BCT65548 BMI65548:BMP65548 BWE65548:BWL65548 CGA65548:CGH65548 CPW65548:CQD65548 CZS65548:CZZ65548 DJO65548:DJV65548 DTK65548:DTR65548 EDG65548:EDN65548 ENC65548:ENJ65548 EWY65548:EXF65548 FGU65548:FHB65548 FQQ65548:FQX65548 GAM65548:GAT65548 GKI65548:GKP65548 GUE65548:GUL65548 HEA65548:HEH65548 HNW65548:HOD65548 HXS65548:HXZ65548 IHO65548:IHV65548 IRK65548:IRR65548 JBG65548:JBN65548 JLC65548:JLJ65548 JUY65548:JVF65548 KEU65548:KFB65548 KOQ65548:KOX65548 KYM65548:KYT65548 LII65548:LIP65548 LSE65548:LSL65548 MCA65548:MCH65548 MLW65548:MMD65548 MVS65548:MVZ65548 NFO65548:NFV65548 NPK65548:NPR65548 NZG65548:NZN65548 OJC65548:OJJ65548 OSY65548:OTF65548 PCU65548:PDB65548 PMQ65548:PMX65548 PWM65548:PWT65548 QGI65548:QGP65548 QQE65548:QQL65548 RAA65548:RAH65548 RJW65548:RKD65548 RTS65548:RTZ65548 SDO65548:SDV65548 SNK65548:SNR65548 SXG65548:SXN65548 THC65548:THJ65548 TQY65548:TRF65548 UAU65548:UBB65548 UKQ65548:UKX65548 UUM65548:UUT65548 VEI65548:VEP65548 VOE65548:VOL65548 VYA65548:VYH65548 WHW65548:WID65548 WRS65548:WRZ65548 FG131084:FN131084 PC131084:PJ131084 YY131084:ZF131084 AIU131084:AJB131084 ASQ131084:ASX131084 BCM131084:BCT131084 BMI131084:BMP131084 BWE131084:BWL131084 CGA131084:CGH131084 CPW131084:CQD131084 CZS131084:CZZ131084 DJO131084:DJV131084 DTK131084:DTR131084 EDG131084:EDN131084 ENC131084:ENJ131084 EWY131084:EXF131084 FGU131084:FHB131084 FQQ131084:FQX131084 GAM131084:GAT131084 GKI131084:GKP131084 GUE131084:GUL131084 HEA131084:HEH131084 HNW131084:HOD131084 HXS131084:HXZ131084 IHO131084:IHV131084 IRK131084:IRR131084 JBG131084:JBN131084 JLC131084:JLJ131084 JUY131084:JVF131084 KEU131084:KFB131084 KOQ131084:KOX131084 KYM131084:KYT131084 LII131084:LIP131084 LSE131084:LSL131084 MCA131084:MCH131084 MLW131084:MMD131084 MVS131084:MVZ131084 NFO131084:NFV131084 NPK131084:NPR131084 NZG131084:NZN131084 OJC131084:OJJ131084 OSY131084:OTF131084 PCU131084:PDB131084 PMQ131084:PMX131084 PWM131084:PWT131084 QGI131084:QGP131084 QQE131084:QQL131084 RAA131084:RAH131084 RJW131084:RKD131084 RTS131084:RTZ131084 SDO131084:SDV131084 SNK131084:SNR131084 SXG131084:SXN131084 THC131084:THJ131084 TQY131084:TRF131084 UAU131084:UBB131084 UKQ131084:UKX131084 UUM131084:UUT131084 VEI131084:VEP131084 VOE131084:VOL131084 VYA131084:VYH131084 WHW131084:WID131084 WRS131084:WRZ131084 FG196620:FN196620 PC196620:PJ196620 YY196620:ZF196620 AIU196620:AJB196620 ASQ196620:ASX196620 BCM196620:BCT196620 BMI196620:BMP196620 BWE196620:BWL196620 CGA196620:CGH196620 CPW196620:CQD196620 CZS196620:CZZ196620 DJO196620:DJV196620 DTK196620:DTR196620 EDG196620:EDN196620 ENC196620:ENJ196620 EWY196620:EXF196620 FGU196620:FHB196620 FQQ196620:FQX196620 GAM196620:GAT196620 GKI196620:GKP196620 GUE196620:GUL196620 HEA196620:HEH196620 HNW196620:HOD196620 HXS196620:HXZ196620 IHO196620:IHV196620 IRK196620:IRR196620 JBG196620:JBN196620 JLC196620:JLJ196620 JUY196620:JVF196620 KEU196620:KFB196620 KOQ196620:KOX196620 KYM196620:KYT196620 LII196620:LIP196620 LSE196620:LSL196620 MCA196620:MCH196620 MLW196620:MMD196620 MVS196620:MVZ196620 NFO196620:NFV196620 NPK196620:NPR196620 NZG196620:NZN196620 OJC196620:OJJ196620 OSY196620:OTF196620 PCU196620:PDB196620 PMQ196620:PMX196620 PWM196620:PWT196620 QGI196620:QGP196620 QQE196620:QQL196620 RAA196620:RAH196620 RJW196620:RKD196620 RTS196620:RTZ196620 SDO196620:SDV196620 SNK196620:SNR196620 SXG196620:SXN196620 THC196620:THJ196620 TQY196620:TRF196620 UAU196620:UBB196620 UKQ196620:UKX196620 UUM196620:UUT196620 VEI196620:VEP196620 VOE196620:VOL196620 VYA196620:VYH196620 WHW196620:WID196620 WRS196620:WRZ196620 FG262156:FN262156 PC262156:PJ262156 YY262156:ZF262156 AIU262156:AJB262156 ASQ262156:ASX262156 BCM262156:BCT262156 BMI262156:BMP262156 BWE262156:BWL262156 CGA262156:CGH262156 CPW262156:CQD262156 CZS262156:CZZ262156 DJO262156:DJV262156 DTK262156:DTR262156 EDG262156:EDN262156 ENC262156:ENJ262156 EWY262156:EXF262156 FGU262156:FHB262156 FQQ262156:FQX262156 GAM262156:GAT262156 GKI262156:GKP262156 GUE262156:GUL262156 HEA262156:HEH262156 HNW262156:HOD262156 HXS262156:HXZ262156 IHO262156:IHV262156 IRK262156:IRR262156 JBG262156:JBN262156 JLC262156:JLJ262156 JUY262156:JVF262156 KEU262156:KFB262156 KOQ262156:KOX262156 KYM262156:KYT262156 LII262156:LIP262156 LSE262156:LSL262156 MCA262156:MCH262156 MLW262156:MMD262156 MVS262156:MVZ262156 NFO262156:NFV262156 NPK262156:NPR262156 NZG262156:NZN262156 OJC262156:OJJ262156 OSY262156:OTF262156 PCU262156:PDB262156 PMQ262156:PMX262156 PWM262156:PWT262156 QGI262156:QGP262156 QQE262156:QQL262156 RAA262156:RAH262156 RJW262156:RKD262156 RTS262156:RTZ262156 SDO262156:SDV262156 SNK262156:SNR262156 SXG262156:SXN262156 THC262156:THJ262156 TQY262156:TRF262156 UAU262156:UBB262156 UKQ262156:UKX262156 UUM262156:UUT262156 VEI262156:VEP262156 VOE262156:VOL262156 VYA262156:VYH262156 WHW262156:WID262156 WRS262156:WRZ262156 FG327692:FN327692 PC327692:PJ327692 YY327692:ZF327692 AIU327692:AJB327692 ASQ327692:ASX327692 BCM327692:BCT327692 BMI327692:BMP327692 BWE327692:BWL327692 CGA327692:CGH327692 CPW327692:CQD327692 CZS327692:CZZ327692 DJO327692:DJV327692 DTK327692:DTR327692 EDG327692:EDN327692 ENC327692:ENJ327692 EWY327692:EXF327692 FGU327692:FHB327692 FQQ327692:FQX327692 GAM327692:GAT327692 GKI327692:GKP327692 GUE327692:GUL327692 HEA327692:HEH327692 HNW327692:HOD327692 HXS327692:HXZ327692 IHO327692:IHV327692 IRK327692:IRR327692 JBG327692:JBN327692 JLC327692:JLJ327692 JUY327692:JVF327692 KEU327692:KFB327692 KOQ327692:KOX327692 KYM327692:KYT327692 LII327692:LIP327692 LSE327692:LSL327692 MCA327692:MCH327692 MLW327692:MMD327692 MVS327692:MVZ327692 NFO327692:NFV327692 NPK327692:NPR327692 NZG327692:NZN327692 OJC327692:OJJ327692 OSY327692:OTF327692 PCU327692:PDB327692 PMQ327692:PMX327692 PWM327692:PWT327692 QGI327692:QGP327692 QQE327692:QQL327692 RAA327692:RAH327692 RJW327692:RKD327692 RTS327692:RTZ327692 SDO327692:SDV327692 SNK327692:SNR327692 SXG327692:SXN327692 THC327692:THJ327692 TQY327692:TRF327692 UAU327692:UBB327692 UKQ327692:UKX327692 UUM327692:UUT327692 VEI327692:VEP327692 VOE327692:VOL327692 VYA327692:VYH327692 WHW327692:WID327692 WRS327692:WRZ327692 FG393228:FN393228 PC393228:PJ393228 YY393228:ZF393228 AIU393228:AJB393228 ASQ393228:ASX393228 BCM393228:BCT393228 BMI393228:BMP393228 BWE393228:BWL393228 CGA393228:CGH393228 CPW393228:CQD393228 CZS393228:CZZ393228 DJO393228:DJV393228 DTK393228:DTR393228 EDG393228:EDN393228 ENC393228:ENJ393228 EWY393228:EXF393228 FGU393228:FHB393228 FQQ393228:FQX393228 GAM393228:GAT393228 GKI393228:GKP393228 GUE393228:GUL393228 HEA393228:HEH393228 HNW393228:HOD393228 HXS393228:HXZ393228 IHO393228:IHV393228 IRK393228:IRR393228 JBG393228:JBN393228 JLC393228:JLJ393228 JUY393228:JVF393228 KEU393228:KFB393228 KOQ393228:KOX393228 KYM393228:KYT393228 LII393228:LIP393228 LSE393228:LSL393228 MCA393228:MCH393228 MLW393228:MMD393228 MVS393228:MVZ393228 NFO393228:NFV393228 NPK393228:NPR393228 NZG393228:NZN393228 OJC393228:OJJ393228 OSY393228:OTF393228 PCU393228:PDB393228 PMQ393228:PMX393228 PWM393228:PWT393228 QGI393228:QGP393228 QQE393228:QQL393228 RAA393228:RAH393228 RJW393228:RKD393228 RTS393228:RTZ393228 SDO393228:SDV393228 SNK393228:SNR393228 SXG393228:SXN393228 THC393228:THJ393228 TQY393228:TRF393228 UAU393228:UBB393228 UKQ393228:UKX393228 UUM393228:UUT393228 VEI393228:VEP393228 VOE393228:VOL393228 VYA393228:VYH393228 WHW393228:WID393228 WRS393228:WRZ393228 FG458764:FN458764 PC458764:PJ458764 YY458764:ZF458764 AIU458764:AJB458764 ASQ458764:ASX458764 BCM458764:BCT458764 BMI458764:BMP458764 BWE458764:BWL458764 CGA458764:CGH458764 CPW458764:CQD458764 CZS458764:CZZ458764 DJO458764:DJV458764 DTK458764:DTR458764 EDG458764:EDN458764 ENC458764:ENJ458764 EWY458764:EXF458764 FGU458764:FHB458764 FQQ458764:FQX458764 GAM458764:GAT458764 GKI458764:GKP458764 GUE458764:GUL458764 HEA458764:HEH458764 HNW458764:HOD458764 HXS458764:HXZ458764 IHO458764:IHV458764 IRK458764:IRR458764 JBG458764:JBN458764 JLC458764:JLJ458764 JUY458764:JVF458764 KEU458764:KFB458764 KOQ458764:KOX458764 KYM458764:KYT458764 LII458764:LIP458764 LSE458764:LSL458764 MCA458764:MCH458764 MLW458764:MMD458764 MVS458764:MVZ458764 NFO458764:NFV458764 NPK458764:NPR458764 NZG458764:NZN458764 OJC458764:OJJ458764 OSY458764:OTF458764 PCU458764:PDB458764 PMQ458764:PMX458764 PWM458764:PWT458764 QGI458764:QGP458764 QQE458764:QQL458764 RAA458764:RAH458764 RJW458764:RKD458764 RTS458764:RTZ458764 SDO458764:SDV458764 SNK458764:SNR458764 SXG458764:SXN458764 THC458764:THJ458764 TQY458764:TRF458764 UAU458764:UBB458764 UKQ458764:UKX458764 UUM458764:UUT458764 VEI458764:VEP458764 VOE458764:VOL458764 VYA458764:VYH458764 WHW458764:WID458764 WRS458764:WRZ458764 FG524300:FN524300 PC524300:PJ524300 YY524300:ZF524300 AIU524300:AJB524300 ASQ524300:ASX524300 BCM524300:BCT524300 BMI524300:BMP524300 BWE524300:BWL524300 CGA524300:CGH524300 CPW524300:CQD524300 CZS524300:CZZ524300 DJO524300:DJV524300 DTK524300:DTR524300 EDG524300:EDN524300 ENC524300:ENJ524300 EWY524300:EXF524300 FGU524300:FHB524300 FQQ524300:FQX524300 GAM524300:GAT524300 GKI524300:GKP524300 GUE524300:GUL524300 HEA524300:HEH524300 HNW524300:HOD524300 HXS524300:HXZ524300 IHO524300:IHV524300 IRK524300:IRR524300 JBG524300:JBN524300 JLC524300:JLJ524300 JUY524300:JVF524300 KEU524300:KFB524300 KOQ524300:KOX524300 KYM524300:KYT524300 LII524300:LIP524300 LSE524300:LSL524300 MCA524300:MCH524300 MLW524300:MMD524300 MVS524300:MVZ524300 NFO524300:NFV524300 NPK524300:NPR524300 NZG524300:NZN524300 OJC524300:OJJ524300 OSY524300:OTF524300 PCU524300:PDB524300 PMQ524300:PMX524300 PWM524300:PWT524300 QGI524300:QGP524300 QQE524300:QQL524300 RAA524300:RAH524300 RJW524300:RKD524300 RTS524300:RTZ524300 SDO524300:SDV524300 SNK524300:SNR524300 SXG524300:SXN524300 THC524300:THJ524300 TQY524300:TRF524300 UAU524300:UBB524300 UKQ524300:UKX524300 UUM524300:UUT524300 VEI524300:VEP524300 VOE524300:VOL524300 VYA524300:VYH524300 WHW524300:WID524300 WRS524300:WRZ524300 FG589836:FN589836 PC589836:PJ589836 YY589836:ZF589836 AIU589836:AJB589836 ASQ589836:ASX589836 BCM589836:BCT589836 BMI589836:BMP589836 BWE589836:BWL589836 CGA589836:CGH589836 CPW589836:CQD589836 CZS589836:CZZ589836 DJO589836:DJV589836 DTK589836:DTR589836 EDG589836:EDN589836 ENC589836:ENJ589836 EWY589836:EXF589836 FGU589836:FHB589836 FQQ589836:FQX589836 GAM589836:GAT589836 GKI589836:GKP589836 GUE589836:GUL589836 HEA589836:HEH589836 HNW589836:HOD589836 HXS589836:HXZ589836 IHO589836:IHV589836 IRK589836:IRR589836 JBG589836:JBN589836 JLC589836:JLJ589836 JUY589836:JVF589836 KEU589836:KFB589836 KOQ589836:KOX589836 KYM589836:KYT589836 LII589836:LIP589836 LSE589836:LSL589836 MCA589836:MCH589836 MLW589836:MMD589836 MVS589836:MVZ589836 NFO589836:NFV589836 NPK589836:NPR589836 NZG589836:NZN589836 OJC589836:OJJ589836 OSY589836:OTF589836 PCU589836:PDB589836 PMQ589836:PMX589836 PWM589836:PWT589836 QGI589836:QGP589836 QQE589836:QQL589836 RAA589836:RAH589836 RJW589836:RKD589836 RTS589836:RTZ589836 SDO589836:SDV589836 SNK589836:SNR589836 SXG589836:SXN589836 THC589836:THJ589836 TQY589836:TRF589836 UAU589836:UBB589836 UKQ589836:UKX589836 UUM589836:UUT589836 VEI589836:VEP589836 VOE589836:VOL589836 VYA589836:VYH589836 WHW589836:WID589836 WRS589836:WRZ589836 FG655372:FN655372 PC655372:PJ655372 YY655372:ZF655372 AIU655372:AJB655372 ASQ655372:ASX655372 BCM655372:BCT655372 BMI655372:BMP655372 BWE655372:BWL655372 CGA655372:CGH655372 CPW655372:CQD655372 CZS655372:CZZ655372 DJO655372:DJV655372 DTK655372:DTR655372 EDG655372:EDN655372 ENC655372:ENJ655372 EWY655372:EXF655372 FGU655372:FHB655372 FQQ655372:FQX655372 GAM655372:GAT655372 GKI655372:GKP655372 GUE655372:GUL655372 HEA655372:HEH655372 HNW655372:HOD655372 HXS655372:HXZ655372 IHO655372:IHV655372 IRK655372:IRR655372 JBG655372:JBN655372 JLC655372:JLJ655372 JUY655372:JVF655372 KEU655372:KFB655372 KOQ655372:KOX655372 KYM655372:KYT655372 LII655372:LIP655372 LSE655372:LSL655372 MCA655372:MCH655372 MLW655372:MMD655372 MVS655372:MVZ655372 NFO655372:NFV655372 NPK655372:NPR655372 NZG655372:NZN655372 OJC655372:OJJ655372 OSY655372:OTF655372 PCU655372:PDB655372 PMQ655372:PMX655372 PWM655372:PWT655372 QGI655372:QGP655372 QQE655372:QQL655372 RAA655372:RAH655372 RJW655372:RKD655372 RTS655372:RTZ655372 SDO655372:SDV655372 SNK655372:SNR655372 SXG655372:SXN655372 THC655372:THJ655372 TQY655372:TRF655372 UAU655372:UBB655372 UKQ655372:UKX655372 UUM655372:UUT655372 VEI655372:VEP655372 VOE655372:VOL655372 VYA655372:VYH655372 WHW655372:WID655372 WRS655372:WRZ655372 FG720908:FN720908 PC720908:PJ720908 YY720908:ZF720908 AIU720908:AJB720908 ASQ720908:ASX720908 BCM720908:BCT720908 BMI720908:BMP720908 BWE720908:BWL720908 CGA720908:CGH720908 CPW720908:CQD720908 CZS720908:CZZ720908 DJO720908:DJV720908 DTK720908:DTR720908 EDG720908:EDN720908 ENC720908:ENJ720908 EWY720908:EXF720908 FGU720908:FHB720908 FQQ720908:FQX720908 GAM720908:GAT720908 GKI720908:GKP720908 GUE720908:GUL720908 HEA720908:HEH720908 HNW720908:HOD720908 HXS720908:HXZ720908 IHO720908:IHV720908 IRK720908:IRR720908 JBG720908:JBN720908 JLC720908:JLJ720908 JUY720908:JVF720908 KEU720908:KFB720908 KOQ720908:KOX720908 KYM720908:KYT720908 LII720908:LIP720908 LSE720908:LSL720908 MCA720908:MCH720908 MLW720908:MMD720908 MVS720908:MVZ720908 NFO720908:NFV720908 NPK720908:NPR720908 NZG720908:NZN720908 OJC720908:OJJ720908 OSY720908:OTF720908 PCU720908:PDB720908 PMQ720908:PMX720908 PWM720908:PWT720908 QGI720908:QGP720908 QQE720908:QQL720908 RAA720908:RAH720908 RJW720908:RKD720908 RTS720908:RTZ720908 SDO720908:SDV720908 SNK720908:SNR720908 SXG720908:SXN720908 THC720908:THJ720908 TQY720908:TRF720908 UAU720908:UBB720908 UKQ720908:UKX720908 UUM720908:UUT720908 VEI720908:VEP720908 VOE720908:VOL720908 VYA720908:VYH720908 WHW720908:WID720908 WRS720908:WRZ720908 FG786444:FN786444 PC786444:PJ786444 YY786444:ZF786444 AIU786444:AJB786444 ASQ786444:ASX786444 BCM786444:BCT786444 BMI786444:BMP786444 BWE786444:BWL786444 CGA786444:CGH786444 CPW786444:CQD786444 CZS786444:CZZ786444 DJO786444:DJV786444 DTK786444:DTR786444 EDG786444:EDN786444 ENC786444:ENJ786444 EWY786444:EXF786444 FGU786444:FHB786444 FQQ786444:FQX786444 GAM786444:GAT786444 GKI786444:GKP786444 GUE786444:GUL786444 HEA786444:HEH786444 HNW786444:HOD786444 HXS786444:HXZ786444 IHO786444:IHV786444 IRK786444:IRR786444 JBG786444:JBN786444 JLC786444:JLJ786444 JUY786444:JVF786444 KEU786444:KFB786444 KOQ786444:KOX786444 KYM786444:KYT786444 LII786444:LIP786444 LSE786444:LSL786444 MCA786444:MCH786444 MLW786444:MMD786444 MVS786444:MVZ786444 NFO786444:NFV786444 NPK786444:NPR786444 NZG786444:NZN786444 OJC786444:OJJ786444 OSY786444:OTF786444 PCU786444:PDB786444 PMQ786444:PMX786444 PWM786444:PWT786444 QGI786444:QGP786444 QQE786444:QQL786444 RAA786444:RAH786444 RJW786444:RKD786444 RTS786444:RTZ786444 SDO786444:SDV786444 SNK786444:SNR786444 SXG786444:SXN786444 THC786444:THJ786444 TQY786444:TRF786444 UAU786444:UBB786444 UKQ786444:UKX786444 UUM786444:UUT786444 VEI786444:VEP786444 VOE786444:VOL786444 VYA786444:VYH786444 WHW786444:WID786444 WRS786444:WRZ786444 FG851980:FN851980 PC851980:PJ851980 YY851980:ZF851980 AIU851980:AJB851980 ASQ851980:ASX851980 BCM851980:BCT851980 BMI851980:BMP851980 BWE851980:BWL851980 CGA851980:CGH851980 CPW851980:CQD851980 CZS851980:CZZ851980 DJO851980:DJV851980 DTK851980:DTR851980 EDG851980:EDN851980 ENC851980:ENJ851980 EWY851980:EXF851980 FGU851980:FHB851980 FQQ851980:FQX851980 GAM851980:GAT851980 GKI851980:GKP851980 GUE851980:GUL851980 HEA851980:HEH851980 HNW851980:HOD851980 HXS851980:HXZ851980 IHO851980:IHV851980 IRK851980:IRR851980 JBG851980:JBN851980 JLC851980:JLJ851980 JUY851980:JVF851980 KEU851980:KFB851980 KOQ851980:KOX851980 KYM851980:KYT851980 LII851980:LIP851980 LSE851980:LSL851980 MCA851980:MCH851980 MLW851980:MMD851980 MVS851980:MVZ851980 NFO851980:NFV851980 NPK851980:NPR851980 NZG851980:NZN851980 OJC851980:OJJ851980 OSY851980:OTF851980 PCU851980:PDB851980 PMQ851980:PMX851980 PWM851980:PWT851980 QGI851980:QGP851980 QQE851980:QQL851980 RAA851980:RAH851980 RJW851980:RKD851980 RTS851980:RTZ851980 SDO851980:SDV851980 SNK851980:SNR851980 SXG851980:SXN851980 THC851980:THJ851980 TQY851980:TRF851980 UAU851980:UBB851980 UKQ851980:UKX851980 UUM851980:UUT851980 VEI851980:VEP851980 VOE851980:VOL851980 VYA851980:VYH851980 WHW851980:WID851980 WRS851980:WRZ851980 FG917516:FN917516 PC917516:PJ917516 YY917516:ZF917516 AIU917516:AJB917516 ASQ917516:ASX917516 BCM917516:BCT917516 BMI917516:BMP917516 BWE917516:BWL917516 CGA917516:CGH917516 CPW917516:CQD917516 CZS917516:CZZ917516 DJO917516:DJV917516 DTK917516:DTR917516 EDG917516:EDN917516 ENC917516:ENJ917516 EWY917516:EXF917516 FGU917516:FHB917516 FQQ917516:FQX917516 GAM917516:GAT917516 GKI917516:GKP917516 GUE917516:GUL917516 HEA917516:HEH917516 HNW917516:HOD917516 HXS917516:HXZ917516 IHO917516:IHV917516 IRK917516:IRR917516 JBG917516:JBN917516 JLC917516:JLJ917516 JUY917516:JVF917516 KEU917516:KFB917516 KOQ917516:KOX917516 KYM917516:KYT917516 LII917516:LIP917516 LSE917516:LSL917516 MCA917516:MCH917516 MLW917516:MMD917516 MVS917516:MVZ917516 NFO917516:NFV917516 NPK917516:NPR917516 NZG917516:NZN917516 OJC917516:OJJ917516 OSY917516:OTF917516 PCU917516:PDB917516 PMQ917516:PMX917516 PWM917516:PWT917516 QGI917516:QGP917516 QQE917516:QQL917516 RAA917516:RAH917516 RJW917516:RKD917516 RTS917516:RTZ917516 SDO917516:SDV917516 SNK917516:SNR917516 SXG917516:SXN917516 THC917516:THJ917516 TQY917516:TRF917516 UAU917516:UBB917516 UKQ917516:UKX917516 UUM917516:UUT917516 VEI917516:VEP917516 VOE917516:VOL917516 VYA917516:VYH917516 WHW917516:WID917516 WRS917516:WRZ917516 FG983052:FN983052 PC983052:PJ983052 YY983052:ZF983052 AIU983052:AJB983052 ASQ983052:ASX983052 BCM983052:BCT983052 BMI983052:BMP983052 BWE983052:BWL983052 CGA983052:CGH983052 CPW983052:CQD983052 CZS983052:CZZ983052 DJO983052:DJV983052 DTK983052:DTR983052 EDG983052:EDN983052 ENC983052:ENJ983052 EWY983052:EXF983052 FGU983052:FHB983052 FQQ983052:FQX983052 GAM983052:GAT983052 GKI983052:GKP983052 GUE983052:GUL983052 HEA983052:HEH983052 HNW983052:HOD983052 HXS983052:HXZ983052 IHO983052:IHV983052 IRK983052:IRR983052 JBG983052:JBN983052 JLC983052:JLJ983052 JUY983052:JVF983052 KEU983052:KFB983052 KOQ983052:KOX983052 KYM983052:KYT983052 LII983052:LIP983052 LSE983052:LSL983052 MCA983052:MCH983052 MLW983052:MMD983052 MVS983052:MVZ983052 NFO983052:NFV983052 NPK983052:NPR983052 NZG983052:NZN983052 OJC983052:OJJ983052 OSY983052:OTF983052 PCU983052:PDB983052 PMQ983052:PMX983052 PWM983052:PWT983052 QGI983052:QGP983052 QQE983052:QQL983052 RAA983052:RAH983052 RJW983052:RKD983052 RTS983052:RTZ983052 SDO983052:SDV983052 SNK983052:SNR983052 SXG983052:SXN983052 THC983052:THJ983052 TQY983052:TRF983052 UAU983052:UBB983052 UKQ983052:UKX983052 UUM983052:UUT983052 VEI983052:VEP983052 VOE983052:VOL983052 VYA983052:VYH983052 WHW983052:WID983052 WRS983052:WRZ983052 WSB983052 FP1 PL1 ZH1 AJD1 ASZ1 BCV1 BMR1 BWN1 CGJ1 CQF1 DAB1 DJX1 DTT1 EDP1 ENL1 EXH1 FHD1 FQZ1 GAV1 GKR1 GUN1 HEJ1 HOF1 HYB1 IHX1 IRT1 JBP1 JLL1 JVH1 KFD1 KOZ1 KYV1 LIR1 LSN1 MCJ1 MMF1 MWB1 NFX1 NPT1 NZP1 OJL1 OTH1 PDD1 PMZ1 PWV1 QGR1 QQN1 RAJ1 RKF1 RUB1 SDX1 SNT1 SXP1 THL1 TRH1 UBD1 UKZ1 UUV1 VER1 VON1 VYJ1 WIF1 WSB1 AA65548 FP65548 PL65548 ZH65548 AJD65548 ASZ65548 BCV65548 BMR65548 BWN65548 CGJ65548 CQF65548 DAB65548 DJX65548 DTT65548 EDP65548 ENL65548 EXH65548 FHD65548 FQZ65548 GAV65548 GKR65548 GUN65548 HEJ65548 HOF65548 HYB65548 IHX65548 IRT65548 JBP65548 JLL65548 JVH65548 KFD65548 KOZ65548 KYV65548 LIR65548 LSN65548 MCJ65548 MMF65548 MWB65548 NFX65548 NPT65548 NZP65548 OJL65548 OTH65548 PDD65548 PMZ65548 PWV65548 QGR65548 QQN65548 RAJ65548 RKF65548 RUB65548 SDX65548 SNT65548 SXP65548 THL65548 TRH65548 UBD65548 UKZ65548 UUV65548 VER65548 VON65548 VYJ65548 WIF65548 WSB65548 AA131084 FP131084 PL131084 ZH131084 AJD131084 ASZ131084 BCV131084 BMR131084 BWN131084 CGJ131084 CQF131084 DAB131084 DJX131084 DTT131084 EDP131084 ENL131084 EXH131084 FHD131084 FQZ131084 GAV131084 GKR131084 GUN131084 HEJ131084 HOF131084 HYB131084 IHX131084 IRT131084 JBP131084 JLL131084 JVH131084 KFD131084 KOZ131084 KYV131084 LIR131084 LSN131084 MCJ131084 MMF131084 MWB131084 NFX131084 NPT131084 NZP131084 OJL131084 OTH131084 PDD131084 PMZ131084 PWV131084 QGR131084 QQN131084 RAJ131084 RKF131084 RUB131084 SDX131084 SNT131084 SXP131084 THL131084 TRH131084 UBD131084 UKZ131084 UUV131084 VER131084 VON131084 VYJ131084 WIF131084 WSB131084 AA196620 FP196620 PL196620 ZH196620 AJD196620 ASZ196620 BCV196620 BMR196620 BWN196620 CGJ196620 CQF196620 DAB196620 DJX196620 DTT196620 EDP196620 ENL196620 EXH196620 FHD196620 FQZ196620 GAV196620 GKR196620 GUN196620 HEJ196620 HOF196620 HYB196620 IHX196620 IRT196620 JBP196620 JLL196620 JVH196620 KFD196620 KOZ196620 KYV196620 LIR196620 LSN196620 MCJ196620 MMF196620 MWB196620 NFX196620 NPT196620 NZP196620 OJL196620 OTH196620 PDD196620 PMZ196620 PWV196620 QGR196620 QQN196620 RAJ196620 RKF196620 RUB196620 SDX196620 SNT196620 SXP196620 THL196620 TRH196620 UBD196620 UKZ196620 UUV196620 VER196620 VON196620 VYJ196620 WIF196620 WSB196620 AA262156 FP262156 PL262156 ZH262156 AJD262156 ASZ262156 BCV262156 BMR262156 BWN262156 CGJ262156 CQF262156 DAB262156 DJX262156 DTT262156 EDP262156 ENL262156 EXH262156 FHD262156 FQZ262156 GAV262156 GKR262156 GUN262156 HEJ262156 HOF262156 HYB262156 IHX262156 IRT262156 JBP262156 JLL262156 JVH262156 KFD262156 KOZ262156 KYV262156 LIR262156 LSN262156 MCJ262156 MMF262156 MWB262156 NFX262156 NPT262156 NZP262156 OJL262156 OTH262156 PDD262156 PMZ262156 PWV262156 QGR262156 QQN262156 RAJ262156 RKF262156 RUB262156 SDX262156 SNT262156 SXP262156 THL262156 TRH262156 UBD262156 UKZ262156 UUV262156 VER262156 VON262156 VYJ262156 WIF262156 WSB262156 AA327692 FP327692 PL327692 ZH327692 AJD327692 ASZ327692 BCV327692 BMR327692 BWN327692 CGJ327692 CQF327692 DAB327692 DJX327692 DTT327692 EDP327692 ENL327692 EXH327692 FHD327692 FQZ327692 GAV327692 GKR327692 GUN327692 HEJ327692 HOF327692 HYB327692 IHX327692 IRT327692 JBP327692 JLL327692 JVH327692 KFD327692 KOZ327692 KYV327692 LIR327692 LSN327692 MCJ327692 MMF327692 MWB327692 NFX327692 NPT327692 NZP327692 OJL327692 OTH327692 PDD327692 PMZ327692 PWV327692 QGR327692 QQN327692 RAJ327692 RKF327692 RUB327692 SDX327692 SNT327692 SXP327692 THL327692 TRH327692 UBD327692 UKZ327692 UUV327692 VER327692 VON327692 VYJ327692 WIF327692 WSB327692 AA393228 FP393228 PL393228 ZH393228 AJD393228 ASZ393228 BCV393228 BMR393228 BWN393228 CGJ393228 CQF393228 DAB393228 DJX393228 DTT393228 EDP393228 ENL393228 EXH393228 FHD393228 FQZ393228 GAV393228 GKR393228 GUN393228 HEJ393228 HOF393228 HYB393228 IHX393228 IRT393228 JBP393228 JLL393228 JVH393228 KFD393228 KOZ393228 KYV393228 LIR393228 LSN393228 MCJ393228 MMF393228 MWB393228 NFX393228 NPT393228 NZP393228 OJL393228 OTH393228 PDD393228 PMZ393228 PWV393228 QGR393228 QQN393228 RAJ393228 RKF393228 RUB393228 SDX393228 SNT393228 SXP393228 THL393228 TRH393228 UBD393228 UKZ393228 UUV393228 VER393228 VON393228 VYJ393228 WIF393228 WSB393228 AA458764 FP458764 PL458764 ZH458764 AJD458764 ASZ458764 BCV458764 BMR458764 BWN458764 CGJ458764 CQF458764 DAB458764 DJX458764 DTT458764 EDP458764 ENL458764 EXH458764 FHD458764 FQZ458764 GAV458764 GKR458764 GUN458764 HEJ458764 HOF458764 HYB458764 IHX458764 IRT458764 JBP458764 JLL458764 JVH458764 KFD458764 KOZ458764 KYV458764 LIR458764 LSN458764 MCJ458764 MMF458764 MWB458764 NFX458764 NPT458764 NZP458764 OJL458764 OTH458764 PDD458764 PMZ458764 PWV458764 QGR458764 QQN458764 RAJ458764 RKF458764 RUB458764 SDX458764 SNT458764 SXP458764 THL458764 TRH458764 UBD458764 UKZ458764 UUV458764 VER458764 VON458764 VYJ458764 WIF458764 WSB458764 AA524300 FP524300 PL524300 ZH524300 AJD524300 ASZ524300 BCV524300 BMR524300 BWN524300 CGJ524300 CQF524300 DAB524300 DJX524300 DTT524300 EDP524300 ENL524300 EXH524300 FHD524300 FQZ524300 GAV524300 GKR524300 GUN524300 HEJ524300 HOF524300 HYB524300 IHX524300 IRT524300 JBP524300 JLL524300 JVH524300 KFD524300 KOZ524300 KYV524300 LIR524300 LSN524300 MCJ524300 MMF524300 MWB524300 NFX524300 NPT524300 NZP524300 OJL524300 OTH524300 PDD524300 PMZ524300 PWV524300 QGR524300 QQN524300 RAJ524300 RKF524300 RUB524300 SDX524300 SNT524300 SXP524300 THL524300 TRH524300 UBD524300 UKZ524300 UUV524300 VER524300 VON524300 VYJ524300 WIF524300 WSB524300 AA589836 FP589836 PL589836 ZH589836 AJD589836 ASZ589836 BCV589836 BMR589836 BWN589836 CGJ589836 CQF589836 DAB589836 DJX589836 DTT589836 EDP589836 ENL589836 EXH589836 FHD589836 FQZ589836 GAV589836 GKR589836 GUN589836 HEJ589836 HOF589836 HYB589836 IHX589836 IRT589836 JBP589836 JLL589836 JVH589836 KFD589836 KOZ589836 KYV589836 LIR589836 LSN589836 MCJ589836 MMF589836 MWB589836 NFX589836 NPT589836 NZP589836 OJL589836 OTH589836 PDD589836 PMZ589836 PWV589836 QGR589836 QQN589836 RAJ589836 RKF589836 RUB589836 SDX589836 SNT589836 SXP589836 THL589836 TRH589836 UBD589836 UKZ589836 UUV589836 VER589836 VON589836 VYJ589836 WIF589836 WSB589836 AA655372 FP655372 PL655372 ZH655372 AJD655372 ASZ655372 BCV655372 BMR655372 BWN655372 CGJ655372 CQF655372 DAB655372 DJX655372 DTT655372 EDP655372 ENL655372 EXH655372 FHD655372 FQZ655372 GAV655372 GKR655372 GUN655372 HEJ655372 HOF655372 HYB655372 IHX655372 IRT655372 JBP655372 JLL655372 JVH655372 KFD655372 KOZ655372 KYV655372 LIR655372 LSN655372 MCJ655372 MMF655372 MWB655372 NFX655372 NPT655372 NZP655372 OJL655372 OTH655372 PDD655372 PMZ655372 PWV655372 QGR655372 QQN655372 RAJ655372 RKF655372 RUB655372 SDX655372 SNT655372 SXP655372 THL655372 TRH655372 UBD655372 UKZ655372 UUV655372 VER655372 VON655372 VYJ655372 WIF655372 WSB655372 AA720908 FP720908 PL720908 ZH720908 AJD720908 ASZ720908 BCV720908 BMR720908 BWN720908 CGJ720908 CQF720908 DAB720908 DJX720908 DTT720908 EDP720908 ENL720908 EXH720908 FHD720908 FQZ720908 GAV720908 GKR720908 GUN720908 HEJ720908 HOF720908 HYB720908 IHX720908 IRT720908 JBP720908 JLL720908 JVH720908 KFD720908 KOZ720908 KYV720908 LIR720908 LSN720908 MCJ720908 MMF720908 MWB720908 NFX720908 NPT720908 NZP720908 OJL720908 OTH720908 PDD720908 PMZ720908 PWV720908 QGR720908 QQN720908 RAJ720908 RKF720908 RUB720908 SDX720908 SNT720908 SXP720908 THL720908 TRH720908 UBD720908 UKZ720908 UUV720908 VER720908 VON720908 VYJ720908 WIF720908 WSB720908 AA786444 FP786444 PL786444 ZH786444 AJD786444 ASZ786444 BCV786444 BMR786444 BWN786444 CGJ786444 CQF786444 DAB786444 DJX786444 DTT786444 EDP786444 ENL786444 EXH786444 FHD786444 FQZ786444 GAV786444 GKR786444 GUN786444 HEJ786444 HOF786444 HYB786444 IHX786444 IRT786444 JBP786444 JLL786444 JVH786444 KFD786444 KOZ786444 KYV786444 LIR786444 LSN786444 MCJ786444 MMF786444 MWB786444 NFX786444 NPT786444 NZP786444 OJL786444 OTH786444 PDD786444 PMZ786444 PWV786444 QGR786444 QQN786444 RAJ786444 RKF786444 RUB786444 SDX786444 SNT786444 SXP786444 THL786444 TRH786444 UBD786444 UKZ786444 UUV786444 VER786444 VON786444 VYJ786444 WIF786444 WSB786444 AA851980 FP851980 PL851980 ZH851980 AJD851980 ASZ851980 BCV851980 BMR851980 BWN851980 CGJ851980 CQF851980 DAB851980 DJX851980 DTT851980 EDP851980 ENL851980 EXH851980 FHD851980 FQZ851980 GAV851980 GKR851980 GUN851980 HEJ851980 HOF851980 HYB851980 IHX851980 IRT851980 JBP851980 JLL851980 JVH851980 KFD851980 KOZ851980 KYV851980 LIR851980 LSN851980 MCJ851980 MMF851980 MWB851980 NFX851980 NPT851980 NZP851980 OJL851980 OTH851980 PDD851980 PMZ851980 PWV851980 QGR851980 QQN851980 RAJ851980 RKF851980 RUB851980 SDX851980 SNT851980 SXP851980 THL851980 TRH851980 UBD851980 UKZ851980 UUV851980 VER851980 VON851980 VYJ851980 WIF851980 WSB851980 AA917516 FP917516 PL917516 ZH917516 AJD917516 ASZ917516 BCV917516 BMR917516 BWN917516 CGJ917516 CQF917516 DAB917516 DJX917516 DTT917516 EDP917516 ENL917516 EXH917516 FHD917516 FQZ917516 GAV917516 GKR917516 GUN917516 HEJ917516 HOF917516 HYB917516 IHX917516 IRT917516 JBP917516 JLL917516 JVH917516 KFD917516 KOZ917516 KYV917516 LIR917516 LSN917516 MCJ917516 MMF917516 MWB917516 NFX917516 NPT917516 NZP917516 OJL917516 OTH917516 PDD917516 PMZ917516 PWV917516 QGR917516 QQN917516 RAJ917516 RKF917516 RUB917516 SDX917516 SNT917516 SXP917516 THL917516 TRH917516 UBD917516 UKZ917516 UUV917516 VER917516 VON917516 VYJ917516 WIF917516 WSB917516 AA983052 FP983052 PL983052 ZH983052 AJD983052 ASZ983052 BCV983052 BMR983052 BWN983052 CGJ983052 CQF983052 DAB983052 DJX983052 DTT983052 EDP983052 ENL983052 EXH983052 FHD983052 FQZ983052 GAV983052 GKR983052 GUN983052 HEJ983052 HOF983052 HYB983052 IHX983052 IRT983052 JBP983052 JLL983052 JVH983052 KFD983052 KOZ983052 KYV983052 LIR983052 LSN983052 MCJ983052 MMF983052 MWB983052 NFX983052 NPT983052 NZP983052 OJL983052 OTH983052 PDD983052 PMZ983052 PWV983052 QGR983052 QQN983052 RAJ983052 RKF983052 RUB983052 SDX983052 SNT983052 SXP983052 THL983052 TRH983052 UBD983052 UKZ983052 UUV983052 VER983052 VON983052 VYJ983052 T983052:Y983052 T917516:Y917516 T851980:Y851980 T786444:Y786444 T720908:Y720908 T655372:Y655372 T589836:Y589836 T524300:Y524300 T458764:Y458764 T393228:Y393228 T327692:Y327692 T262156:Y262156 T196620:Y196620 T131084:Y131084 T65548:Y65548" xr:uid="{47FFA63D-9E61-4B37-855D-0B8BFB95342E}">
      <formula1>"Ｍ３（部長）,Ｍ２（Ｍ）,Ｍ１（ＰＭ）,Ｓ２,Ｓ１,Ｒ４,Ｒ３,Ｒ２,Ｒ１"</formula1>
    </dataValidation>
    <dataValidation type="list" allowBlank="1" showInputMessage="1" showErrorMessage="1" sqref="AB1:AI1" xr:uid="{811EEE91-671A-49E9-ADC1-AD62DA6774C9}">
      <formula1>"Ｓ４（上席スペシャリスト）,Ｓ３（シニアスペシャリスト）,Ｓ２（スペシャリスト）,Ｓ１（ジュニアスペシャリスト）"</formula1>
    </dataValidation>
  </dataValidations>
  <pageMargins left="0.70866141732283472" right="0.31496062992125984" top="0.55118110236220474" bottom="0.35433070866141736" header="0.31496062992125984" footer="0.31496062992125984"/>
  <pageSetup paperSize="9" scale="45"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E5E95-EC2C-4F6F-93A1-E2F00D66005A}">
  <sheetPr>
    <pageSetUpPr fitToPage="1"/>
  </sheetPr>
  <dimension ref="A1:BR55"/>
  <sheetViews>
    <sheetView zoomScale="50" zoomScaleNormal="50" workbookViewId="0">
      <selection activeCell="G31" sqref="G31:G36"/>
    </sheetView>
  </sheetViews>
  <sheetFormatPr defaultColWidth="2.7109375" defaultRowHeight="13.15"/>
  <cols>
    <col min="1" max="1" width="4.28515625" style="85" customWidth="1"/>
    <col min="2" max="7" width="6.7109375" style="84" customWidth="1"/>
    <col min="8" max="25" width="5.140625" style="84" customWidth="1"/>
    <col min="26" max="26" width="7.140625" style="84" customWidth="1"/>
    <col min="27" max="44" width="5.140625" style="84" customWidth="1"/>
    <col min="45" max="47" width="2.7109375" style="84"/>
    <col min="48" max="69" width="4.28515625" style="84" customWidth="1"/>
    <col min="70" max="177" width="2.7109375" style="84"/>
    <col min="178" max="195" width="4.28515625" style="84" customWidth="1"/>
    <col min="196" max="196" width="5.42578125" style="84" customWidth="1"/>
    <col min="197" max="206" width="4.28515625" style="84" customWidth="1"/>
    <col min="207" max="207" width="7.140625" style="84" customWidth="1"/>
    <col min="208" max="225" width="4.28515625" style="84" customWidth="1"/>
    <col min="226" max="433" width="2.7109375" style="84"/>
    <col min="434" max="451" width="4.28515625" style="84" customWidth="1"/>
    <col min="452" max="452" width="5.42578125" style="84" customWidth="1"/>
    <col min="453" max="462" width="4.28515625" style="84" customWidth="1"/>
    <col min="463" max="463" width="7.140625" style="84" customWidth="1"/>
    <col min="464" max="481" width="4.28515625" style="84" customWidth="1"/>
    <col min="482" max="689" width="2.7109375" style="84"/>
    <col min="690" max="707" width="4.28515625" style="84" customWidth="1"/>
    <col min="708" max="708" width="5.42578125" style="84" customWidth="1"/>
    <col min="709" max="718" width="4.28515625" style="84" customWidth="1"/>
    <col min="719" max="719" width="7.140625" style="84" customWidth="1"/>
    <col min="720" max="737" width="4.28515625" style="84" customWidth="1"/>
    <col min="738" max="945" width="2.7109375" style="84"/>
    <col min="946" max="963" width="4.28515625" style="84" customWidth="1"/>
    <col min="964" max="964" width="5.42578125" style="84" customWidth="1"/>
    <col min="965" max="974" width="4.28515625" style="84" customWidth="1"/>
    <col min="975" max="975" width="7.140625" style="84" customWidth="1"/>
    <col min="976" max="993" width="4.28515625" style="84" customWidth="1"/>
    <col min="994" max="1201" width="2.7109375" style="84"/>
    <col min="1202" max="1219" width="4.28515625" style="84" customWidth="1"/>
    <col min="1220" max="1220" width="5.42578125" style="84" customWidth="1"/>
    <col min="1221" max="1230" width="4.28515625" style="84" customWidth="1"/>
    <col min="1231" max="1231" width="7.140625" style="84" customWidth="1"/>
    <col min="1232" max="1249" width="4.28515625" style="84" customWidth="1"/>
    <col min="1250" max="1457" width="2.7109375" style="84"/>
    <col min="1458" max="1475" width="4.28515625" style="84" customWidth="1"/>
    <col min="1476" max="1476" width="5.42578125" style="84" customWidth="1"/>
    <col min="1477" max="1486" width="4.28515625" style="84" customWidth="1"/>
    <col min="1487" max="1487" width="7.140625" style="84" customWidth="1"/>
    <col min="1488" max="1505" width="4.28515625" style="84" customWidth="1"/>
    <col min="1506" max="1713" width="2.7109375" style="84"/>
    <col min="1714" max="1731" width="4.28515625" style="84" customWidth="1"/>
    <col min="1732" max="1732" width="5.42578125" style="84" customWidth="1"/>
    <col min="1733" max="1742" width="4.28515625" style="84" customWidth="1"/>
    <col min="1743" max="1743" width="7.140625" style="84" customWidth="1"/>
    <col min="1744" max="1761" width="4.28515625" style="84" customWidth="1"/>
    <col min="1762" max="1969" width="2.7109375" style="84"/>
    <col min="1970" max="1987" width="4.28515625" style="84" customWidth="1"/>
    <col min="1988" max="1988" width="5.42578125" style="84" customWidth="1"/>
    <col min="1989" max="1998" width="4.28515625" style="84" customWidth="1"/>
    <col min="1999" max="1999" width="7.140625" style="84" customWidth="1"/>
    <col min="2000" max="2017" width="4.28515625" style="84" customWidth="1"/>
    <col min="2018" max="2225" width="2.7109375" style="84"/>
    <col min="2226" max="2243" width="4.28515625" style="84" customWidth="1"/>
    <col min="2244" max="2244" width="5.42578125" style="84" customWidth="1"/>
    <col min="2245" max="2254" width="4.28515625" style="84" customWidth="1"/>
    <col min="2255" max="2255" width="7.140625" style="84" customWidth="1"/>
    <col min="2256" max="2273" width="4.28515625" style="84" customWidth="1"/>
    <col min="2274" max="2481" width="2.7109375" style="84"/>
    <col min="2482" max="2499" width="4.28515625" style="84" customWidth="1"/>
    <col min="2500" max="2500" width="5.42578125" style="84" customWidth="1"/>
    <col min="2501" max="2510" width="4.28515625" style="84" customWidth="1"/>
    <col min="2511" max="2511" width="7.140625" style="84" customWidth="1"/>
    <col min="2512" max="2529" width="4.28515625" style="84" customWidth="1"/>
    <col min="2530" max="2737" width="2.7109375" style="84"/>
    <col min="2738" max="2755" width="4.28515625" style="84" customWidth="1"/>
    <col min="2756" max="2756" width="5.42578125" style="84" customWidth="1"/>
    <col min="2757" max="2766" width="4.28515625" style="84" customWidth="1"/>
    <col min="2767" max="2767" width="7.140625" style="84" customWidth="1"/>
    <col min="2768" max="2785" width="4.28515625" style="84" customWidth="1"/>
    <col min="2786" max="2993" width="2.7109375" style="84"/>
    <col min="2994" max="3011" width="4.28515625" style="84" customWidth="1"/>
    <col min="3012" max="3012" width="5.42578125" style="84" customWidth="1"/>
    <col min="3013" max="3022" width="4.28515625" style="84" customWidth="1"/>
    <col min="3023" max="3023" width="7.140625" style="84" customWidth="1"/>
    <col min="3024" max="3041" width="4.28515625" style="84" customWidth="1"/>
    <col min="3042" max="3249" width="2.7109375" style="84"/>
    <col min="3250" max="3267" width="4.28515625" style="84" customWidth="1"/>
    <col min="3268" max="3268" width="5.42578125" style="84" customWidth="1"/>
    <col min="3269" max="3278" width="4.28515625" style="84" customWidth="1"/>
    <col min="3279" max="3279" width="7.140625" style="84" customWidth="1"/>
    <col min="3280" max="3297" width="4.28515625" style="84" customWidth="1"/>
    <col min="3298" max="3505" width="2.7109375" style="84"/>
    <col min="3506" max="3523" width="4.28515625" style="84" customWidth="1"/>
    <col min="3524" max="3524" width="5.42578125" style="84" customWidth="1"/>
    <col min="3525" max="3534" width="4.28515625" style="84" customWidth="1"/>
    <col min="3535" max="3535" width="7.140625" style="84" customWidth="1"/>
    <col min="3536" max="3553" width="4.28515625" style="84" customWidth="1"/>
    <col min="3554" max="3761" width="2.7109375" style="84"/>
    <col min="3762" max="3779" width="4.28515625" style="84" customWidth="1"/>
    <col min="3780" max="3780" width="5.42578125" style="84" customWidth="1"/>
    <col min="3781" max="3790" width="4.28515625" style="84" customWidth="1"/>
    <col min="3791" max="3791" width="7.140625" style="84" customWidth="1"/>
    <col min="3792" max="3809" width="4.28515625" style="84" customWidth="1"/>
    <col min="3810" max="4017" width="2.7109375" style="84"/>
    <col min="4018" max="4035" width="4.28515625" style="84" customWidth="1"/>
    <col min="4036" max="4036" width="5.42578125" style="84" customWidth="1"/>
    <col min="4037" max="4046" width="4.28515625" style="84" customWidth="1"/>
    <col min="4047" max="4047" width="7.140625" style="84" customWidth="1"/>
    <col min="4048" max="4065" width="4.28515625" style="84" customWidth="1"/>
    <col min="4066" max="4273" width="2.7109375" style="84"/>
    <col min="4274" max="4291" width="4.28515625" style="84" customWidth="1"/>
    <col min="4292" max="4292" width="5.42578125" style="84" customWidth="1"/>
    <col min="4293" max="4302" width="4.28515625" style="84" customWidth="1"/>
    <col min="4303" max="4303" width="7.140625" style="84" customWidth="1"/>
    <col min="4304" max="4321" width="4.28515625" style="84" customWidth="1"/>
    <col min="4322" max="4529" width="2.7109375" style="84"/>
    <col min="4530" max="4547" width="4.28515625" style="84" customWidth="1"/>
    <col min="4548" max="4548" width="5.42578125" style="84" customWidth="1"/>
    <col min="4549" max="4558" width="4.28515625" style="84" customWidth="1"/>
    <col min="4559" max="4559" width="7.140625" style="84" customWidth="1"/>
    <col min="4560" max="4577" width="4.28515625" style="84" customWidth="1"/>
    <col min="4578" max="4785" width="2.7109375" style="84"/>
    <col min="4786" max="4803" width="4.28515625" style="84" customWidth="1"/>
    <col min="4804" max="4804" width="5.42578125" style="84" customWidth="1"/>
    <col min="4805" max="4814" width="4.28515625" style="84" customWidth="1"/>
    <col min="4815" max="4815" width="7.140625" style="84" customWidth="1"/>
    <col min="4816" max="4833" width="4.28515625" style="84" customWidth="1"/>
    <col min="4834" max="5041" width="2.7109375" style="84"/>
    <col min="5042" max="5059" width="4.28515625" style="84" customWidth="1"/>
    <col min="5060" max="5060" width="5.42578125" style="84" customWidth="1"/>
    <col min="5061" max="5070" width="4.28515625" style="84" customWidth="1"/>
    <col min="5071" max="5071" width="7.140625" style="84" customWidth="1"/>
    <col min="5072" max="5089" width="4.28515625" style="84" customWidth="1"/>
    <col min="5090" max="5297" width="2.7109375" style="84"/>
    <col min="5298" max="5315" width="4.28515625" style="84" customWidth="1"/>
    <col min="5316" max="5316" width="5.42578125" style="84" customWidth="1"/>
    <col min="5317" max="5326" width="4.28515625" style="84" customWidth="1"/>
    <col min="5327" max="5327" width="7.140625" style="84" customWidth="1"/>
    <col min="5328" max="5345" width="4.28515625" style="84" customWidth="1"/>
    <col min="5346" max="5553" width="2.7109375" style="84"/>
    <col min="5554" max="5571" width="4.28515625" style="84" customWidth="1"/>
    <col min="5572" max="5572" width="5.42578125" style="84" customWidth="1"/>
    <col min="5573" max="5582" width="4.28515625" style="84" customWidth="1"/>
    <col min="5583" max="5583" width="7.140625" style="84" customWidth="1"/>
    <col min="5584" max="5601" width="4.28515625" style="84" customWidth="1"/>
    <col min="5602" max="5809" width="2.7109375" style="84"/>
    <col min="5810" max="5827" width="4.28515625" style="84" customWidth="1"/>
    <col min="5828" max="5828" width="5.42578125" style="84" customWidth="1"/>
    <col min="5829" max="5838" width="4.28515625" style="84" customWidth="1"/>
    <col min="5839" max="5839" width="7.140625" style="84" customWidth="1"/>
    <col min="5840" max="5857" width="4.28515625" style="84" customWidth="1"/>
    <col min="5858" max="6065" width="2.7109375" style="84"/>
    <col min="6066" max="6083" width="4.28515625" style="84" customWidth="1"/>
    <col min="6084" max="6084" width="5.42578125" style="84" customWidth="1"/>
    <col min="6085" max="6094" width="4.28515625" style="84" customWidth="1"/>
    <col min="6095" max="6095" width="7.140625" style="84" customWidth="1"/>
    <col min="6096" max="6113" width="4.28515625" style="84" customWidth="1"/>
    <col min="6114" max="6321" width="2.7109375" style="84"/>
    <col min="6322" max="6339" width="4.28515625" style="84" customWidth="1"/>
    <col min="6340" max="6340" width="5.42578125" style="84" customWidth="1"/>
    <col min="6341" max="6350" width="4.28515625" style="84" customWidth="1"/>
    <col min="6351" max="6351" width="7.140625" style="84" customWidth="1"/>
    <col min="6352" max="6369" width="4.28515625" style="84" customWidth="1"/>
    <col min="6370" max="6577" width="2.7109375" style="84"/>
    <col min="6578" max="6595" width="4.28515625" style="84" customWidth="1"/>
    <col min="6596" max="6596" width="5.42578125" style="84" customWidth="1"/>
    <col min="6597" max="6606" width="4.28515625" style="84" customWidth="1"/>
    <col min="6607" max="6607" width="7.140625" style="84" customWidth="1"/>
    <col min="6608" max="6625" width="4.28515625" style="84" customWidth="1"/>
    <col min="6626" max="6833" width="2.7109375" style="84"/>
    <col min="6834" max="6851" width="4.28515625" style="84" customWidth="1"/>
    <col min="6852" max="6852" width="5.42578125" style="84" customWidth="1"/>
    <col min="6853" max="6862" width="4.28515625" style="84" customWidth="1"/>
    <col min="6863" max="6863" width="7.140625" style="84" customWidth="1"/>
    <col min="6864" max="6881" width="4.28515625" style="84" customWidth="1"/>
    <col min="6882" max="7089" width="2.7109375" style="84"/>
    <col min="7090" max="7107" width="4.28515625" style="84" customWidth="1"/>
    <col min="7108" max="7108" width="5.42578125" style="84" customWidth="1"/>
    <col min="7109" max="7118" width="4.28515625" style="84" customWidth="1"/>
    <col min="7119" max="7119" width="7.140625" style="84" customWidth="1"/>
    <col min="7120" max="7137" width="4.28515625" style="84" customWidth="1"/>
    <col min="7138" max="7345" width="2.7109375" style="84"/>
    <col min="7346" max="7363" width="4.28515625" style="84" customWidth="1"/>
    <col min="7364" max="7364" width="5.42578125" style="84" customWidth="1"/>
    <col min="7365" max="7374" width="4.28515625" style="84" customWidth="1"/>
    <col min="7375" max="7375" width="7.140625" style="84" customWidth="1"/>
    <col min="7376" max="7393" width="4.28515625" style="84" customWidth="1"/>
    <col min="7394" max="7601" width="2.7109375" style="84"/>
    <col min="7602" max="7619" width="4.28515625" style="84" customWidth="1"/>
    <col min="7620" max="7620" width="5.42578125" style="84" customWidth="1"/>
    <col min="7621" max="7630" width="4.28515625" style="84" customWidth="1"/>
    <col min="7631" max="7631" width="7.140625" style="84" customWidth="1"/>
    <col min="7632" max="7649" width="4.28515625" style="84" customWidth="1"/>
    <col min="7650" max="7857" width="2.7109375" style="84"/>
    <col min="7858" max="7875" width="4.28515625" style="84" customWidth="1"/>
    <col min="7876" max="7876" width="5.42578125" style="84" customWidth="1"/>
    <col min="7877" max="7886" width="4.28515625" style="84" customWidth="1"/>
    <col min="7887" max="7887" width="7.140625" style="84" customWidth="1"/>
    <col min="7888" max="7905" width="4.28515625" style="84" customWidth="1"/>
    <col min="7906" max="8113" width="2.7109375" style="84"/>
    <col min="8114" max="8131" width="4.28515625" style="84" customWidth="1"/>
    <col min="8132" max="8132" width="5.42578125" style="84" customWidth="1"/>
    <col min="8133" max="8142" width="4.28515625" style="84" customWidth="1"/>
    <col min="8143" max="8143" width="7.140625" style="84" customWidth="1"/>
    <col min="8144" max="8161" width="4.28515625" style="84" customWidth="1"/>
    <col min="8162" max="8369" width="2.7109375" style="84"/>
    <col min="8370" max="8387" width="4.28515625" style="84" customWidth="1"/>
    <col min="8388" max="8388" width="5.42578125" style="84" customWidth="1"/>
    <col min="8389" max="8398" width="4.28515625" style="84" customWidth="1"/>
    <col min="8399" max="8399" width="7.140625" style="84" customWidth="1"/>
    <col min="8400" max="8417" width="4.28515625" style="84" customWidth="1"/>
    <col min="8418" max="8625" width="2.7109375" style="84"/>
    <col min="8626" max="8643" width="4.28515625" style="84" customWidth="1"/>
    <col min="8644" max="8644" width="5.42578125" style="84" customWidth="1"/>
    <col min="8645" max="8654" width="4.28515625" style="84" customWidth="1"/>
    <col min="8655" max="8655" width="7.140625" style="84" customWidth="1"/>
    <col min="8656" max="8673" width="4.28515625" style="84" customWidth="1"/>
    <col min="8674" max="8881" width="2.7109375" style="84"/>
    <col min="8882" max="8899" width="4.28515625" style="84" customWidth="1"/>
    <col min="8900" max="8900" width="5.42578125" style="84" customWidth="1"/>
    <col min="8901" max="8910" width="4.28515625" style="84" customWidth="1"/>
    <col min="8911" max="8911" width="7.140625" style="84" customWidth="1"/>
    <col min="8912" max="8929" width="4.28515625" style="84" customWidth="1"/>
    <col min="8930" max="9137" width="2.7109375" style="84"/>
    <col min="9138" max="9155" width="4.28515625" style="84" customWidth="1"/>
    <col min="9156" max="9156" width="5.42578125" style="84" customWidth="1"/>
    <col min="9157" max="9166" width="4.28515625" style="84" customWidth="1"/>
    <col min="9167" max="9167" width="7.140625" style="84" customWidth="1"/>
    <col min="9168" max="9185" width="4.28515625" style="84" customWidth="1"/>
    <col min="9186" max="9393" width="2.7109375" style="84"/>
    <col min="9394" max="9411" width="4.28515625" style="84" customWidth="1"/>
    <col min="9412" max="9412" width="5.42578125" style="84" customWidth="1"/>
    <col min="9413" max="9422" width="4.28515625" style="84" customWidth="1"/>
    <col min="9423" max="9423" width="7.140625" style="84" customWidth="1"/>
    <col min="9424" max="9441" width="4.28515625" style="84" customWidth="1"/>
    <col min="9442" max="9649" width="2.7109375" style="84"/>
    <col min="9650" max="9667" width="4.28515625" style="84" customWidth="1"/>
    <col min="9668" max="9668" width="5.42578125" style="84" customWidth="1"/>
    <col min="9669" max="9678" width="4.28515625" style="84" customWidth="1"/>
    <col min="9679" max="9679" width="7.140625" style="84" customWidth="1"/>
    <col min="9680" max="9697" width="4.28515625" style="84" customWidth="1"/>
    <col min="9698" max="9905" width="2.7109375" style="84"/>
    <col min="9906" max="9923" width="4.28515625" style="84" customWidth="1"/>
    <col min="9924" max="9924" width="5.42578125" style="84" customWidth="1"/>
    <col min="9925" max="9934" width="4.28515625" style="84" customWidth="1"/>
    <col min="9935" max="9935" width="7.140625" style="84" customWidth="1"/>
    <col min="9936" max="9953" width="4.28515625" style="84" customWidth="1"/>
    <col min="9954" max="10161" width="2.7109375" style="84"/>
    <col min="10162" max="10179" width="4.28515625" style="84" customWidth="1"/>
    <col min="10180" max="10180" width="5.42578125" style="84" customWidth="1"/>
    <col min="10181" max="10190" width="4.28515625" style="84" customWidth="1"/>
    <col min="10191" max="10191" width="7.140625" style="84" customWidth="1"/>
    <col min="10192" max="10209" width="4.28515625" style="84" customWidth="1"/>
    <col min="10210" max="10417" width="2.7109375" style="84"/>
    <col min="10418" max="10435" width="4.28515625" style="84" customWidth="1"/>
    <col min="10436" max="10436" width="5.42578125" style="84" customWidth="1"/>
    <col min="10437" max="10446" width="4.28515625" style="84" customWidth="1"/>
    <col min="10447" max="10447" width="7.140625" style="84" customWidth="1"/>
    <col min="10448" max="10465" width="4.28515625" style="84" customWidth="1"/>
    <col min="10466" max="10673" width="2.7109375" style="84"/>
    <col min="10674" max="10691" width="4.28515625" style="84" customWidth="1"/>
    <col min="10692" max="10692" width="5.42578125" style="84" customWidth="1"/>
    <col min="10693" max="10702" width="4.28515625" style="84" customWidth="1"/>
    <col min="10703" max="10703" width="7.140625" style="84" customWidth="1"/>
    <col min="10704" max="10721" width="4.28515625" style="84" customWidth="1"/>
    <col min="10722" max="10929" width="2.7109375" style="84"/>
    <col min="10930" max="10947" width="4.28515625" style="84" customWidth="1"/>
    <col min="10948" max="10948" width="5.42578125" style="84" customWidth="1"/>
    <col min="10949" max="10958" width="4.28515625" style="84" customWidth="1"/>
    <col min="10959" max="10959" width="7.140625" style="84" customWidth="1"/>
    <col min="10960" max="10977" width="4.28515625" style="84" customWidth="1"/>
    <col min="10978" max="11185" width="2.7109375" style="84"/>
    <col min="11186" max="11203" width="4.28515625" style="84" customWidth="1"/>
    <col min="11204" max="11204" width="5.42578125" style="84" customWidth="1"/>
    <col min="11205" max="11214" width="4.28515625" style="84" customWidth="1"/>
    <col min="11215" max="11215" width="7.140625" style="84" customWidth="1"/>
    <col min="11216" max="11233" width="4.28515625" style="84" customWidth="1"/>
    <col min="11234" max="11441" width="2.7109375" style="84"/>
    <col min="11442" max="11459" width="4.28515625" style="84" customWidth="1"/>
    <col min="11460" max="11460" width="5.42578125" style="84" customWidth="1"/>
    <col min="11461" max="11470" width="4.28515625" style="84" customWidth="1"/>
    <col min="11471" max="11471" width="7.140625" style="84" customWidth="1"/>
    <col min="11472" max="11489" width="4.28515625" style="84" customWidth="1"/>
    <col min="11490" max="11697" width="2.7109375" style="84"/>
    <col min="11698" max="11715" width="4.28515625" style="84" customWidth="1"/>
    <col min="11716" max="11716" width="5.42578125" style="84" customWidth="1"/>
    <col min="11717" max="11726" width="4.28515625" style="84" customWidth="1"/>
    <col min="11727" max="11727" width="7.140625" style="84" customWidth="1"/>
    <col min="11728" max="11745" width="4.28515625" style="84" customWidth="1"/>
    <col min="11746" max="11953" width="2.7109375" style="84"/>
    <col min="11954" max="11971" width="4.28515625" style="84" customWidth="1"/>
    <col min="11972" max="11972" width="5.42578125" style="84" customWidth="1"/>
    <col min="11973" max="11982" width="4.28515625" style="84" customWidth="1"/>
    <col min="11983" max="11983" width="7.140625" style="84" customWidth="1"/>
    <col min="11984" max="12001" width="4.28515625" style="84" customWidth="1"/>
    <col min="12002" max="12209" width="2.7109375" style="84"/>
    <col min="12210" max="12227" width="4.28515625" style="84" customWidth="1"/>
    <col min="12228" max="12228" width="5.42578125" style="84" customWidth="1"/>
    <col min="12229" max="12238" width="4.28515625" style="84" customWidth="1"/>
    <col min="12239" max="12239" width="7.140625" style="84" customWidth="1"/>
    <col min="12240" max="12257" width="4.28515625" style="84" customWidth="1"/>
    <col min="12258" max="12465" width="2.7109375" style="84"/>
    <col min="12466" max="12483" width="4.28515625" style="84" customWidth="1"/>
    <col min="12484" max="12484" width="5.42578125" style="84" customWidth="1"/>
    <col min="12485" max="12494" width="4.28515625" style="84" customWidth="1"/>
    <col min="12495" max="12495" width="7.140625" style="84" customWidth="1"/>
    <col min="12496" max="12513" width="4.28515625" style="84" customWidth="1"/>
    <col min="12514" max="12721" width="2.7109375" style="84"/>
    <col min="12722" max="12739" width="4.28515625" style="84" customWidth="1"/>
    <col min="12740" max="12740" width="5.42578125" style="84" customWidth="1"/>
    <col min="12741" max="12750" width="4.28515625" style="84" customWidth="1"/>
    <col min="12751" max="12751" width="7.140625" style="84" customWidth="1"/>
    <col min="12752" max="12769" width="4.28515625" style="84" customWidth="1"/>
    <col min="12770" max="12977" width="2.7109375" style="84"/>
    <col min="12978" max="12995" width="4.28515625" style="84" customWidth="1"/>
    <col min="12996" max="12996" width="5.42578125" style="84" customWidth="1"/>
    <col min="12997" max="13006" width="4.28515625" style="84" customWidth="1"/>
    <col min="13007" max="13007" width="7.140625" style="84" customWidth="1"/>
    <col min="13008" max="13025" width="4.28515625" style="84" customWidth="1"/>
    <col min="13026" max="13233" width="2.7109375" style="84"/>
    <col min="13234" max="13251" width="4.28515625" style="84" customWidth="1"/>
    <col min="13252" max="13252" width="5.42578125" style="84" customWidth="1"/>
    <col min="13253" max="13262" width="4.28515625" style="84" customWidth="1"/>
    <col min="13263" max="13263" width="7.140625" style="84" customWidth="1"/>
    <col min="13264" max="13281" width="4.28515625" style="84" customWidth="1"/>
    <col min="13282" max="13489" width="2.7109375" style="84"/>
    <col min="13490" max="13507" width="4.28515625" style="84" customWidth="1"/>
    <col min="13508" max="13508" width="5.42578125" style="84" customWidth="1"/>
    <col min="13509" max="13518" width="4.28515625" style="84" customWidth="1"/>
    <col min="13519" max="13519" width="7.140625" style="84" customWidth="1"/>
    <col min="13520" max="13537" width="4.28515625" style="84" customWidth="1"/>
    <col min="13538" max="13745" width="2.7109375" style="84"/>
    <col min="13746" max="13763" width="4.28515625" style="84" customWidth="1"/>
    <col min="13764" max="13764" width="5.42578125" style="84" customWidth="1"/>
    <col min="13765" max="13774" width="4.28515625" style="84" customWidth="1"/>
    <col min="13775" max="13775" width="7.140625" style="84" customWidth="1"/>
    <col min="13776" max="13793" width="4.28515625" style="84" customWidth="1"/>
    <col min="13794" max="14001" width="2.7109375" style="84"/>
    <col min="14002" max="14019" width="4.28515625" style="84" customWidth="1"/>
    <col min="14020" max="14020" width="5.42578125" style="84" customWidth="1"/>
    <col min="14021" max="14030" width="4.28515625" style="84" customWidth="1"/>
    <col min="14031" max="14031" width="7.140625" style="84" customWidth="1"/>
    <col min="14032" max="14049" width="4.28515625" style="84" customWidth="1"/>
    <col min="14050" max="14257" width="2.7109375" style="84"/>
    <col min="14258" max="14275" width="4.28515625" style="84" customWidth="1"/>
    <col min="14276" max="14276" width="5.42578125" style="84" customWidth="1"/>
    <col min="14277" max="14286" width="4.28515625" style="84" customWidth="1"/>
    <col min="14287" max="14287" width="7.140625" style="84" customWidth="1"/>
    <col min="14288" max="14305" width="4.28515625" style="84" customWidth="1"/>
    <col min="14306" max="14513" width="2.7109375" style="84"/>
    <col min="14514" max="14531" width="4.28515625" style="84" customWidth="1"/>
    <col min="14532" max="14532" width="5.42578125" style="84" customWidth="1"/>
    <col min="14533" max="14542" width="4.28515625" style="84" customWidth="1"/>
    <col min="14543" max="14543" width="7.140625" style="84" customWidth="1"/>
    <col min="14544" max="14561" width="4.28515625" style="84" customWidth="1"/>
    <col min="14562" max="14769" width="2.7109375" style="84"/>
    <col min="14770" max="14787" width="4.28515625" style="84" customWidth="1"/>
    <col min="14788" max="14788" width="5.42578125" style="84" customWidth="1"/>
    <col min="14789" max="14798" width="4.28515625" style="84" customWidth="1"/>
    <col min="14799" max="14799" width="7.140625" style="84" customWidth="1"/>
    <col min="14800" max="14817" width="4.28515625" style="84" customWidth="1"/>
    <col min="14818" max="15025" width="2.7109375" style="84"/>
    <col min="15026" max="15043" width="4.28515625" style="84" customWidth="1"/>
    <col min="15044" max="15044" width="5.42578125" style="84" customWidth="1"/>
    <col min="15045" max="15054" width="4.28515625" style="84" customWidth="1"/>
    <col min="15055" max="15055" width="7.140625" style="84" customWidth="1"/>
    <col min="15056" max="15073" width="4.28515625" style="84" customWidth="1"/>
    <col min="15074" max="15281" width="2.7109375" style="84"/>
    <col min="15282" max="15299" width="4.28515625" style="84" customWidth="1"/>
    <col min="15300" max="15300" width="5.42578125" style="84" customWidth="1"/>
    <col min="15301" max="15310" width="4.28515625" style="84" customWidth="1"/>
    <col min="15311" max="15311" width="7.140625" style="84" customWidth="1"/>
    <col min="15312" max="15329" width="4.28515625" style="84" customWidth="1"/>
    <col min="15330" max="15537" width="2.7109375" style="84"/>
    <col min="15538" max="15555" width="4.28515625" style="84" customWidth="1"/>
    <col min="15556" max="15556" width="5.42578125" style="84" customWidth="1"/>
    <col min="15557" max="15566" width="4.28515625" style="84" customWidth="1"/>
    <col min="15567" max="15567" width="7.140625" style="84" customWidth="1"/>
    <col min="15568" max="15585" width="4.28515625" style="84" customWidth="1"/>
    <col min="15586" max="15793" width="2.7109375" style="84"/>
    <col min="15794" max="15811" width="4.28515625" style="84" customWidth="1"/>
    <col min="15812" max="15812" width="5.42578125" style="84" customWidth="1"/>
    <col min="15813" max="15822" width="4.28515625" style="84" customWidth="1"/>
    <col min="15823" max="15823" width="7.140625" style="84" customWidth="1"/>
    <col min="15824" max="15841" width="4.28515625" style="84" customWidth="1"/>
    <col min="15842" max="16049" width="2.7109375" style="84"/>
    <col min="16050" max="16067" width="4.28515625" style="84" customWidth="1"/>
    <col min="16068" max="16068" width="5.42578125" style="84" customWidth="1"/>
    <col min="16069" max="16078" width="4.28515625" style="84" customWidth="1"/>
    <col min="16079" max="16079" width="7.140625" style="84" customWidth="1"/>
    <col min="16080" max="16097" width="4.28515625" style="84" customWidth="1"/>
    <col min="16098" max="16384" width="2.7109375" style="84"/>
  </cols>
  <sheetData>
    <row r="1" spans="1:69" s="83" customFormat="1" ht="30" customHeight="1">
      <c r="A1" s="484" t="s">
        <v>163</v>
      </c>
      <c r="B1" s="484"/>
      <c r="C1" s="484"/>
      <c r="D1" s="484"/>
      <c r="E1" s="484"/>
      <c r="F1" s="484"/>
      <c r="G1" s="484"/>
      <c r="H1" s="484"/>
      <c r="I1" s="484"/>
      <c r="J1" s="484"/>
      <c r="K1" s="484"/>
      <c r="L1" s="484"/>
      <c r="M1" s="484"/>
      <c r="N1" s="484"/>
      <c r="O1" s="484"/>
      <c r="Y1" s="485" t="s">
        <v>164</v>
      </c>
      <c r="Z1" s="486"/>
      <c r="AA1" s="486"/>
      <c r="AB1" s="487" t="s">
        <v>213</v>
      </c>
      <c r="AC1" s="487"/>
      <c r="AD1" s="487"/>
      <c r="AE1" s="487"/>
      <c r="AF1" s="487"/>
      <c r="AG1" s="487"/>
      <c r="AH1" s="487"/>
      <c r="AI1" s="488"/>
      <c r="AJ1" s="486" t="s">
        <v>166</v>
      </c>
      <c r="AK1" s="486"/>
      <c r="AL1" s="486"/>
      <c r="AM1" s="487" t="s">
        <v>167</v>
      </c>
      <c r="AN1" s="487"/>
      <c r="AO1" s="487"/>
      <c r="AP1" s="487"/>
      <c r="AQ1" s="487"/>
      <c r="AR1" s="489"/>
    </row>
    <row r="2" spans="1:69" s="85" customFormat="1" ht="30" customHeight="1" thickBot="1">
      <c r="A2" s="484"/>
      <c r="B2" s="484"/>
      <c r="C2" s="484"/>
      <c r="D2" s="484"/>
      <c r="E2" s="484"/>
      <c r="F2" s="484"/>
      <c r="G2" s="484"/>
      <c r="H2" s="484"/>
      <c r="I2" s="484"/>
      <c r="J2" s="484"/>
      <c r="K2" s="484"/>
      <c r="L2" s="484"/>
      <c r="M2" s="484"/>
      <c r="N2" s="484"/>
      <c r="O2" s="484"/>
      <c r="Y2" s="490" t="s">
        <v>168</v>
      </c>
      <c r="Z2" s="491"/>
      <c r="AA2" s="491"/>
      <c r="AB2" s="492" t="s">
        <v>214</v>
      </c>
      <c r="AC2" s="492"/>
      <c r="AD2" s="492"/>
      <c r="AE2" s="492"/>
      <c r="AF2" s="492"/>
      <c r="AG2" s="492"/>
      <c r="AH2" s="492"/>
      <c r="AI2" s="493"/>
      <c r="AJ2" s="494" t="s">
        <v>169</v>
      </c>
      <c r="AK2" s="495"/>
      <c r="AL2" s="496"/>
      <c r="AM2" s="497" t="s">
        <v>215</v>
      </c>
      <c r="AN2" s="497"/>
      <c r="AO2" s="497"/>
      <c r="AP2" s="497"/>
      <c r="AQ2" s="497"/>
      <c r="AR2" s="498"/>
    </row>
    <row r="3" spans="1:69" s="85" customFormat="1" ht="30" customHeight="1" thickBot="1">
      <c r="A3" s="194"/>
      <c r="B3" s="194"/>
      <c r="C3" s="194"/>
      <c r="D3" s="194"/>
      <c r="E3" s="194"/>
      <c r="F3" s="194"/>
      <c r="G3" s="194"/>
      <c r="H3" s="194"/>
      <c r="I3" s="194"/>
      <c r="J3" s="194"/>
      <c r="K3" s="194"/>
      <c r="L3" s="194"/>
      <c r="M3" s="194"/>
      <c r="N3" s="194"/>
      <c r="O3" s="194"/>
      <c r="Y3" s="433" t="s">
        <v>170</v>
      </c>
      <c r="Z3" s="434"/>
      <c r="AA3" s="434"/>
      <c r="AB3" s="434"/>
      <c r="AC3" s="434"/>
      <c r="AD3" s="435"/>
      <c r="AE3" s="436">
        <v>44554</v>
      </c>
      <c r="AF3" s="437"/>
      <c r="AG3" s="437"/>
      <c r="AH3" s="437"/>
      <c r="AI3" s="438"/>
      <c r="AJ3" s="439" t="s">
        <v>171</v>
      </c>
      <c r="AK3" s="440"/>
      <c r="AL3" s="441"/>
      <c r="AM3" s="442" t="s">
        <v>216</v>
      </c>
      <c r="AN3" s="443"/>
      <c r="AO3" s="443"/>
      <c r="AP3" s="443"/>
      <c r="AQ3" s="443"/>
      <c r="AR3" s="444"/>
    </row>
    <row r="4" spans="1:69" s="85" customFormat="1" ht="30.75" customHeight="1" thickBot="1">
      <c r="A4" s="445" t="s">
        <v>172</v>
      </c>
      <c r="B4" s="445"/>
      <c r="C4" s="445"/>
      <c r="D4" s="445"/>
      <c r="E4" s="445"/>
      <c r="S4" s="86"/>
      <c r="T4" s="86"/>
      <c r="U4" s="86"/>
      <c r="V4" s="86"/>
      <c r="W4" s="86"/>
      <c r="X4" s="86"/>
      <c r="Y4" s="86"/>
      <c r="Z4" s="86"/>
      <c r="AA4" s="86"/>
      <c r="AB4" s="86"/>
      <c r="AC4" s="86"/>
      <c r="AD4" s="86"/>
      <c r="AE4" s="86"/>
      <c r="AF4" s="86"/>
      <c r="AG4" s="86"/>
      <c r="AH4" s="86"/>
      <c r="AI4" s="86"/>
      <c r="AJ4" s="86"/>
      <c r="AK4" s="84"/>
    </row>
    <row r="5" spans="1:69" s="85" customFormat="1" ht="24" customHeight="1">
      <c r="A5" s="446" t="s">
        <v>173</v>
      </c>
      <c r="B5" s="447"/>
      <c r="C5" s="447"/>
      <c r="D5" s="447"/>
      <c r="E5" s="447"/>
      <c r="F5" s="447"/>
      <c r="G5" s="447"/>
      <c r="H5" s="447"/>
      <c r="I5" s="447"/>
      <c r="J5" s="447"/>
      <c r="K5" s="447"/>
      <c r="L5" s="447"/>
      <c r="M5" s="447"/>
      <c r="N5" s="447"/>
      <c r="O5" s="447"/>
      <c r="P5" s="447"/>
      <c r="Q5" s="447"/>
      <c r="R5" s="447"/>
      <c r="S5" s="447"/>
      <c r="T5" s="447"/>
      <c r="U5" s="447"/>
      <c r="V5" s="447"/>
      <c r="W5" s="447"/>
      <c r="X5" s="447"/>
      <c r="Y5" s="447"/>
      <c r="Z5" s="448"/>
      <c r="AA5" s="449" t="s">
        <v>174</v>
      </c>
      <c r="AB5" s="450"/>
      <c r="AC5" s="450"/>
      <c r="AD5" s="450"/>
      <c r="AE5" s="450"/>
      <c r="AF5" s="450"/>
      <c r="AG5" s="450"/>
      <c r="AH5" s="451"/>
      <c r="AI5" s="452" t="s">
        <v>175</v>
      </c>
      <c r="AJ5" s="453"/>
      <c r="AK5" s="453"/>
      <c r="AL5" s="453"/>
      <c r="AM5" s="453"/>
      <c r="AN5" s="453"/>
      <c r="AO5" s="453"/>
      <c r="AP5" s="454"/>
      <c r="AQ5" s="455" t="s">
        <v>176</v>
      </c>
      <c r="AR5" s="456"/>
      <c r="AV5" s="550" t="s">
        <v>217</v>
      </c>
      <c r="AW5" s="550"/>
      <c r="AX5" s="550"/>
      <c r="AY5" s="550"/>
      <c r="AZ5" s="550"/>
      <c r="BA5" s="550"/>
      <c r="BB5" s="550"/>
      <c r="BC5" s="550"/>
      <c r="BD5" s="550"/>
    </row>
    <row r="6" spans="1:69" ht="15.6" customHeight="1">
      <c r="A6" s="279" t="s">
        <v>177</v>
      </c>
      <c r="B6" s="310" t="s">
        <v>178</v>
      </c>
      <c r="C6" s="311"/>
      <c r="D6" s="311"/>
      <c r="E6" s="311"/>
      <c r="F6" s="311"/>
      <c r="G6" s="312"/>
      <c r="H6" s="310" t="s">
        <v>179</v>
      </c>
      <c r="I6" s="311"/>
      <c r="J6" s="311"/>
      <c r="K6" s="311"/>
      <c r="L6" s="311"/>
      <c r="M6" s="311"/>
      <c r="N6" s="311"/>
      <c r="O6" s="311"/>
      <c r="P6" s="312"/>
      <c r="Q6" s="310" t="s">
        <v>180</v>
      </c>
      <c r="R6" s="311"/>
      <c r="S6" s="311"/>
      <c r="T6" s="311"/>
      <c r="U6" s="311"/>
      <c r="V6" s="311"/>
      <c r="W6" s="311"/>
      <c r="X6" s="311"/>
      <c r="Y6" s="312"/>
      <c r="Z6" s="461" t="s">
        <v>181</v>
      </c>
      <c r="AA6" s="464" t="s">
        <v>182</v>
      </c>
      <c r="AB6" s="465"/>
      <c r="AC6" s="465"/>
      <c r="AD6" s="465"/>
      <c r="AE6" s="465"/>
      <c r="AF6" s="465"/>
      <c r="AG6" s="465"/>
      <c r="AH6" s="466"/>
      <c r="AI6" s="467" t="s">
        <v>183</v>
      </c>
      <c r="AJ6" s="468"/>
      <c r="AK6" s="468"/>
      <c r="AL6" s="468"/>
      <c r="AM6" s="468"/>
      <c r="AN6" s="468"/>
      <c r="AO6" s="468"/>
      <c r="AP6" s="469"/>
      <c r="AQ6" s="457"/>
      <c r="AR6" s="458"/>
      <c r="AV6" s="551"/>
      <c r="AW6" s="551"/>
      <c r="AX6" s="551"/>
      <c r="AY6" s="551"/>
      <c r="AZ6" s="551"/>
      <c r="BA6" s="551"/>
      <c r="BB6" s="551"/>
      <c r="BC6" s="551"/>
      <c r="BD6" s="551"/>
      <c r="BE6" s="105"/>
      <c r="BF6" s="105"/>
      <c r="BG6" s="105"/>
      <c r="BH6" s="105"/>
      <c r="BI6" s="105"/>
      <c r="BJ6" s="105"/>
      <c r="BK6" s="105"/>
      <c r="BL6" s="105"/>
      <c r="BM6" s="105"/>
      <c r="BN6" s="105"/>
      <c r="BO6" s="105"/>
      <c r="BP6" s="105"/>
      <c r="BQ6" s="105"/>
    </row>
    <row r="7" spans="1:69" ht="15.6" customHeight="1">
      <c r="A7" s="280"/>
      <c r="B7" s="326" t="s">
        <v>184</v>
      </c>
      <c r="C7" s="327"/>
      <c r="D7" s="327"/>
      <c r="E7" s="327"/>
      <c r="F7" s="327"/>
      <c r="G7" s="470"/>
      <c r="H7" s="326" t="s">
        <v>185</v>
      </c>
      <c r="I7" s="327"/>
      <c r="J7" s="327"/>
      <c r="K7" s="327"/>
      <c r="L7" s="327"/>
      <c r="M7" s="327"/>
      <c r="N7" s="327"/>
      <c r="O7" s="327"/>
      <c r="P7" s="470"/>
      <c r="Q7" s="472" t="s">
        <v>186</v>
      </c>
      <c r="R7" s="473"/>
      <c r="S7" s="473"/>
      <c r="T7" s="473"/>
      <c r="U7" s="473"/>
      <c r="V7" s="473"/>
      <c r="W7" s="473"/>
      <c r="X7" s="473"/>
      <c r="Y7" s="474"/>
      <c r="Z7" s="462"/>
      <c r="AA7" s="478" t="s">
        <v>187</v>
      </c>
      <c r="AB7" s="479"/>
      <c r="AC7" s="479"/>
      <c r="AD7" s="479"/>
      <c r="AE7" s="479"/>
      <c r="AF7" s="479"/>
      <c r="AG7" s="479"/>
      <c r="AH7" s="480"/>
      <c r="AI7" s="425" t="s">
        <v>188</v>
      </c>
      <c r="AJ7" s="426"/>
      <c r="AK7" s="426"/>
      <c r="AL7" s="426"/>
      <c r="AM7" s="426"/>
      <c r="AN7" s="426"/>
      <c r="AO7" s="426"/>
      <c r="AP7" s="427"/>
      <c r="AQ7" s="457"/>
      <c r="AR7" s="458"/>
      <c r="AV7" s="97"/>
      <c r="BQ7" s="101"/>
    </row>
    <row r="8" spans="1:69" ht="14.25" customHeight="1">
      <c r="A8" s="281"/>
      <c r="B8" s="329"/>
      <c r="C8" s="330"/>
      <c r="D8" s="330"/>
      <c r="E8" s="330"/>
      <c r="F8" s="330"/>
      <c r="G8" s="471"/>
      <c r="H8" s="329"/>
      <c r="I8" s="330"/>
      <c r="J8" s="330"/>
      <c r="K8" s="330"/>
      <c r="L8" s="330"/>
      <c r="M8" s="330"/>
      <c r="N8" s="330"/>
      <c r="O8" s="330"/>
      <c r="P8" s="471"/>
      <c r="Q8" s="475"/>
      <c r="R8" s="476"/>
      <c r="S8" s="476"/>
      <c r="T8" s="476"/>
      <c r="U8" s="476"/>
      <c r="V8" s="476"/>
      <c r="W8" s="476"/>
      <c r="X8" s="476"/>
      <c r="Y8" s="477"/>
      <c r="Z8" s="463"/>
      <c r="AA8" s="481"/>
      <c r="AB8" s="482"/>
      <c r="AC8" s="482"/>
      <c r="AD8" s="482"/>
      <c r="AE8" s="482"/>
      <c r="AF8" s="482"/>
      <c r="AG8" s="482"/>
      <c r="AH8" s="483"/>
      <c r="AI8" s="428"/>
      <c r="AJ8" s="429"/>
      <c r="AK8" s="429"/>
      <c r="AL8" s="429"/>
      <c r="AM8" s="429"/>
      <c r="AN8" s="429"/>
      <c r="AO8" s="429"/>
      <c r="AP8" s="430"/>
      <c r="AQ8" s="459"/>
      <c r="AR8" s="460"/>
      <c r="AV8" s="100"/>
      <c r="AW8" s="215" t="s">
        <v>218</v>
      </c>
      <c r="BG8" s="532" t="s">
        <v>219</v>
      </c>
      <c r="BH8" s="533"/>
      <c r="BI8" s="533"/>
      <c r="BJ8" s="533"/>
      <c r="BK8" s="533"/>
      <c r="BL8" s="534"/>
      <c r="BP8" s="85"/>
      <c r="BQ8" s="102"/>
    </row>
    <row r="9" spans="1:69" ht="20.100000000000001" customHeight="1">
      <c r="A9" s="279">
        <v>1</v>
      </c>
      <c r="B9" s="381" t="s">
        <v>189</v>
      </c>
      <c r="C9" s="382"/>
      <c r="D9" s="382"/>
      <c r="E9" s="382"/>
      <c r="F9" s="382"/>
      <c r="G9" s="383"/>
      <c r="H9" s="384" t="s">
        <v>220</v>
      </c>
      <c r="I9" s="385"/>
      <c r="J9" s="385"/>
      <c r="K9" s="385"/>
      <c r="L9" s="385"/>
      <c r="M9" s="385"/>
      <c r="N9" s="385"/>
      <c r="O9" s="385"/>
      <c r="P9" s="386"/>
      <c r="Q9" s="87" t="s">
        <v>190</v>
      </c>
      <c r="R9" s="431" t="s">
        <v>221</v>
      </c>
      <c r="S9" s="431"/>
      <c r="T9" s="431"/>
      <c r="U9" s="431"/>
      <c r="V9" s="431"/>
      <c r="W9" s="431"/>
      <c r="X9" s="431"/>
      <c r="Y9" s="432"/>
      <c r="Z9" s="395">
        <v>1</v>
      </c>
      <c r="AA9" s="398" t="s">
        <v>222</v>
      </c>
      <c r="AB9" s="399"/>
      <c r="AC9" s="399"/>
      <c r="AD9" s="399"/>
      <c r="AE9" s="399"/>
      <c r="AF9" s="399"/>
      <c r="AG9" s="399"/>
      <c r="AH9" s="400"/>
      <c r="AI9" s="398" t="s">
        <v>223</v>
      </c>
      <c r="AJ9" s="399"/>
      <c r="AK9" s="399"/>
      <c r="AL9" s="399"/>
      <c r="AM9" s="399"/>
      <c r="AN9" s="399"/>
      <c r="AO9" s="399"/>
      <c r="AP9" s="661"/>
      <c r="AQ9" s="421" t="s">
        <v>191</v>
      </c>
      <c r="AR9" s="422"/>
      <c r="AV9" s="103"/>
      <c r="AW9" s="119" t="s">
        <v>224</v>
      </c>
      <c r="AX9" s="541" t="s">
        <v>225</v>
      </c>
      <c r="AY9" s="542"/>
      <c r="AZ9" s="542"/>
      <c r="BA9" s="542"/>
      <c r="BB9" s="542"/>
      <c r="BC9" s="542"/>
      <c r="BD9" s="542"/>
      <c r="BE9" s="542"/>
      <c r="BF9" s="543"/>
      <c r="BG9" s="532" t="s">
        <v>226</v>
      </c>
      <c r="BH9" s="533"/>
      <c r="BI9" s="532" t="s">
        <v>227</v>
      </c>
      <c r="BJ9" s="534"/>
      <c r="BK9" s="544" t="s">
        <v>228</v>
      </c>
      <c r="BL9" s="545"/>
      <c r="BM9" s="92"/>
      <c r="BN9" s="92"/>
      <c r="BO9" s="92"/>
      <c r="BQ9" s="101"/>
    </row>
    <row r="10" spans="1:69" ht="20.100000000000001" customHeight="1">
      <c r="A10" s="280"/>
      <c r="B10" s="358" t="s">
        <v>229</v>
      </c>
      <c r="C10" s="359"/>
      <c r="D10" s="359"/>
      <c r="E10" s="359"/>
      <c r="F10" s="359"/>
      <c r="G10" s="360"/>
      <c r="H10" s="387"/>
      <c r="I10" s="388"/>
      <c r="J10" s="388"/>
      <c r="K10" s="388"/>
      <c r="L10" s="388"/>
      <c r="M10" s="388"/>
      <c r="N10" s="388"/>
      <c r="O10" s="388"/>
      <c r="P10" s="389"/>
      <c r="Q10" s="88" t="s">
        <v>192</v>
      </c>
      <c r="R10" s="364" t="s">
        <v>230</v>
      </c>
      <c r="S10" s="364"/>
      <c r="T10" s="364"/>
      <c r="U10" s="364"/>
      <c r="V10" s="364"/>
      <c r="W10" s="364"/>
      <c r="X10" s="364"/>
      <c r="Y10" s="365"/>
      <c r="Z10" s="396"/>
      <c r="AA10" s="401"/>
      <c r="AB10" s="298"/>
      <c r="AC10" s="298"/>
      <c r="AD10" s="298"/>
      <c r="AE10" s="298"/>
      <c r="AF10" s="298"/>
      <c r="AG10" s="298"/>
      <c r="AH10" s="402"/>
      <c r="AI10" s="401"/>
      <c r="AJ10" s="298"/>
      <c r="AK10" s="298"/>
      <c r="AL10" s="298"/>
      <c r="AM10" s="298"/>
      <c r="AN10" s="298"/>
      <c r="AO10" s="298"/>
      <c r="AP10" s="662"/>
      <c r="AQ10" s="377">
        <v>3</v>
      </c>
      <c r="AR10" s="378"/>
      <c r="AV10" s="103"/>
      <c r="AW10" s="120">
        <v>5</v>
      </c>
      <c r="AX10" s="546" t="s">
        <v>231</v>
      </c>
      <c r="AY10" s="547"/>
      <c r="AZ10" s="547"/>
      <c r="BA10" s="547"/>
      <c r="BB10" s="547"/>
      <c r="BC10" s="547"/>
      <c r="BD10" s="547"/>
      <c r="BE10" s="547"/>
      <c r="BF10" s="548"/>
      <c r="BG10" s="539" t="s">
        <v>232</v>
      </c>
      <c r="BH10" s="549"/>
      <c r="BI10" s="539" t="s">
        <v>233</v>
      </c>
      <c r="BJ10" s="540"/>
      <c r="BK10" s="539" t="s">
        <v>233</v>
      </c>
      <c r="BL10" s="540"/>
      <c r="BM10" s="121" t="s">
        <v>234</v>
      </c>
      <c r="BO10" s="92"/>
      <c r="BQ10" s="101"/>
    </row>
    <row r="11" spans="1:69" ht="20.100000000000001" customHeight="1">
      <c r="A11" s="280"/>
      <c r="B11" s="358"/>
      <c r="C11" s="359"/>
      <c r="D11" s="359"/>
      <c r="E11" s="359"/>
      <c r="F11" s="359"/>
      <c r="G11" s="360"/>
      <c r="H11" s="387"/>
      <c r="I11" s="388"/>
      <c r="J11" s="388"/>
      <c r="K11" s="388"/>
      <c r="L11" s="388"/>
      <c r="M11" s="388"/>
      <c r="N11" s="388"/>
      <c r="O11" s="388"/>
      <c r="P11" s="389"/>
      <c r="Q11" s="88" t="s">
        <v>193</v>
      </c>
      <c r="R11" s="364" t="s">
        <v>235</v>
      </c>
      <c r="S11" s="364"/>
      <c r="T11" s="364"/>
      <c r="U11" s="364"/>
      <c r="V11" s="364"/>
      <c r="W11" s="364"/>
      <c r="X11" s="364"/>
      <c r="Y11" s="365"/>
      <c r="Z11" s="396"/>
      <c r="AA11" s="401"/>
      <c r="AB11" s="298"/>
      <c r="AC11" s="298"/>
      <c r="AD11" s="298"/>
      <c r="AE11" s="298"/>
      <c r="AF11" s="298"/>
      <c r="AG11" s="298"/>
      <c r="AH11" s="402"/>
      <c r="AI11" s="401"/>
      <c r="AJ11" s="298"/>
      <c r="AK11" s="298"/>
      <c r="AL11" s="298"/>
      <c r="AM11" s="298"/>
      <c r="AN11" s="298"/>
      <c r="AO11" s="298"/>
      <c r="AP11" s="662"/>
      <c r="AQ11" s="379"/>
      <c r="AR11" s="380"/>
      <c r="AV11" s="103"/>
      <c r="AW11" s="190">
        <v>4</v>
      </c>
      <c r="AX11" s="526" t="s">
        <v>236</v>
      </c>
      <c r="AY11" s="527"/>
      <c r="AZ11" s="527"/>
      <c r="BA11" s="527"/>
      <c r="BB11" s="527"/>
      <c r="BC11" s="527"/>
      <c r="BD11" s="527"/>
      <c r="BE11" s="527"/>
      <c r="BF11" s="528"/>
      <c r="BG11" s="503" t="s">
        <v>233</v>
      </c>
      <c r="BH11" s="504"/>
      <c r="BI11" s="503" t="s">
        <v>237</v>
      </c>
      <c r="BJ11" s="504"/>
      <c r="BK11" s="503" t="s">
        <v>237</v>
      </c>
      <c r="BL11" s="504"/>
      <c r="BM11" s="191" t="s">
        <v>238</v>
      </c>
      <c r="BO11" s="92"/>
      <c r="BQ11" s="101"/>
    </row>
    <row r="12" spans="1:69" ht="20.100000000000001" customHeight="1">
      <c r="A12" s="280"/>
      <c r="B12" s="374"/>
      <c r="C12" s="375"/>
      <c r="D12" s="375"/>
      <c r="E12" s="375"/>
      <c r="F12" s="375"/>
      <c r="G12" s="376"/>
      <c r="H12" s="387"/>
      <c r="I12" s="388"/>
      <c r="J12" s="388"/>
      <c r="K12" s="388"/>
      <c r="L12" s="388"/>
      <c r="M12" s="388"/>
      <c r="N12" s="388"/>
      <c r="O12" s="388"/>
      <c r="P12" s="389"/>
      <c r="Q12" s="88" t="s">
        <v>194</v>
      </c>
      <c r="R12" s="364" t="s">
        <v>239</v>
      </c>
      <c r="S12" s="364"/>
      <c r="T12" s="364"/>
      <c r="U12" s="364"/>
      <c r="V12" s="364"/>
      <c r="W12" s="364"/>
      <c r="X12" s="364"/>
      <c r="Y12" s="365"/>
      <c r="Z12" s="396"/>
      <c r="AA12" s="401"/>
      <c r="AB12" s="298"/>
      <c r="AC12" s="298"/>
      <c r="AD12" s="298"/>
      <c r="AE12" s="298"/>
      <c r="AF12" s="298"/>
      <c r="AG12" s="298"/>
      <c r="AH12" s="402"/>
      <c r="AI12" s="401"/>
      <c r="AJ12" s="298"/>
      <c r="AK12" s="298"/>
      <c r="AL12" s="298"/>
      <c r="AM12" s="298"/>
      <c r="AN12" s="298"/>
      <c r="AO12" s="298"/>
      <c r="AP12" s="662"/>
      <c r="AQ12" s="423"/>
      <c r="AR12" s="424"/>
      <c r="AV12" s="103"/>
      <c r="AW12" s="190">
        <v>3</v>
      </c>
      <c r="AX12" s="526" t="s">
        <v>240</v>
      </c>
      <c r="AY12" s="527"/>
      <c r="AZ12" s="527"/>
      <c r="BA12" s="527"/>
      <c r="BB12" s="527"/>
      <c r="BC12" s="527"/>
      <c r="BD12" s="527"/>
      <c r="BE12" s="527"/>
      <c r="BF12" s="528"/>
      <c r="BG12" s="529" t="s">
        <v>241</v>
      </c>
      <c r="BH12" s="530"/>
      <c r="BI12" s="529" t="s">
        <v>242</v>
      </c>
      <c r="BJ12" s="530"/>
      <c r="BK12" s="529" t="s">
        <v>242</v>
      </c>
      <c r="BL12" s="530"/>
      <c r="BM12" s="92"/>
      <c r="BN12" s="92"/>
      <c r="BO12" s="92"/>
      <c r="BQ12" s="101"/>
    </row>
    <row r="13" spans="1:69" ht="20.100000000000001" customHeight="1">
      <c r="A13" s="280"/>
      <c r="B13" s="406" t="s">
        <v>195</v>
      </c>
      <c r="C13" s="407"/>
      <c r="D13" s="407"/>
      <c r="E13" s="407"/>
      <c r="F13" s="407"/>
      <c r="G13" s="408"/>
      <c r="H13" s="387"/>
      <c r="I13" s="388"/>
      <c r="J13" s="388"/>
      <c r="K13" s="388"/>
      <c r="L13" s="388"/>
      <c r="M13" s="388"/>
      <c r="N13" s="388"/>
      <c r="O13" s="388"/>
      <c r="P13" s="389"/>
      <c r="Q13" s="88" t="s">
        <v>196</v>
      </c>
      <c r="R13" s="364" t="s">
        <v>243</v>
      </c>
      <c r="S13" s="364"/>
      <c r="T13" s="364"/>
      <c r="U13" s="364"/>
      <c r="V13" s="364"/>
      <c r="W13" s="364"/>
      <c r="X13" s="364"/>
      <c r="Y13" s="365"/>
      <c r="Z13" s="396"/>
      <c r="AA13" s="401"/>
      <c r="AB13" s="298"/>
      <c r="AC13" s="298"/>
      <c r="AD13" s="298"/>
      <c r="AE13" s="298"/>
      <c r="AF13" s="298"/>
      <c r="AG13" s="298"/>
      <c r="AH13" s="402"/>
      <c r="AI13" s="401"/>
      <c r="AJ13" s="298"/>
      <c r="AK13" s="298"/>
      <c r="AL13" s="298"/>
      <c r="AM13" s="298"/>
      <c r="AN13" s="298"/>
      <c r="AO13" s="298"/>
      <c r="AP13" s="662"/>
      <c r="AQ13" s="409" t="s">
        <v>197</v>
      </c>
      <c r="AR13" s="410"/>
      <c r="AV13" s="103"/>
      <c r="AW13" s="190">
        <v>2</v>
      </c>
      <c r="AX13" s="526" t="s">
        <v>244</v>
      </c>
      <c r="AY13" s="527"/>
      <c r="AZ13" s="527"/>
      <c r="BA13" s="527"/>
      <c r="BB13" s="527"/>
      <c r="BC13" s="527"/>
      <c r="BD13" s="527"/>
      <c r="BE13" s="527"/>
      <c r="BF13" s="528"/>
      <c r="BG13" s="503" t="s">
        <v>237</v>
      </c>
      <c r="BH13" s="504"/>
      <c r="BI13" s="503" t="s">
        <v>245</v>
      </c>
      <c r="BJ13" s="504"/>
      <c r="BK13" s="503" t="s">
        <v>245</v>
      </c>
      <c r="BL13" s="504"/>
      <c r="BM13" s="92"/>
      <c r="BN13" s="92"/>
      <c r="BO13" s="92"/>
      <c r="BQ13" s="101"/>
    </row>
    <row r="14" spans="1:69" ht="20.100000000000001" customHeight="1">
      <c r="A14" s="280"/>
      <c r="B14" s="358" t="s">
        <v>246</v>
      </c>
      <c r="C14" s="359"/>
      <c r="D14" s="359"/>
      <c r="E14" s="359"/>
      <c r="F14" s="359"/>
      <c r="G14" s="360"/>
      <c r="H14" s="387"/>
      <c r="I14" s="388"/>
      <c r="J14" s="388"/>
      <c r="K14" s="388"/>
      <c r="L14" s="388"/>
      <c r="M14" s="388"/>
      <c r="N14" s="388"/>
      <c r="O14" s="388"/>
      <c r="P14" s="389"/>
      <c r="Q14" s="88" t="s">
        <v>198</v>
      </c>
      <c r="R14" s="364" t="s">
        <v>247</v>
      </c>
      <c r="S14" s="364"/>
      <c r="T14" s="364"/>
      <c r="U14" s="364"/>
      <c r="V14" s="364"/>
      <c r="W14" s="364"/>
      <c r="X14" s="364"/>
      <c r="Y14" s="365"/>
      <c r="Z14" s="396"/>
      <c r="AA14" s="401"/>
      <c r="AB14" s="298"/>
      <c r="AC14" s="298"/>
      <c r="AD14" s="298"/>
      <c r="AE14" s="298"/>
      <c r="AF14" s="298"/>
      <c r="AG14" s="298"/>
      <c r="AH14" s="402"/>
      <c r="AI14" s="401"/>
      <c r="AJ14" s="298"/>
      <c r="AK14" s="298"/>
      <c r="AL14" s="298"/>
      <c r="AM14" s="298"/>
      <c r="AN14" s="298"/>
      <c r="AO14" s="298"/>
      <c r="AP14" s="663"/>
      <c r="AQ14" s="366">
        <f>Z9*AQ10</f>
        <v>3</v>
      </c>
      <c r="AR14" s="367"/>
      <c r="AV14" s="103"/>
      <c r="AW14" s="190">
        <v>1</v>
      </c>
      <c r="AX14" s="526" t="s">
        <v>248</v>
      </c>
      <c r="AY14" s="527"/>
      <c r="AZ14" s="527"/>
      <c r="BA14" s="527"/>
      <c r="BB14" s="527"/>
      <c r="BC14" s="527"/>
      <c r="BD14" s="527"/>
      <c r="BE14" s="527"/>
      <c r="BF14" s="528"/>
      <c r="BG14" s="503" t="s">
        <v>249</v>
      </c>
      <c r="BH14" s="504"/>
      <c r="BI14" s="503" t="s">
        <v>250</v>
      </c>
      <c r="BJ14" s="504"/>
      <c r="BK14" s="503" t="s">
        <v>251</v>
      </c>
      <c r="BL14" s="504"/>
      <c r="BM14" s="92"/>
      <c r="BN14" s="92"/>
      <c r="BO14" s="92"/>
      <c r="BQ14" s="101"/>
    </row>
    <row r="15" spans="1:69" ht="20.100000000000001" customHeight="1">
      <c r="A15" s="280"/>
      <c r="B15" s="358"/>
      <c r="C15" s="359"/>
      <c r="D15" s="359"/>
      <c r="E15" s="359"/>
      <c r="F15" s="359"/>
      <c r="G15" s="360"/>
      <c r="H15" s="387"/>
      <c r="I15" s="388"/>
      <c r="J15" s="388"/>
      <c r="K15" s="388"/>
      <c r="L15" s="388"/>
      <c r="M15" s="388"/>
      <c r="N15" s="388"/>
      <c r="O15" s="388"/>
      <c r="P15" s="389"/>
      <c r="R15" s="359"/>
      <c r="S15" s="359"/>
      <c r="T15" s="359"/>
      <c r="U15" s="359"/>
      <c r="V15" s="359"/>
      <c r="W15" s="359"/>
      <c r="X15" s="359"/>
      <c r="Y15" s="360"/>
      <c r="Z15" s="396"/>
      <c r="AA15" s="401"/>
      <c r="AB15" s="298"/>
      <c r="AC15" s="298"/>
      <c r="AD15" s="298"/>
      <c r="AE15" s="298"/>
      <c r="AF15" s="298"/>
      <c r="AG15" s="298"/>
      <c r="AH15" s="402"/>
      <c r="AI15" s="401"/>
      <c r="AJ15" s="298"/>
      <c r="AK15" s="298"/>
      <c r="AL15" s="298"/>
      <c r="AM15" s="298"/>
      <c r="AN15" s="298"/>
      <c r="AO15" s="298"/>
      <c r="AP15" s="663"/>
      <c r="AQ15" s="368"/>
      <c r="AR15" s="369"/>
      <c r="AV15" s="103"/>
      <c r="AW15" s="192">
        <v>0</v>
      </c>
      <c r="AX15" s="523" t="s">
        <v>252</v>
      </c>
      <c r="AY15" s="524"/>
      <c r="AZ15" s="524"/>
      <c r="BA15" s="524"/>
      <c r="BB15" s="524"/>
      <c r="BC15" s="524"/>
      <c r="BD15" s="524"/>
      <c r="BE15" s="524"/>
      <c r="BF15" s="525"/>
      <c r="BG15" s="505" t="s">
        <v>253</v>
      </c>
      <c r="BH15" s="506"/>
      <c r="BI15" s="505" t="s">
        <v>254</v>
      </c>
      <c r="BJ15" s="506"/>
      <c r="BK15" s="505" t="s">
        <v>255</v>
      </c>
      <c r="BL15" s="506"/>
      <c r="BM15" s="92"/>
      <c r="BN15" s="92"/>
      <c r="BO15" s="92"/>
      <c r="BQ15" s="101"/>
    </row>
    <row r="16" spans="1:69" ht="20.100000000000001" customHeight="1">
      <c r="A16" s="281"/>
      <c r="B16" s="416"/>
      <c r="C16" s="417"/>
      <c r="D16" s="417"/>
      <c r="E16" s="417"/>
      <c r="F16" s="417"/>
      <c r="G16" s="418"/>
      <c r="H16" s="411"/>
      <c r="I16" s="412"/>
      <c r="J16" s="412"/>
      <c r="K16" s="412"/>
      <c r="L16" s="412"/>
      <c r="M16" s="412"/>
      <c r="N16" s="412"/>
      <c r="O16" s="412"/>
      <c r="P16" s="413"/>
      <c r="Q16" s="88"/>
      <c r="R16" s="417"/>
      <c r="S16" s="417"/>
      <c r="T16" s="417"/>
      <c r="U16" s="417"/>
      <c r="V16" s="417"/>
      <c r="W16" s="417"/>
      <c r="X16" s="417"/>
      <c r="Y16" s="418"/>
      <c r="Z16" s="414"/>
      <c r="AA16" s="405"/>
      <c r="AB16" s="301"/>
      <c r="AC16" s="301"/>
      <c r="AD16" s="301"/>
      <c r="AE16" s="301"/>
      <c r="AF16" s="301"/>
      <c r="AG16" s="301"/>
      <c r="AH16" s="415"/>
      <c r="AI16" s="405"/>
      <c r="AJ16" s="301"/>
      <c r="AK16" s="301"/>
      <c r="AL16" s="301"/>
      <c r="AM16" s="301"/>
      <c r="AN16" s="301"/>
      <c r="AO16" s="301"/>
      <c r="AP16" s="664"/>
      <c r="AQ16" s="419"/>
      <c r="AR16" s="420"/>
      <c r="AV16" s="100"/>
      <c r="BQ16" s="101"/>
    </row>
    <row r="17" spans="1:70" ht="20.100000000000001" customHeight="1">
      <c r="A17" s="279">
        <v>2</v>
      </c>
      <c r="B17" s="381" t="s">
        <v>189</v>
      </c>
      <c r="C17" s="382"/>
      <c r="D17" s="382"/>
      <c r="E17" s="382"/>
      <c r="F17" s="382"/>
      <c r="G17" s="383"/>
      <c r="H17" s="384"/>
      <c r="I17" s="385"/>
      <c r="J17" s="385"/>
      <c r="K17" s="385"/>
      <c r="L17" s="385"/>
      <c r="M17" s="385"/>
      <c r="N17" s="385"/>
      <c r="O17" s="385"/>
      <c r="P17" s="386"/>
      <c r="Q17" s="87" t="s">
        <v>190</v>
      </c>
      <c r="R17" s="393"/>
      <c r="S17" s="393"/>
      <c r="T17" s="393"/>
      <c r="U17" s="393"/>
      <c r="V17" s="393"/>
      <c r="W17" s="393"/>
      <c r="X17" s="393"/>
      <c r="Y17" s="394"/>
      <c r="Z17" s="395">
        <v>1</v>
      </c>
      <c r="AA17" s="398"/>
      <c r="AB17" s="399"/>
      <c r="AC17" s="399"/>
      <c r="AD17" s="399"/>
      <c r="AE17" s="399"/>
      <c r="AF17" s="399"/>
      <c r="AG17" s="399"/>
      <c r="AH17" s="400"/>
      <c r="AI17" s="398"/>
      <c r="AJ17" s="399"/>
      <c r="AK17" s="399"/>
      <c r="AL17" s="399"/>
      <c r="AM17" s="399"/>
      <c r="AN17" s="399"/>
      <c r="AO17" s="399"/>
      <c r="AP17" s="661"/>
      <c r="AQ17" s="372" t="s">
        <v>191</v>
      </c>
      <c r="AR17" s="373"/>
      <c r="AV17" s="100"/>
      <c r="AW17" s="107" t="s">
        <v>256</v>
      </c>
      <c r="BO17" s="91"/>
      <c r="BP17" s="91"/>
      <c r="BQ17" s="101"/>
    </row>
    <row r="18" spans="1:70" ht="19.5" customHeight="1">
      <c r="A18" s="280"/>
      <c r="B18" s="358"/>
      <c r="C18" s="359"/>
      <c r="D18" s="359"/>
      <c r="E18" s="359"/>
      <c r="F18" s="359"/>
      <c r="G18" s="360"/>
      <c r="H18" s="387"/>
      <c r="I18" s="388"/>
      <c r="J18" s="388"/>
      <c r="K18" s="388"/>
      <c r="L18" s="388"/>
      <c r="M18" s="388"/>
      <c r="N18" s="388"/>
      <c r="O18" s="388"/>
      <c r="P18" s="389"/>
      <c r="Q18" s="88" t="s">
        <v>192</v>
      </c>
      <c r="R18" s="359"/>
      <c r="S18" s="359"/>
      <c r="T18" s="359"/>
      <c r="U18" s="359"/>
      <c r="V18" s="359"/>
      <c r="W18" s="359"/>
      <c r="X18" s="359"/>
      <c r="Y18" s="360"/>
      <c r="Z18" s="396"/>
      <c r="AA18" s="401"/>
      <c r="AB18" s="298"/>
      <c r="AC18" s="298"/>
      <c r="AD18" s="298"/>
      <c r="AE18" s="298"/>
      <c r="AF18" s="298"/>
      <c r="AG18" s="298"/>
      <c r="AH18" s="402"/>
      <c r="AI18" s="401"/>
      <c r="AJ18" s="298"/>
      <c r="AK18" s="298"/>
      <c r="AL18" s="298"/>
      <c r="AM18" s="298"/>
      <c r="AN18" s="298"/>
      <c r="AO18" s="298"/>
      <c r="AP18" s="662"/>
      <c r="AQ18" s="377"/>
      <c r="AR18" s="378"/>
      <c r="AV18" s="100"/>
      <c r="AW18" s="531" t="s">
        <v>257</v>
      </c>
      <c r="AX18" s="531"/>
      <c r="AY18" s="531"/>
      <c r="AZ18" s="532" t="s">
        <v>258</v>
      </c>
      <c r="BA18" s="533"/>
      <c r="BB18" s="533"/>
      <c r="BC18" s="533"/>
      <c r="BD18" s="533"/>
      <c r="BE18" s="533"/>
      <c r="BF18" s="533"/>
      <c r="BG18" s="533"/>
      <c r="BH18" s="534"/>
      <c r="BI18" s="533" t="s">
        <v>256</v>
      </c>
      <c r="BJ18" s="533"/>
      <c r="BK18" s="533"/>
      <c r="BL18" s="533"/>
      <c r="BM18" s="533"/>
      <c r="BN18" s="533"/>
      <c r="BO18" s="533"/>
      <c r="BP18" s="534"/>
      <c r="BQ18" s="101"/>
    </row>
    <row r="19" spans="1:70" ht="19.5" customHeight="1">
      <c r="A19" s="280"/>
      <c r="B19" s="358"/>
      <c r="C19" s="359"/>
      <c r="D19" s="359"/>
      <c r="E19" s="359"/>
      <c r="F19" s="359"/>
      <c r="G19" s="360"/>
      <c r="H19" s="387"/>
      <c r="I19" s="388"/>
      <c r="J19" s="388"/>
      <c r="K19" s="388"/>
      <c r="L19" s="388"/>
      <c r="M19" s="388"/>
      <c r="N19" s="388"/>
      <c r="O19" s="388"/>
      <c r="P19" s="389"/>
      <c r="Q19" s="88" t="s">
        <v>193</v>
      </c>
      <c r="R19" s="199"/>
      <c r="S19" s="199"/>
      <c r="T19" s="199"/>
      <c r="U19" s="199"/>
      <c r="V19" s="199"/>
      <c r="W19" s="199"/>
      <c r="X19" s="199"/>
      <c r="Y19" s="216"/>
      <c r="Z19" s="396"/>
      <c r="AA19" s="401"/>
      <c r="AB19" s="298"/>
      <c r="AC19" s="298"/>
      <c r="AD19" s="298"/>
      <c r="AE19" s="298"/>
      <c r="AF19" s="298"/>
      <c r="AG19" s="298"/>
      <c r="AH19" s="402"/>
      <c r="AI19" s="401"/>
      <c r="AJ19" s="298"/>
      <c r="AK19" s="298"/>
      <c r="AL19" s="298"/>
      <c r="AM19" s="298"/>
      <c r="AN19" s="298"/>
      <c r="AO19" s="298"/>
      <c r="AP19" s="662"/>
      <c r="AQ19" s="379"/>
      <c r="AR19" s="380"/>
      <c r="AV19" s="103"/>
      <c r="AW19" s="535" t="s">
        <v>259</v>
      </c>
      <c r="AX19" s="536"/>
      <c r="AY19" s="536"/>
      <c r="AZ19" s="537" t="s">
        <v>260</v>
      </c>
      <c r="BA19" s="499"/>
      <c r="BB19" s="499"/>
      <c r="BC19" s="499"/>
      <c r="BD19" s="499"/>
      <c r="BE19" s="499"/>
      <c r="BF19" s="499"/>
      <c r="BG19" s="499"/>
      <c r="BH19" s="500"/>
      <c r="BI19" s="499" t="s">
        <v>261</v>
      </c>
      <c r="BJ19" s="499"/>
      <c r="BK19" s="499"/>
      <c r="BL19" s="499"/>
      <c r="BM19" s="499"/>
      <c r="BN19" s="499"/>
      <c r="BO19" s="499"/>
      <c r="BP19" s="500"/>
      <c r="BQ19" s="101"/>
    </row>
    <row r="20" spans="1:70" ht="20.100000000000001" customHeight="1">
      <c r="A20" s="280"/>
      <c r="B20" s="374"/>
      <c r="C20" s="375"/>
      <c r="D20" s="375"/>
      <c r="E20" s="375"/>
      <c r="F20" s="375"/>
      <c r="G20" s="376"/>
      <c r="H20" s="387"/>
      <c r="I20" s="388"/>
      <c r="J20" s="388"/>
      <c r="K20" s="388"/>
      <c r="L20" s="388"/>
      <c r="M20" s="388"/>
      <c r="N20" s="388"/>
      <c r="O20" s="388"/>
      <c r="P20" s="389"/>
      <c r="Q20" s="88" t="s">
        <v>194</v>
      </c>
      <c r="R20" s="359"/>
      <c r="S20" s="359"/>
      <c r="T20" s="359"/>
      <c r="U20" s="359"/>
      <c r="V20" s="359"/>
      <c r="W20" s="359"/>
      <c r="X20" s="359"/>
      <c r="Y20" s="360"/>
      <c r="Z20" s="396"/>
      <c r="AA20" s="401"/>
      <c r="AB20" s="298"/>
      <c r="AC20" s="298"/>
      <c r="AD20" s="298"/>
      <c r="AE20" s="298"/>
      <c r="AF20" s="298"/>
      <c r="AG20" s="298"/>
      <c r="AH20" s="402"/>
      <c r="AI20" s="401"/>
      <c r="AJ20" s="298"/>
      <c r="AK20" s="298"/>
      <c r="AL20" s="298"/>
      <c r="AM20" s="298"/>
      <c r="AN20" s="298"/>
      <c r="AO20" s="298"/>
      <c r="AP20" s="662"/>
      <c r="AQ20" s="379"/>
      <c r="AR20" s="380"/>
      <c r="AV20" s="100"/>
      <c r="AW20" s="508"/>
      <c r="AX20" s="508"/>
      <c r="AY20" s="508"/>
      <c r="AZ20" s="538"/>
      <c r="BA20" s="501"/>
      <c r="BB20" s="501"/>
      <c r="BC20" s="501"/>
      <c r="BD20" s="501"/>
      <c r="BE20" s="501"/>
      <c r="BF20" s="501"/>
      <c r="BG20" s="501"/>
      <c r="BH20" s="502"/>
      <c r="BI20" s="501"/>
      <c r="BJ20" s="501"/>
      <c r="BK20" s="501"/>
      <c r="BL20" s="501"/>
      <c r="BM20" s="501"/>
      <c r="BN20" s="501"/>
      <c r="BO20" s="501"/>
      <c r="BP20" s="502"/>
      <c r="BQ20" s="101"/>
    </row>
    <row r="21" spans="1:70" ht="20.100000000000001" customHeight="1">
      <c r="A21" s="280"/>
      <c r="B21" s="406" t="s">
        <v>195</v>
      </c>
      <c r="C21" s="407"/>
      <c r="D21" s="407"/>
      <c r="E21" s="407"/>
      <c r="F21" s="407"/>
      <c r="G21" s="408"/>
      <c r="H21" s="387"/>
      <c r="I21" s="388"/>
      <c r="J21" s="388"/>
      <c r="K21" s="388"/>
      <c r="L21" s="388"/>
      <c r="M21" s="388"/>
      <c r="N21" s="388"/>
      <c r="O21" s="388"/>
      <c r="P21" s="389"/>
      <c r="Q21" s="88" t="s">
        <v>196</v>
      </c>
      <c r="R21" s="359"/>
      <c r="S21" s="359"/>
      <c r="T21" s="359"/>
      <c r="U21" s="359"/>
      <c r="V21" s="359"/>
      <c r="W21" s="359"/>
      <c r="X21" s="359"/>
      <c r="Y21" s="360"/>
      <c r="Z21" s="396"/>
      <c r="AA21" s="401"/>
      <c r="AB21" s="298"/>
      <c r="AC21" s="298"/>
      <c r="AD21" s="298"/>
      <c r="AE21" s="298"/>
      <c r="AF21" s="298"/>
      <c r="AG21" s="298"/>
      <c r="AH21" s="402"/>
      <c r="AI21" s="401"/>
      <c r="AJ21" s="298"/>
      <c r="AK21" s="298"/>
      <c r="AL21" s="298"/>
      <c r="AM21" s="298"/>
      <c r="AN21" s="298"/>
      <c r="AO21" s="298"/>
      <c r="AP21" s="662"/>
      <c r="AQ21" s="409" t="s">
        <v>197</v>
      </c>
      <c r="AR21" s="410"/>
      <c r="AV21" s="100"/>
      <c r="AW21" s="507" t="s">
        <v>262</v>
      </c>
      <c r="AX21" s="508"/>
      <c r="AY21" s="508"/>
      <c r="AZ21" s="510" t="s">
        <v>263</v>
      </c>
      <c r="BA21" s="511"/>
      <c r="BB21" s="511"/>
      <c r="BC21" s="511"/>
      <c r="BD21" s="511"/>
      <c r="BE21" s="511"/>
      <c r="BF21" s="511"/>
      <c r="BG21" s="511"/>
      <c r="BH21" s="512"/>
      <c r="BI21" s="516" t="s">
        <v>264</v>
      </c>
      <c r="BJ21" s="516"/>
      <c r="BK21" s="516"/>
      <c r="BL21" s="516"/>
      <c r="BM21" s="516"/>
      <c r="BN21" s="516"/>
      <c r="BO21" s="516"/>
      <c r="BP21" s="517"/>
      <c r="BQ21" s="101"/>
    </row>
    <row r="22" spans="1:70" ht="20.100000000000001" customHeight="1">
      <c r="A22" s="280"/>
      <c r="B22" s="358"/>
      <c r="C22" s="359"/>
      <c r="D22" s="359"/>
      <c r="E22" s="359"/>
      <c r="F22" s="359"/>
      <c r="G22" s="360"/>
      <c r="H22" s="387"/>
      <c r="I22" s="388"/>
      <c r="J22" s="388"/>
      <c r="K22" s="388"/>
      <c r="L22" s="388"/>
      <c r="M22" s="388"/>
      <c r="N22" s="388"/>
      <c r="O22" s="388"/>
      <c r="P22" s="389"/>
      <c r="Q22" s="88" t="s">
        <v>198</v>
      </c>
      <c r="R22" s="364"/>
      <c r="S22" s="364"/>
      <c r="T22" s="364"/>
      <c r="U22" s="364"/>
      <c r="V22" s="364"/>
      <c r="W22" s="364"/>
      <c r="X22" s="364"/>
      <c r="Y22" s="365"/>
      <c r="Z22" s="396"/>
      <c r="AA22" s="401"/>
      <c r="AB22" s="298"/>
      <c r="AC22" s="298"/>
      <c r="AD22" s="298"/>
      <c r="AE22" s="298"/>
      <c r="AF22" s="298"/>
      <c r="AG22" s="298"/>
      <c r="AH22" s="402"/>
      <c r="AI22" s="401"/>
      <c r="AJ22" s="298"/>
      <c r="AK22" s="298"/>
      <c r="AL22" s="298"/>
      <c r="AM22" s="298"/>
      <c r="AN22" s="298"/>
      <c r="AO22" s="298"/>
      <c r="AP22" s="662"/>
      <c r="AQ22" s="366">
        <f>Z17*AQ18</f>
        <v>0</v>
      </c>
      <c r="AR22" s="367"/>
      <c r="AV22" s="100"/>
      <c r="AW22" s="508"/>
      <c r="AX22" s="508"/>
      <c r="AY22" s="508"/>
      <c r="AZ22" s="520"/>
      <c r="BA22" s="521"/>
      <c r="BB22" s="521"/>
      <c r="BC22" s="521"/>
      <c r="BD22" s="521"/>
      <c r="BE22" s="521"/>
      <c r="BF22" s="521"/>
      <c r="BG22" s="521"/>
      <c r="BH22" s="522"/>
      <c r="BI22" s="501"/>
      <c r="BJ22" s="501"/>
      <c r="BK22" s="501"/>
      <c r="BL22" s="501"/>
      <c r="BM22" s="501"/>
      <c r="BN22" s="501"/>
      <c r="BO22" s="501"/>
      <c r="BP22" s="502"/>
      <c r="BQ22" s="101"/>
    </row>
    <row r="23" spans="1:70" ht="20.100000000000001" customHeight="1">
      <c r="A23" s="280"/>
      <c r="B23" s="358"/>
      <c r="C23" s="359"/>
      <c r="D23" s="359"/>
      <c r="E23" s="359"/>
      <c r="F23" s="359"/>
      <c r="G23" s="360"/>
      <c r="H23" s="387"/>
      <c r="I23" s="388"/>
      <c r="J23" s="388"/>
      <c r="K23" s="388"/>
      <c r="L23" s="388"/>
      <c r="M23" s="388"/>
      <c r="N23" s="388"/>
      <c r="O23" s="388"/>
      <c r="P23" s="389"/>
      <c r="R23" s="359"/>
      <c r="S23" s="359"/>
      <c r="T23" s="359"/>
      <c r="U23" s="359"/>
      <c r="V23" s="359"/>
      <c r="W23" s="359"/>
      <c r="X23" s="359"/>
      <c r="Y23" s="360"/>
      <c r="Z23" s="396"/>
      <c r="AA23" s="401"/>
      <c r="AB23" s="298"/>
      <c r="AC23" s="298"/>
      <c r="AD23" s="298"/>
      <c r="AE23" s="298"/>
      <c r="AF23" s="298"/>
      <c r="AG23" s="298"/>
      <c r="AH23" s="402"/>
      <c r="AI23" s="401"/>
      <c r="AJ23" s="298"/>
      <c r="AK23" s="298"/>
      <c r="AL23" s="298"/>
      <c r="AM23" s="298"/>
      <c r="AN23" s="298"/>
      <c r="AO23" s="298"/>
      <c r="AP23" s="662"/>
      <c r="AQ23" s="368"/>
      <c r="AR23" s="369"/>
      <c r="AV23" s="100"/>
      <c r="AW23" s="507" t="s">
        <v>112</v>
      </c>
      <c r="AX23" s="508"/>
      <c r="AY23" s="508"/>
      <c r="AZ23" s="510" t="s">
        <v>265</v>
      </c>
      <c r="BA23" s="511"/>
      <c r="BB23" s="511"/>
      <c r="BC23" s="511"/>
      <c r="BD23" s="511"/>
      <c r="BE23" s="511"/>
      <c r="BF23" s="511"/>
      <c r="BG23" s="511"/>
      <c r="BH23" s="512"/>
      <c r="BI23" s="516" t="s">
        <v>266</v>
      </c>
      <c r="BJ23" s="516"/>
      <c r="BK23" s="516"/>
      <c r="BL23" s="516"/>
      <c r="BM23" s="516"/>
      <c r="BN23" s="516"/>
      <c r="BO23" s="516"/>
      <c r="BP23" s="517"/>
      <c r="BQ23" s="101"/>
    </row>
    <row r="24" spans="1:70" ht="20.100000000000001" customHeight="1">
      <c r="A24" s="281"/>
      <c r="B24" s="416"/>
      <c r="C24" s="417"/>
      <c r="D24" s="417"/>
      <c r="E24" s="417"/>
      <c r="F24" s="417"/>
      <c r="G24" s="418"/>
      <c r="H24" s="411"/>
      <c r="I24" s="412"/>
      <c r="J24" s="412"/>
      <c r="K24" s="412"/>
      <c r="L24" s="412"/>
      <c r="M24" s="412"/>
      <c r="N24" s="412"/>
      <c r="O24" s="412"/>
      <c r="P24" s="413"/>
      <c r="Q24" s="88"/>
      <c r="R24" s="417"/>
      <c r="S24" s="417"/>
      <c r="T24" s="417"/>
      <c r="U24" s="417"/>
      <c r="V24" s="417"/>
      <c r="W24" s="417"/>
      <c r="X24" s="417"/>
      <c r="Y24" s="418"/>
      <c r="Z24" s="414"/>
      <c r="AA24" s="405"/>
      <c r="AB24" s="301"/>
      <c r="AC24" s="301"/>
      <c r="AD24" s="301"/>
      <c r="AE24" s="301"/>
      <c r="AF24" s="301"/>
      <c r="AG24" s="301"/>
      <c r="AH24" s="415"/>
      <c r="AI24" s="405"/>
      <c r="AJ24" s="301"/>
      <c r="AK24" s="301"/>
      <c r="AL24" s="301"/>
      <c r="AM24" s="301"/>
      <c r="AN24" s="301"/>
      <c r="AO24" s="301"/>
      <c r="AP24" s="665"/>
      <c r="AQ24" s="419"/>
      <c r="AR24" s="420"/>
      <c r="AV24" s="103"/>
      <c r="AW24" s="509"/>
      <c r="AX24" s="509"/>
      <c r="AY24" s="509"/>
      <c r="AZ24" s="513"/>
      <c r="BA24" s="514"/>
      <c r="BB24" s="514"/>
      <c r="BC24" s="514"/>
      <c r="BD24" s="514"/>
      <c r="BE24" s="514"/>
      <c r="BF24" s="514"/>
      <c r="BG24" s="514"/>
      <c r="BH24" s="515"/>
      <c r="BI24" s="518"/>
      <c r="BJ24" s="518"/>
      <c r="BK24" s="518"/>
      <c r="BL24" s="518"/>
      <c r="BM24" s="518"/>
      <c r="BN24" s="518"/>
      <c r="BO24" s="518"/>
      <c r="BP24" s="519"/>
      <c r="BQ24" s="101"/>
    </row>
    <row r="25" spans="1:70" ht="20.100000000000001" customHeight="1">
      <c r="A25" s="279">
        <v>3</v>
      </c>
      <c r="B25" s="381" t="s">
        <v>189</v>
      </c>
      <c r="C25" s="382"/>
      <c r="D25" s="382"/>
      <c r="E25" s="382"/>
      <c r="F25" s="382"/>
      <c r="G25" s="383"/>
      <c r="H25" s="384"/>
      <c r="I25" s="385"/>
      <c r="J25" s="385"/>
      <c r="K25" s="385"/>
      <c r="L25" s="385"/>
      <c r="M25" s="385"/>
      <c r="N25" s="385"/>
      <c r="O25" s="385"/>
      <c r="P25" s="386"/>
      <c r="Q25" s="87" t="s">
        <v>190</v>
      </c>
      <c r="R25" s="393"/>
      <c r="S25" s="393"/>
      <c r="T25" s="393"/>
      <c r="U25" s="393"/>
      <c r="V25" s="393"/>
      <c r="W25" s="393"/>
      <c r="X25" s="393"/>
      <c r="Y25" s="394"/>
      <c r="Z25" s="395">
        <v>1</v>
      </c>
      <c r="AA25" s="398"/>
      <c r="AB25" s="399"/>
      <c r="AC25" s="399"/>
      <c r="AD25" s="399"/>
      <c r="AE25" s="399"/>
      <c r="AF25" s="399"/>
      <c r="AG25" s="399"/>
      <c r="AH25" s="400"/>
      <c r="AI25" s="398"/>
      <c r="AJ25" s="399"/>
      <c r="AK25" s="399"/>
      <c r="AL25" s="399"/>
      <c r="AM25" s="399"/>
      <c r="AN25" s="399"/>
      <c r="AO25" s="399"/>
      <c r="AP25" s="661"/>
      <c r="AQ25" s="372" t="s">
        <v>191</v>
      </c>
      <c r="AR25" s="373"/>
      <c r="AV25" s="103"/>
      <c r="AW25" s="123" t="s">
        <v>267</v>
      </c>
      <c r="BQ25" s="101"/>
    </row>
    <row r="26" spans="1:70" ht="20.100000000000001" customHeight="1">
      <c r="A26" s="280"/>
      <c r="B26" s="358"/>
      <c r="C26" s="359"/>
      <c r="D26" s="359"/>
      <c r="E26" s="359"/>
      <c r="F26" s="359"/>
      <c r="G26" s="360"/>
      <c r="H26" s="387"/>
      <c r="I26" s="388"/>
      <c r="J26" s="388"/>
      <c r="K26" s="388"/>
      <c r="L26" s="388"/>
      <c r="M26" s="388"/>
      <c r="N26" s="388"/>
      <c r="O26" s="388"/>
      <c r="P26" s="389"/>
      <c r="Q26" s="88" t="s">
        <v>192</v>
      </c>
      <c r="R26" s="359"/>
      <c r="S26" s="359"/>
      <c r="T26" s="359"/>
      <c r="U26" s="359"/>
      <c r="V26" s="359"/>
      <c r="W26" s="359"/>
      <c r="X26" s="359"/>
      <c r="Y26" s="360"/>
      <c r="Z26" s="396"/>
      <c r="AA26" s="401"/>
      <c r="AB26" s="298"/>
      <c r="AC26" s="298"/>
      <c r="AD26" s="298"/>
      <c r="AE26" s="298"/>
      <c r="AF26" s="298"/>
      <c r="AG26" s="298"/>
      <c r="AH26" s="402"/>
      <c r="AI26" s="401"/>
      <c r="AJ26" s="298"/>
      <c r="AK26" s="298"/>
      <c r="AL26" s="298"/>
      <c r="AM26" s="298"/>
      <c r="AN26" s="298"/>
      <c r="AO26" s="298"/>
      <c r="AP26" s="662"/>
      <c r="AQ26" s="377"/>
      <c r="AR26" s="378"/>
      <c r="AV26" s="104"/>
      <c r="AW26" s="105"/>
      <c r="AX26" s="105"/>
      <c r="AY26" s="105"/>
      <c r="AZ26" s="105"/>
      <c r="BA26" s="105"/>
      <c r="BB26" s="105"/>
      <c r="BC26" s="105"/>
      <c r="BD26" s="105"/>
      <c r="BE26" s="105"/>
      <c r="BF26" s="105"/>
      <c r="BG26" s="105"/>
      <c r="BH26" s="105"/>
      <c r="BI26" s="105"/>
      <c r="BJ26" s="105"/>
      <c r="BK26" s="105"/>
      <c r="BL26" s="105"/>
      <c r="BM26" s="105"/>
      <c r="BN26" s="105"/>
      <c r="BO26" s="105"/>
      <c r="BP26" s="105"/>
      <c r="BQ26" s="106"/>
    </row>
    <row r="27" spans="1:70" ht="20.100000000000001" customHeight="1">
      <c r="A27" s="280"/>
      <c r="B27" s="358"/>
      <c r="C27" s="359"/>
      <c r="D27" s="359"/>
      <c r="E27" s="359"/>
      <c r="F27" s="359"/>
      <c r="G27" s="360"/>
      <c r="H27" s="387"/>
      <c r="I27" s="388"/>
      <c r="J27" s="388"/>
      <c r="K27" s="388"/>
      <c r="L27" s="388"/>
      <c r="M27" s="388"/>
      <c r="N27" s="388"/>
      <c r="O27" s="388"/>
      <c r="P27" s="389"/>
      <c r="Q27" s="88" t="s">
        <v>193</v>
      </c>
      <c r="R27" s="199"/>
      <c r="S27" s="199"/>
      <c r="T27" s="199"/>
      <c r="U27" s="199"/>
      <c r="V27" s="199"/>
      <c r="W27" s="199"/>
      <c r="X27" s="199"/>
      <c r="Y27" s="216"/>
      <c r="Z27" s="396"/>
      <c r="AA27" s="401"/>
      <c r="AB27" s="298"/>
      <c r="AC27" s="298"/>
      <c r="AD27" s="298"/>
      <c r="AE27" s="298"/>
      <c r="AF27" s="298"/>
      <c r="AG27" s="298"/>
      <c r="AH27" s="402"/>
      <c r="AI27" s="401"/>
      <c r="AJ27" s="298"/>
      <c r="AK27" s="298"/>
      <c r="AL27" s="298"/>
      <c r="AM27" s="298"/>
      <c r="AN27" s="298"/>
      <c r="AO27" s="298"/>
      <c r="AP27" s="662"/>
      <c r="AQ27" s="379"/>
      <c r="AR27" s="380"/>
      <c r="AW27" s="1"/>
    </row>
    <row r="28" spans="1:70" ht="20.100000000000001" customHeight="1">
      <c r="A28" s="280"/>
      <c r="B28" s="374"/>
      <c r="C28" s="375"/>
      <c r="D28" s="375"/>
      <c r="E28" s="375"/>
      <c r="F28" s="375"/>
      <c r="G28" s="376"/>
      <c r="H28" s="387"/>
      <c r="I28" s="388"/>
      <c r="J28" s="388"/>
      <c r="K28" s="388"/>
      <c r="L28" s="388"/>
      <c r="M28" s="388"/>
      <c r="N28" s="388"/>
      <c r="O28" s="388"/>
      <c r="P28" s="389"/>
      <c r="Q28" s="88" t="s">
        <v>194</v>
      </c>
      <c r="R28" s="359"/>
      <c r="S28" s="359"/>
      <c r="T28" s="359"/>
      <c r="U28" s="359"/>
      <c r="V28" s="359"/>
      <c r="W28" s="359"/>
      <c r="X28" s="359"/>
      <c r="Y28" s="360"/>
      <c r="Z28" s="396"/>
      <c r="AA28" s="401"/>
      <c r="AB28" s="298"/>
      <c r="AC28" s="298"/>
      <c r="AD28" s="298"/>
      <c r="AE28" s="298"/>
      <c r="AF28" s="298"/>
      <c r="AG28" s="298"/>
      <c r="AH28" s="402"/>
      <c r="AI28" s="401"/>
      <c r="AJ28" s="298"/>
      <c r="AK28" s="298"/>
      <c r="AL28" s="298"/>
      <c r="AM28" s="298"/>
      <c r="AN28" s="298"/>
      <c r="AO28" s="298"/>
      <c r="AP28" s="662"/>
      <c r="AQ28" s="379"/>
      <c r="AR28" s="380"/>
      <c r="AV28" s="92"/>
      <c r="AW28" s="92"/>
      <c r="AX28" s="92"/>
      <c r="AY28" s="92"/>
      <c r="AZ28" s="92"/>
      <c r="BA28" s="92"/>
      <c r="BB28" s="92"/>
      <c r="BC28" s="92"/>
      <c r="BD28" s="92"/>
      <c r="BE28" s="92"/>
      <c r="BF28" s="92"/>
      <c r="BG28" s="92"/>
      <c r="BH28" s="92"/>
      <c r="BI28" s="92"/>
      <c r="BJ28" s="92"/>
      <c r="BK28" s="92"/>
      <c r="BL28" s="92"/>
      <c r="BM28" s="92"/>
      <c r="BN28" s="92"/>
      <c r="BO28" s="92"/>
      <c r="BP28" s="92"/>
      <c r="BQ28" s="92"/>
    </row>
    <row r="29" spans="1:70" ht="20.100000000000001" customHeight="1">
      <c r="A29" s="280"/>
      <c r="B29" s="406" t="s">
        <v>195</v>
      </c>
      <c r="C29" s="407"/>
      <c r="D29" s="407"/>
      <c r="E29" s="407"/>
      <c r="F29" s="407"/>
      <c r="G29" s="408"/>
      <c r="H29" s="387"/>
      <c r="I29" s="388"/>
      <c r="J29" s="388"/>
      <c r="K29" s="388"/>
      <c r="L29" s="388"/>
      <c r="M29" s="388"/>
      <c r="N29" s="388"/>
      <c r="O29" s="388"/>
      <c r="P29" s="389"/>
      <c r="Q29" s="88" t="s">
        <v>196</v>
      </c>
      <c r="R29" s="359"/>
      <c r="S29" s="359"/>
      <c r="T29" s="359"/>
      <c r="U29" s="359"/>
      <c r="V29" s="359"/>
      <c r="W29" s="359"/>
      <c r="X29" s="359"/>
      <c r="Y29" s="360"/>
      <c r="Z29" s="396"/>
      <c r="AA29" s="401"/>
      <c r="AB29" s="298"/>
      <c r="AC29" s="298"/>
      <c r="AD29" s="298"/>
      <c r="AE29" s="298"/>
      <c r="AF29" s="298"/>
      <c r="AG29" s="298"/>
      <c r="AH29" s="402"/>
      <c r="AI29" s="401"/>
      <c r="AJ29" s="298"/>
      <c r="AK29" s="298"/>
      <c r="AL29" s="298"/>
      <c r="AM29" s="298"/>
      <c r="AN29" s="298"/>
      <c r="AO29" s="298"/>
      <c r="AP29" s="662"/>
      <c r="AQ29" s="409" t="s">
        <v>197</v>
      </c>
      <c r="AR29" s="410"/>
      <c r="AV29" s="92"/>
      <c r="AW29" s="92"/>
      <c r="AX29" s="92"/>
      <c r="AY29" s="92"/>
      <c r="AZ29" s="92"/>
      <c r="BA29" s="92"/>
      <c r="BB29" s="92"/>
      <c r="BC29" s="92"/>
      <c r="BD29" s="92"/>
      <c r="BE29" s="92"/>
      <c r="BF29" s="92"/>
      <c r="BG29" s="92"/>
      <c r="BH29" s="92"/>
      <c r="BI29" s="92"/>
      <c r="BJ29" s="92"/>
      <c r="BK29" s="92"/>
      <c r="BL29" s="92"/>
      <c r="BM29" s="92"/>
      <c r="BN29" s="92"/>
      <c r="BO29" s="92"/>
      <c r="BP29" s="92"/>
      <c r="BQ29" s="92"/>
    </row>
    <row r="30" spans="1:70" ht="20.100000000000001" customHeight="1">
      <c r="A30" s="280"/>
      <c r="B30" s="358"/>
      <c r="C30" s="359"/>
      <c r="D30" s="359"/>
      <c r="E30" s="359"/>
      <c r="F30" s="359"/>
      <c r="G30" s="360"/>
      <c r="H30" s="387"/>
      <c r="I30" s="388"/>
      <c r="J30" s="388"/>
      <c r="K30" s="388"/>
      <c r="L30" s="388"/>
      <c r="M30" s="388"/>
      <c r="N30" s="388"/>
      <c r="O30" s="388"/>
      <c r="P30" s="389"/>
      <c r="Q30" s="88" t="s">
        <v>198</v>
      </c>
      <c r="R30" s="364"/>
      <c r="S30" s="364"/>
      <c r="T30" s="364"/>
      <c r="U30" s="364"/>
      <c r="V30" s="364"/>
      <c r="W30" s="364"/>
      <c r="X30" s="364"/>
      <c r="Y30" s="365"/>
      <c r="Z30" s="396"/>
      <c r="AA30" s="401"/>
      <c r="AB30" s="298"/>
      <c r="AC30" s="298"/>
      <c r="AD30" s="298"/>
      <c r="AE30" s="298"/>
      <c r="AF30" s="298"/>
      <c r="AG30" s="298"/>
      <c r="AH30" s="402"/>
      <c r="AI30" s="401"/>
      <c r="AJ30" s="298"/>
      <c r="AK30" s="298"/>
      <c r="AL30" s="298"/>
      <c r="AM30" s="298"/>
      <c r="AN30" s="298"/>
      <c r="AO30" s="298"/>
      <c r="AP30" s="662"/>
      <c r="AQ30" s="366">
        <f>Z25*AQ26</f>
        <v>0</v>
      </c>
      <c r="AR30" s="367"/>
      <c r="AV30" s="92"/>
      <c r="AW30" s="92"/>
      <c r="AX30" s="92"/>
      <c r="AY30" s="92"/>
      <c r="AZ30" s="92"/>
      <c r="BA30" s="92"/>
      <c r="BB30" s="92"/>
      <c r="BC30" s="92"/>
      <c r="BD30" s="92"/>
      <c r="BE30" s="92"/>
      <c r="BF30" s="92"/>
      <c r="BG30" s="92"/>
      <c r="BH30" s="92"/>
      <c r="BI30" s="92"/>
      <c r="BJ30" s="92"/>
      <c r="BK30" s="92"/>
      <c r="BL30" s="92"/>
      <c r="BM30" s="92"/>
      <c r="BN30" s="92"/>
      <c r="BO30" s="92"/>
      <c r="BP30" s="92"/>
      <c r="BQ30" s="92"/>
    </row>
    <row r="31" spans="1:70" ht="20.100000000000001" customHeight="1">
      <c r="A31" s="280"/>
      <c r="B31" s="358"/>
      <c r="C31" s="359"/>
      <c r="D31" s="359"/>
      <c r="E31" s="359"/>
      <c r="F31" s="359"/>
      <c r="G31" s="360"/>
      <c r="H31" s="387"/>
      <c r="I31" s="388"/>
      <c r="J31" s="388"/>
      <c r="K31" s="388"/>
      <c r="L31" s="388"/>
      <c r="M31" s="388"/>
      <c r="N31" s="388"/>
      <c r="O31" s="388"/>
      <c r="P31" s="389"/>
      <c r="Q31" s="200"/>
      <c r="R31" s="359"/>
      <c r="S31" s="359"/>
      <c r="T31" s="359"/>
      <c r="U31" s="359"/>
      <c r="V31" s="359"/>
      <c r="W31" s="359"/>
      <c r="X31" s="359"/>
      <c r="Y31" s="360"/>
      <c r="Z31" s="396"/>
      <c r="AA31" s="401"/>
      <c r="AB31" s="298"/>
      <c r="AC31" s="298"/>
      <c r="AD31" s="298"/>
      <c r="AE31" s="298"/>
      <c r="AF31" s="298"/>
      <c r="AG31" s="298"/>
      <c r="AH31" s="402"/>
      <c r="AI31" s="401"/>
      <c r="AJ31" s="298"/>
      <c r="AK31" s="298"/>
      <c r="AL31" s="298"/>
      <c r="AM31" s="298"/>
      <c r="AN31" s="298"/>
      <c r="AO31" s="298"/>
      <c r="AP31" s="662"/>
      <c r="AQ31" s="368"/>
      <c r="AR31" s="369"/>
      <c r="AV31" s="92"/>
      <c r="AW31" s="92"/>
      <c r="AX31" s="92"/>
      <c r="AY31" s="92"/>
      <c r="AZ31" s="92"/>
      <c r="BA31" s="92"/>
      <c r="BB31" s="92"/>
      <c r="BC31" s="92"/>
      <c r="BD31" s="92"/>
      <c r="BE31" s="92"/>
      <c r="BF31" s="92"/>
      <c r="BG31" s="92"/>
      <c r="BH31" s="92"/>
      <c r="BI31" s="92"/>
      <c r="BJ31" s="92"/>
      <c r="BK31" s="92"/>
      <c r="BL31" s="92"/>
      <c r="BM31" s="92"/>
      <c r="BN31" s="92"/>
      <c r="BO31" s="92"/>
      <c r="BP31" s="92"/>
      <c r="BQ31" s="92"/>
    </row>
    <row r="32" spans="1:70" ht="20.100000000000001" customHeight="1" thickBot="1">
      <c r="A32" s="303"/>
      <c r="B32" s="361"/>
      <c r="C32" s="362"/>
      <c r="D32" s="362"/>
      <c r="E32" s="362"/>
      <c r="F32" s="362"/>
      <c r="G32" s="363"/>
      <c r="H32" s="390"/>
      <c r="I32" s="391"/>
      <c r="J32" s="391"/>
      <c r="K32" s="391"/>
      <c r="L32" s="391"/>
      <c r="M32" s="391"/>
      <c r="N32" s="391"/>
      <c r="O32" s="391"/>
      <c r="P32" s="392"/>
      <c r="Q32" s="89"/>
      <c r="R32" s="362"/>
      <c r="S32" s="362"/>
      <c r="T32" s="362"/>
      <c r="U32" s="362"/>
      <c r="V32" s="362"/>
      <c r="W32" s="362"/>
      <c r="X32" s="362"/>
      <c r="Y32" s="363"/>
      <c r="Z32" s="397"/>
      <c r="AA32" s="403"/>
      <c r="AB32" s="308"/>
      <c r="AC32" s="308"/>
      <c r="AD32" s="308"/>
      <c r="AE32" s="308"/>
      <c r="AF32" s="308"/>
      <c r="AG32" s="308"/>
      <c r="AH32" s="404"/>
      <c r="AI32" s="403"/>
      <c r="AJ32" s="308"/>
      <c r="AK32" s="308"/>
      <c r="AL32" s="308"/>
      <c r="AM32" s="308"/>
      <c r="AN32" s="308"/>
      <c r="AO32" s="308"/>
      <c r="AP32" s="666"/>
      <c r="AQ32" s="370"/>
      <c r="AR32" s="371"/>
      <c r="AV32" s="92"/>
      <c r="AW32" s="92"/>
      <c r="AX32" s="92"/>
      <c r="AY32" s="92"/>
      <c r="AZ32" s="92"/>
      <c r="BA32" s="92"/>
      <c r="BB32" s="92"/>
      <c r="BC32" s="92"/>
      <c r="BD32" s="92"/>
      <c r="BE32" s="92"/>
      <c r="BF32" s="92"/>
      <c r="BG32" s="92"/>
      <c r="BH32" s="92"/>
      <c r="BI32" s="92"/>
      <c r="BJ32" s="92"/>
      <c r="BK32" s="92"/>
      <c r="BL32" s="92"/>
      <c r="BM32" s="92"/>
      <c r="BN32" s="92"/>
      <c r="BO32" s="92"/>
      <c r="BP32" s="92"/>
      <c r="BQ32" s="92"/>
      <c r="BR32" s="92"/>
    </row>
    <row r="33" spans="1:70" ht="20.100000000000001" customHeight="1">
      <c r="Z33" s="90">
        <f>SUM(Z9:Z32)</f>
        <v>3</v>
      </c>
      <c r="AA33" s="201"/>
      <c r="AB33" s="201"/>
      <c r="AC33" s="201"/>
      <c r="AD33" s="201"/>
      <c r="AE33" s="201"/>
      <c r="AF33" s="201"/>
      <c r="AG33" s="201"/>
      <c r="AH33" s="201"/>
      <c r="AQ33" s="344">
        <f>AQ14+AQ22+AQ30</f>
        <v>3</v>
      </c>
      <c r="AR33" s="344"/>
      <c r="AV33" s="92"/>
      <c r="AW33" s="92"/>
      <c r="AX33" s="92"/>
      <c r="AY33" s="92"/>
      <c r="AZ33" s="92"/>
      <c r="BA33" s="92"/>
      <c r="BB33" s="92"/>
      <c r="BC33" s="92"/>
      <c r="BD33" s="92"/>
      <c r="BE33" s="92"/>
      <c r="BF33" s="92"/>
      <c r="BG33" s="92"/>
      <c r="BH33" s="92"/>
      <c r="BI33" s="92"/>
      <c r="BJ33" s="92"/>
      <c r="BK33" s="92"/>
      <c r="BL33" s="92"/>
      <c r="BM33" s="92"/>
      <c r="BN33" s="92"/>
      <c r="BO33" s="92"/>
      <c r="BP33" s="92"/>
      <c r="BQ33" s="92"/>
      <c r="BR33" s="92"/>
    </row>
    <row r="34" spans="1:70" ht="42.75" customHeight="1" thickBot="1">
      <c r="AV34" s="92"/>
      <c r="AW34" s="92"/>
      <c r="AX34" s="92"/>
      <c r="AY34" s="92"/>
      <c r="AZ34" s="92"/>
      <c r="BA34" s="92"/>
      <c r="BB34" s="92"/>
      <c r="BC34" s="92"/>
      <c r="BD34" s="92"/>
      <c r="BE34" s="92"/>
      <c r="BF34" s="92"/>
      <c r="BG34" s="92"/>
      <c r="BH34" s="92"/>
      <c r="BI34" s="92"/>
      <c r="BJ34" s="92"/>
      <c r="BK34" s="92"/>
      <c r="BL34" s="92"/>
      <c r="BM34" s="92"/>
      <c r="BN34" s="92"/>
      <c r="BO34" s="92"/>
      <c r="BP34" s="92"/>
      <c r="BQ34" s="92"/>
      <c r="BR34" s="92"/>
    </row>
    <row r="35" spans="1:70" s="92" customFormat="1" ht="27.75" customHeight="1" thickBot="1">
      <c r="A35" s="345" t="s">
        <v>199</v>
      </c>
      <c r="B35" s="345"/>
      <c r="C35" s="345"/>
      <c r="D35" s="345"/>
      <c r="E35" s="345"/>
      <c r="F35" s="345" t="s">
        <v>200</v>
      </c>
      <c r="G35" s="345"/>
      <c r="H35" s="345"/>
      <c r="I35" s="345"/>
      <c r="J35" s="345"/>
      <c r="K35" s="345"/>
      <c r="L35" s="346" t="s">
        <v>268</v>
      </c>
      <c r="M35" s="347"/>
      <c r="N35" s="347"/>
      <c r="O35" s="347"/>
      <c r="P35" s="347"/>
      <c r="Q35" s="347"/>
      <c r="R35" s="347"/>
      <c r="S35" s="347"/>
      <c r="T35" s="347"/>
      <c r="U35" s="347"/>
      <c r="V35" s="347"/>
      <c r="W35" s="347"/>
      <c r="X35" s="347"/>
      <c r="Y35" s="347"/>
      <c r="Z35" s="347"/>
      <c r="AA35" s="347"/>
      <c r="AB35" s="347"/>
      <c r="AC35" s="347"/>
      <c r="AD35" s="347"/>
      <c r="AE35" s="347"/>
      <c r="AF35" s="347"/>
      <c r="AG35" s="348"/>
      <c r="BR35" s="85"/>
    </row>
    <row r="36" spans="1:70" s="92" customFormat="1" ht="15" customHeight="1" thickBot="1">
      <c r="A36" s="202"/>
      <c r="B36" s="202"/>
      <c r="C36" s="202"/>
      <c r="D36" s="202"/>
      <c r="E36" s="202"/>
      <c r="F36" s="202"/>
      <c r="G36" s="202"/>
      <c r="H36" s="202"/>
      <c r="I36" s="202"/>
      <c r="J36" s="202"/>
      <c r="K36" s="202"/>
      <c r="L36" s="203"/>
      <c r="M36" s="203"/>
      <c r="N36" s="203"/>
      <c r="O36" s="203"/>
      <c r="P36" s="203"/>
      <c r="Q36" s="203"/>
      <c r="R36" s="203"/>
      <c r="S36" s="203"/>
      <c r="T36" s="203"/>
      <c r="U36" s="203"/>
      <c r="V36" s="203"/>
      <c r="W36" s="203"/>
      <c r="X36" s="203"/>
      <c r="Y36" s="203"/>
      <c r="Z36" s="203"/>
      <c r="AA36" s="203"/>
      <c r="AB36" s="203"/>
      <c r="AC36" s="203"/>
      <c r="AD36" s="203"/>
      <c r="AE36" s="203"/>
      <c r="AF36" s="203"/>
      <c r="AG36" s="203"/>
      <c r="BR36" s="84"/>
    </row>
    <row r="37" spans="1:70" s="85" customFormat="1" ht="24" customHeight="1">
      <c r="A37" s="349" t="s">
        <v>173</v>
      </c>
      <c r="B37" s="350"/>
      <c r="C37" s="350"/>
      <c r="D37" s="350"/>
      <c r="E37" s="350"/>
      <c r="F37" s="350"/>
      <c r="G37" s="350"/>
      <c r="H37" s="350"/>
      <c r="I37" s="350"/>
      <c r="J37" s="350"/>
      <c r="K37" s="350"/>
      <c r="L37" s="350"/>
      <c r="M37" s="350"/>
      <c r="N37" s="350"/>
      <c r="O37" s="350"/>
      <c r="P37" s="350"/>
      <c r="Q37" s="350"/>
      <c r="R37" s="350"/>
      <c r="S37" s="350"/>
      <c r="T37" s="350"/>
      <c r="U37" s="350"/>
      <c r="V37" s="350"/>
      <c r="W37" s="350"/>
      <c r="X37" s="351"/>
      <c r="Y37" s="352" t="s">
        <v>201</v>
      </c>
      <c r="Z37" s="353"/>
      <c r="AA37" s="353"/>
      <c r="AB37" s="353"/>
      <c r="AC37" s="353"/>
      <c r="AD37" s="353"/>
      <c r="AE37" s="353"/>
      <c r="AF37" s="353"/>
      <c r="AG37" s="354"/>
      <c r="AH37" s="355" t="s">
        <v>202</v>
      </c>
      <c r="AI37" s="356"/>
      <c r="AJ37" s="356"/>
      <c r="AK37" s="356"/>
      <c r="AL37" s="356"/>
      <c r="AM37" s="356"/>
      <c r="AN37" s="356"/>
      <c r="AO37" s="356"/>
      <c r="AP37" s="356"/>
      <c r="AQ37" s="356"/>
      <c r="AR37" s="357"/>
      <c r="AV37" s="108" t="s">
        <v>269</v>
      </c>
      <c r="AW37" s="92"/>
      <c r="AX37" s="92"/>
      <c r="AY37" s="92"/>
      <c r="AZ37" s="92"/>
      <c r="BA37" s="92"/>
      <c r="BB37" s="92"/>
      <c r="BC37" s="92"/>
      <c r="BD37" s="108"/>
      <c r="BR37" s="84"/>
    </row>
    <row r="38" spans="1:70" ht="15.6" customHeight="1">
      <c r="A38" s="279" t="s">
        <v>177</v>
      </c>
      <c r="B38" s="310" t="s">
        <v>203</v>
      </c>
      <c r="C38" s="311"/>
      <c r="D38" s="311"/>
      <c r="E38" s="311"/>
      <c r="F38" s="311"/>
      <c r="G38" s="311"/>
      <c r="H38" s="311"/>
      <c r="I38" s="311"/>
      <c r="J38" s="311"/>
      <c r="K38" s="312"/>
      <c r="L38" s="310" t="s">
        <v>179</v>
      </c>
      <c r="M38" s="311"/>
      <c r="N38" s="311"/>
      <c r="O38" s="311"/>
      <c r="P38" s="311"/>
      <c r="Q38" s="311"/>
      <c r="R38" s="311"/>
      <c r="S38" s="311"/>
      <c r="T38" s="311"/>
      <c r="U38" s="311"/>
      <c r="V38" s="311"/>
      <c r="W38" s="311"/>
      <c r="X38" s="319"/>
      <c r="Y38" s="320" t="s">
        <v>182</v>
      </c>
      <c r="Z38" s="321"/>
      <c r="AA38" s="321"/>
      <c r="AB38" s="321"/>
      <c r="AC38" s="321"/>
      <c r="AD38" s="321"/>
      <c r="AE38" s="321"/>
      <c r="AF38" s="321"/>
      <c r="AG38" s="322"/>
      <c r="AH38" s="323" t="s">
        <v>204</v>
      </c>
      <c r="AI38" s="324"/>
      <c r="AJ38" s="324"/>
      <c r="AK38" s="324"/>
      <c r="AL38" s="324"/>
      <c r="AM38" s="324"/>
      <c r="AN38" s="324"/>
      <c r="AO38" s="324"/>
      <c r="AP38" s="324"/>
      <c r="AQ38" s="324"/>
      <c r="AR38" s="325"/>
      <c r="AV38" s="109"/>
      <c r="AW38" s="110"/>
      <c r="AX38" s="110"/>
      <c r="AY38" s="110"/>
      <c r="AZ38" s="110"/>
      <c r="BA38" s="110"/>
      <c r="BB38" s="110"/>
      <c r="BC38" s="110"/>
      <c r="BD38" s="110"/>
      <c r="BE38" s="98"/>
      <c r="BF38" s="98"/>
      <c r="BG38" s="98"/>
      <c r="BH38" s="98"/>
      <c r="BI38" s="98"/>
      <c r="BJ38" s="98"/>
      <c r="BK38" s="98"/>
      <c r="BL38" s="98"/>
      <c r="BM38" s="98"/>
      <c r="BN38" s="98"/>
      <c r="BO38" s="98"/>
      <c r="BP38" s="98"/>
      <c r="BQ38" s="99"/>
    </row>
    <row r="39" spans="1:70" ht="15.6" customHeight="1">
      <c r="A39" s="280"/>
      <c r="B39" s="313"/>
      <c r="C39" s="314"/>
      <c r="D39" s="314"/>
      <c r="E39" s="314"/>
      <c r="F39" s="314"/>
      <c r="G39" s="314"/>
      <c r="H39" s="314"/>
      <c r="I39" s="314"/>
      <c r="J39" s="314"/>
      <c r="K39" s="315"/>
      <c r="L39" s="326" t="s">
        <v>205</v>
      </c>
      <c r="M39" s="327"/>
      <c r="N39" s="327"/>
      <c r="O39" s="327"/>
      <c r="P39" s="327"/>
      <c r="Q39" s="327"/>
      <c r="R39" s="327"/>
      <c r="S39" s="327"/>
      <c r="T39" s="327"/>
      <c r="U39" s="327"/>
      <c r="V39" s="327"/>
      <c r="W39" s="327"/>
      <c r="X39" s="328"/>
      <c r="Y39" s="332" t="s">
        <v>206</v>
      </c>
      <c r="Z39" s="333"/>
      <c r="AA39" s="333"/>
      <c r="AB39" s="333"/>
      <c r="AC39" s="333"/>
      <c r="AD39" s="333"/>
      <c r="AE39" s="333"/>
      <c r="AF39" s="333"/>
      <c r="AG39" s="334"/>
      <c r="AH39" s="338" t="s">
        <v>207</v>
      </c>
      <c r="AI39" s="339"/>
      <c r="AJ39" s="339"/>
      <c r="AK39" s="339"/>
      <c r="AL39" s="339"/>
      <c r="AM39" s="339"/>
      <c r="AN39" s="339"/>
      <c r="AO39" s="339"/>
      <c r="AP39" s="339"/>
      <c r="AQ39" s="339"/>
      <c r="AR39" s="340"/>
      <c r="AV39" s="100"/>
      <c r="AW39" s="116" t="s">
        <v>270</v>
      </c>
      <c r="AX39" s="111"/>
      <c r="AY39" s="111"/>
      <c r="AZ39" s="111"/>
      <c r="BA39" s="111"/>
      <c r="BB39" s="111"/>
      <c r="BC39" s="111"/>
      <c r="BD39" s="111"/>
      <c r="BE39" s="111"/>
      <c r="BF39" s="111"/>
      <c r="BG39" s="111"/>
      <c r="BH39" s="111"/>
      <c r="BI39" s="111"/>
      <c r="BJ39" s="111"/>
      <c r="BK39" s="111"/>
      <c r="BL39" s="111"/>
      <c r="BM39" s="111"/>
      <c r="BN39" s="111"/>
      <c r="BO39" s="111"/>
      <c r="BP39" s="111"/>
      <c r="BQ39" s="102"/>
    </row>
    <row r="40" spans="1:70">
      <c r="A40" s="281"/>
      <c r="B40" s="316"/>
      <c r="C40" s="317"/>
      <c r="D40" s="317"/>
      <c r="E40" s="317"/>
      <c r="F40" s="317"/>
      <c r="G40" s="317"/>
      <c r="H40" s="317"/>
      <c r="I40" s="317"/>
      <c r="J40" s="317"/>
      <c r="K40" s="318"/>
      <c r="L40" s="329"/>
      <c r="M40" s="330"/>
      <c r="N40" s="330"/>
      <c r="O40" s="330"/>
      <c r="P40" s="330"/>
      <c r="Q40" s="330"/>
      <c r="R40" s="330"/>
      <c r="S40" s="330"/>
      <c r="T40" s="330"/>
      <c r="U40" s="330"/>
      <c r="V40" s="330"/>
      <c r="W40" s="330"/>
      <c r="X40" s="331"/>
      <c r="Y40" s="335"/>
      <c r="Z40" s="336"/>
      <c r="AA40" s="336"/>
      <c r="AB40" s="336"/>
      <c r="AC40" s="336"/>
      <c r="AD40" s="336"/>
      <c r="AE40" s="336"/>
      <c r="AF40" s="336"/>
      <c r="AG40" s="337"/>
      <c r="AH40" s="341"/>
      <c r="AI40" s="342"/>
      <c r="AJ40" s="342"/>
      <c r="AK40" s="342"/>
      <c r="AL40" s="342"/>
      <c r="AM40" s="342"/>
      <c r="AN40" s="342"/>
      <c r="AO40" s="342"/>
      <c r="AP40" s="342"/>
      <c r="AQ40" s="342"/>
      <c r="AR40" s="343"/>
      <c r="AV40" s="112"/>
      <c r="AY40" s="111"/>
      <c r="AZ40" s="111"/>
      <c r="BA40" s="111"/>
      <c r="BB40" s="111"/>
      <c r="BC40" s="111"/>
      <c r="BD40" s="111"/>
      <c r="BE40" s="111"/>
      <c r="BF40" s="111"/>
      <c r="BG40" s="111"/>
      <c r="BH40" s="111"/>
      <c r="BI40" s="111"/>
      <c r="BJ40" s="111"/>
      <c r="BK40" s="111"/>
      <c r="BL40" s="111"/>
      <c r="BM40" s="111"/>
      <c r="BN40" s="111"/>
      <c r="BO40" s="111"/>
      <c r="BP40" s="111"/>
      <c r="BQ40" s="101"/>
    </row>
    <row r="41" spans="1:70" ht="20.100000000000001" customHeight="1">
      <c r="A41" s="279">
        <v>1</v>
      </c>
      <c r="B41" s="282" t="s">
        <v>208</v>
      </c>
      <c r="C41" s="283"/>
      <c r="D41" s="283"/>
      <c r="E41" s="283"/>
      <c r="F41" s="283"/>
      <c r="G41" s="283"/>
      <c r="H41" s="283"/>
      <c r="I41" s="283"/>
      <c r="J41" s="283"/>
      <c r="K41" s="284"/>
      <c r="L41" s="285"/>
      <c r="M41" s="286"/>
      <c r="N41" s="286"/>
      <c r="O41" s="286"/>
      <c r="P41" s="286"/>
      <c r="Q41" s="286"/>
      <c r="R41" s="286"/>
      <c r="S41" s="286"/>
      <c r="T41" s="286"/>
      <c r="U41" s="286"/>
      <c r="V41" s="286"/>
      <c r="W41" s="286"/>
      <c r="X41" s="287"/>
      <c r="Y41" s="195"/>
      <c r="Z41" s="195"/>
      <c r="AA41" s="195"/>
      <c r="AB41" s="195"/>
      <c r="AC41" s="195"/>
      <c r="AD41" s="195"/>
      <c r="AE41" s="195"/>
      <c r="AF41" s="195"/>
      <c r="AG41" s="195"/>
      <c r="AH41" s="204"/>
      <c r="AI41" s="205"/>
      <c r="AJ41" s="205"/>
      <c r="AK41" s="205"/>
      <c r="AL41" s="205"/>
      <c r="AM41" s="205"/>
      <c r="AN41" s="205"/>
      <c r="AO41" s="205"/>
      <c r="AP41" s="205"/>
      <c r="AQ41" s="205"/>
      <c r="AR41" s="206"/>
      <c r="AV41" s="112"/>
      <c r="AX41" s="113" t="s">
        <v>271</v>
      </c>
      <c r="AY41" s="111"/>
      <c r="AZ41" s="111"/>
      <c r="BA41" s="111"/>
      <c r="BB41" s="111"/>
      <c r="BC41" s="111"/>
      <c r="BD41" s="111"/>
      <c r="BE41" s="111"/>
      <c r="BF41" s="111"/>
      <c r="BG41" s="111"/>
      <c r="BH41" s="111"/>
      <c r="BI41" s="111"/>
      <c r="BJ41" s="111"/>
      <c r="BK41" s="111"/>
      <c r="BL41" s="111"/>
      <c r="BM41" s="111"/>
      <c r="BN41" s="111"/>
      <c r="BO41" s="111"/>
      <c r="BP41" s="111"/>
      <c r="BQ41" s="101"/>
    </row>
    <row r="42" spans="1:70" ht="20.100000000000001" customHeight="1">
      <c r="A42" s="280"/>
      <c r="B42" s="294"/>
      <c r="C42" s="295"/>
      <c r="D42" s="295"/>
      <c r="E42" s="295"/>
      <c r="F42" s="295"/>
      <c r="G42" s="295"/>
      <c r="H42" s="295"/>
      <c r="I42" s="295"/>
      <c r="J42" s="295"/>
      <c r="K42" s="296"/>
      <c r="L42" s="288"/>
      <c r="M42" s="289"/>
      <c r="N42" s="289"/>
      <c r="O42" s="289"/>
      <c r="P42" s="289"/>
      <c r="Q42" s="289"/>
      <c r="R42" s="289"/>
      <c r="S42" s="289"/>
      <c r="T42" s="289"/>
      <c r="U42" s="289"/>
      <c r="V42" s="289"/>
      <c r="W42" s="289"/>
      <c r="X42" s="290"/>
      <c r="Y42" s="196"/>
      <c r="Z42" s="196"/>
      <c r="AA42" s="196"/>
      <c r="AB42" s="196"/>
      <c r="AC42" s="196"/>
      <c r="AD42" s="196"/>
      <c r="AE42" s="196"/>
      <c r="AF42" s="196"/>
      <c r="AG42" s="196"/>
      <c r="AH42" s="207"/>
      <c r="AI42" s="83"/>
      <c r="AJ42" s="83"/>
      <c r="AK42" s="83"/>
      <c r="AL42" s="83"/>
      <c r="AM42" s="83"/>
      <c r="AN42" s="83"/>
      <c r="AO42" s="83"/>
      <c r="AP42" s="83"/>
      <c r="AQ42" s="83"/>
      <c r="AR42" s="208"/>
      <c r="AV42" s="112"/>
      <c r="AX42" s="113" t="s">
        <v>272</v>
      </c>
      <c r="AY42" s="111"/>
      <c r="AZ42" s="111"/>
      <c r="BA42" s="111"/>
      <c r="BB42" s="111"/>
      <c r="BC42" s="111"/>
      <c r="BD42" s="111"/>
      <c r="BE42" s="111"/>
      <c r="BF42" s="111"/>
      <c r="BG42" s="111"/>
      <c r="BH42" s="111"/>
      <c r="BI42" s="111"/>
      <c r="BJ42" s="111"/>
      <c r="BK42" s="111"/>
      <c r="BL42" s="111"/>
      <c r="BM42" s="111"/>
      <c r="BN42" s="111"/>
      <c r="BO42" s="111"/>
      <c r="BP42" s="111"/>
      <c r="BQ42" s="102"/>
    </row>
    <row r="43" spans="1:70" ht="20.100000000000001" customHeight="1">
      <c r="A43" s="280"/>
      <c r="B43" s="297"/>
      <c r="C43" s="298"/>
      <c r="D43" s="298"/>
      <c r="E43" s="298"/>
      <c r="F43" s="298"/>
      <c r="G43" s="298"/>
      <c r="H43" s="298"/>
      <c r="I43" s="298"/>
      <c r="J43" s="298"/>
      <c r="K43" s="299"/>
      <c r="L43" s="288"/>
      <c r="M43" s="289"/>
      <c r="N43" s="289"/>
      <c r="O43" s="289"/>
      <c r="P43" s="289"/>
      <c r="Q43" s="289"/>
      <c r="R43" s="289"/>
      <c r="S43" s="289"/>
      <c r="T43" s="289"/>
      <c r="U43" s="289"/>
      <c r="V43" s="289"/>
      <c r="W43" s="289"/>
      <c r="X43" s="290"/>
      <c r="Y43" s="196"/>
      <c r="Z43" s="196"/>
      <c r="AA43" s="196"/>
      <c r="AB43" s="196"/>
      <c r="AC43" s="196"/>
      <c r="AD43" s="196"/>
      <c r="AE43" s="196"/>
      <c r="AF43" s="196"/>
      <c r="AG43" s="196"/>
      <c r="AH43" s="207"/>
      <c r="AI43" s="83"/>
      <c r="AJ43" s="83"/>
      <c r="AK43" s="83"/>
      <c r="AL43" s="83"/>
      <c r="AM43" s="83"/>
      <c r="AN43" s="83"/>
      <c r="AO43" s="83"/>
      <c r="AP43" s="83"/>
      <c r="AQ43" s="83"/>
      <c r="AR43" s="208"/>
      <c r="AV43" s="112"/>
      <c r="AW43" s="111"/>
      <c r="AX43" s="111"/>
      <c r="AY43" s="111"/>
      <c r="AZ43" s="111"/>
      <c r="BA43" s="111"/>
      <c r="BB43" s="111"/>
      <c r="BC43" s="111"/>
      <c r="BD43" s="111"/>
      <c r="BE43" s="111"/>
      <c r="BF43" s="111"/>
      <c r="BG43" s="111"/>
      <c r="BH43" s="111"/>
      <c r="BI43" s="111"/>
      <c r="BJ43" s="111"/>
      <c r="BK43" s="111"/>
      <c r="BL43" s="111"/>
      <c r="BM43" s="111"/>
      <c r="BN43" s="111"/>
      <c r="BO43" s="111"/>
      <c r="BP43" s="111"/>
      <c r="BQ43" s="101"/>
    </row>
    <row r="44" spans="1:70" ht="20.100000000000001" customHeight="1">
      <c r="A44" s="280"/>
      <c r="B44" s="297"/>
      <c r="C44" s="298"/>
      <c r="D44" s="298"/>
      <c r="E44" s="298"/>
      <c r="F44" s="298"/>
      <c r="G44" s="298"/>
      <c r="H44" s="298"/>
      <c r="I44" s="298"/>
      <c r="J44" s="298"/>
      <c r="K44" s="299"/>
      <c r="L44" s="288"/>
      <c r="M44" s="289"/>
      <c r="N44" s="289"/>
      <c r="O44" s="289"/>
      <c r="P44" s="289"/>
      <c r="Q44" s="289"/>
      <c r="R44" s="289"/>
      <c r="S44" s="289"/>
      <c r="T44" s="289"/>
      <c r="U44" s="289"/>
      <c r="V44" s="289"/>
      <c r="W44" s="289"/>
      <c r="X44" s="290"/>
      <c r="Y44" s="196"/>
      <c r="Z44" s="196"/>
      <c r="AA44" s="196"/>
      <c r="AB44" s="196"/>
      <c r="AC44" s="196"/>
      <c r="AD44" s="196"/>
      <c r="AE44" s="196"/>
      <c r="AF44" s="196"/>
      <c r="AG44" s="196"/>
      <c r="AH44" s="207"/>
      <c r="AI44" s="83"/>
      <c r="AJ44" s="83"/>
      <c r="AK44" s="83"/>
      <c r="AL44" s="83"/>
      <c r="AM44" s="83"/>
      <c r="AN44" s="83"/>
      <c r="AO44" s="83"/>
      <c r="AP44" s="83"/>
      <c r="AQ44" s="83"/>
      <c r="AR44" s="208"/>
      <c r="AV44" s="114"/>
      <c r="AW44" s="117" t="s">
        <v>273</v>
      </c>
      <c r="AX44" s="111"/>
      <c r="AY44" s="111"/>
      <c r="AZ44" s="111"/>
      <c r="BA44" s="111"/>
      <c r="BB44" s="111"/>
      <c r="BC44" s="111"/>
      <c r="BD44" s="111"/>
      <c r="BE44" s="111"/>
      <c r="BF44" s="111"/>
      <c r="BG44" s="111"/>
      <c r="BH44" s="111"/>
      <c r="BI44" s="111"/>
      <c r="BJ44" s="111"/>
      <c r="BK44" s="111"/>
      <c r="BL44" s="111"/>
      <c r="BM44" s="111"/>
      <c r="BN44" s="111"/>
      <c r="BO44" s="111"/>
      <c r="BP44" s="111"/>
      <c r="BQ44" s="101"/>
    </row>
    <row r="45" spans="1:70" ht="20.100000000000001" customHeight="1">
      <c r="A45" s="280"/>
      <c r="B45" s="297"/>
      <c r="C45" s="298"/>
      <c r="D45" s="298"/>
      <c r="E45" s="298"/>
      <c r="F45" s="298"/>
      <c r="G45" s="298"/>
      <c r="H45" s="298"/>
      <c r="I45" s="298"/>
      <c r="J45" s="298"/>
      <c r="K45" s="299"/>
      <c r="L45" s="288"/>
      <c r="M45" s="289"/>
      <c r="N45" s="289"/>
      <c r="O45" s="289"/>
      <c r="P45" s="289"/>
      <c r="Q45" s="289"/>
      <c r="R45" s="289"/>
      <c r="S45" s="289"/>
      <c r="T45" s="289"/>
      <c r="U45" s="289"/>
      <c r="V45" s="289"/>
      <c r="W45" s="289"/>
      <c r="X45" s="290"/>
      <c r="Y45" s="196"/>
      <c r="Z45" s="196"/>
      <c r="AA45" s="196"/>
      <c r="AB45" s="196"/>
      <c r="AC45" s="196"/>
      <c r="AD45" s="196"/>
      <c r="AE45" s="196"/>
      <c r="AF45" s="196"/>
      <c r="AG45" s="196"/>
      <c r="AH45" s="207"/>
      <c r="AI45" s="83"/>
      <c r="AJ45" s="83"/>
      <c r="AK45" s="83"/>
      <c r="AL45" s="83"/>
      <c r="AM45" s="83"/>
      <c r="AN45" s="83"/>
      <c r="AO45" s="83"/>
      <c r="AP45" s="83"/>
      <c r="AQ45" s="83"/>
      <c r="AR45" s="208"/>
      <c r="AV45" s="112"/>
      <c r="AX45" s="113" t="s">
        <v>274</v>
      </c>
      <c r="AY45" s="111"/>
      <c r="AZ45" s="111"/>
      <c r="BA45" s="111"/>
      <c r="BB45" s="111"/>
      <c r="BC45" s="111"/>
      <c r="BD45" s="111"/>
      <c r="BE45" s="111"/>
      <c r="BF45" s="111"/>
      <c r="BG45" s="111"/>
      <c r="BH45" s="111"/>
      <c r="BI45" s="111"/>
      <c r="BJ45" s="111"/>
      <c r="BK45" s="111"/>
      <c r="BL45" s="111"/>
      <c r="BM45" s="111"/>
      <c r="BN45" s="111"/>
      <c r="BO45" s="111"/>
      <c r="BP45" s="111"/>
      <c r="BQ45" s="101"/>
    </row>
    <row r="46" spans="1:70" ht="20.100000000000001" customHeight="1">
      <c r="A46" s="280"/>
      <c r="B46" s="297"/>
      <c r="C46" s="298"/>
      <c r="D46" s="298"/>
      <c r="E46" s="298"/>
      <c r="F46" s="298"/>
      <c r="G46" s="298"/>
      <c r="H46" s="298"/>
      <c r="I46" s="298"/>
      <c r="J46" s="298"/>
      <c r="K46" s="299"/>
      <c r="L46" s="288"/>
      <c r="M46" s="289"/>
      <c r="N46" s="289"/>
      <c r="O46" s="289"/>
      <c r="P46" s="289"/>
      <c r="Q46" s="289"/>
      <c r="R46" s="289"/>
      <c r="S46" s="289"/>
      <c r="T46" s="289"/>
      <c r="U46" s="289"/>
      <c r="V46" s="289"/>
      <c r="W46" s="289"/>
      <c r="X46" s="290"/>
      <c r="Y46" s="196"/>
      <c r="Z46" s="196"/>
      <c r="AA46" s="196"/>
      <c r="AB46" s="196"/>
      <c r="AC46" s="196"/>
      <c r="AD46" s="196"/>
      <c r="AE46" s="196"/>
      <c r="AF46" s="196"/>
      <c r="AG46" s="196"/>
      <c r="AH46" s="207"/>
      <c r="AI46" s="83"/>
      <c r="AJ46" s="83"/>
      <c r="AK46" s="83"/>
      <c r="AL46" s="83"/>
      <c r="AM46" s="83"/>
      <c r="AN46" s="83"/>
      <c r="AO46" s="83"/>
      <c r="AP46" s="83"/>
      <c r="AQ46" s="83"/>
      <c r="AR46" s="208"/>
      <c r="AV46" s="112"/>
      <c r="AX46" s="113" t="s">
        <v>275</v>
      </c>
      <c r="AY46" s="111"/>
      <c r="AZ46" s="111"/>
      <c r="BA46" s="111"/>
      <c r="BB46" s="111"/>
      <c r="BC46" s="111"/>
      <c r="BD46" s="111"/>
      <c r="BE46" s="111"/>
      <c r="BF46" s="111"/>
      <c r="BG46" s="111"/>
      <c r="BH46" s="111"/>
      <c r="BI46" s="111"/>
      <c r="BJ46" s="111"/>
      <c r="BK46" s="111"/>
      <c r="BL46" s="111"/>
      <c r="BM46" s="111"/>
      <c r="BN46" s="111"/>
      <c r="BO46" s="111"/>
      <c r="BP46" s="111"/>
      <c r="BQ46" s="101"/>
    </row>
    <row r="47" spans="1:70" ht="20.100000000000001" customHeight="1">
      <c r="A47" s="281"/>
      <c r="B47" s="300"/>
      <c r="C47" s="301"/>
      <c r="D47" s="301"/>
      <c r="E47" s="301"/>
      <c r="F47" s="301"/>
      <c r="G47" s="301"/>
      <c r="H47" s="301"/>
      <c r="I47" s="301"/>
      <c r="J47" s="301"/>
      <c r="K47" s="302"/>
      <c r="L47" s="291"/>
      <c r="M47" s="292"/>
      <c r="N47" s="292"/>
      <c r="O47" s="292"/>
      <c r="P47" s="292"/>
      <c r="Q47" s="292"/>
      <c r="R47" s="292"/>
      <c r="S47" s="292"/>
      <c r="T47" s="292"/>
      <c r="U47" s="292"/>
      <c r="V47" s="292"/>
      <c r="W47" s="292"/>
      <c r="X47" s="293"/>
      <c r="Y47" s="198"/>
      <c r="Z47" s="198"/>
      <c r="AA47" s="198"/>
      <c r="AB47" s="198"/>
      <c r="AC47" s="198"/>
      <c r="AD47" s="198"/>
      <c r="AE47" s="198"/>
      <c r="AF47" s="198"/>
      <c r="AG47" s="198"/>
      <c r="AH47" s="209"/>
      <c r="AI47" s="210"/>
      <c r="AJ47" s="210"/>
      <c r="AK47" s="210"/>
      <c r="AL47" s="210"/>
      <c r="AM47" s="210"/>
      <c r="AN47" s="210"/>
      <c r="AO47" s="210"/>
      <c r="AP47" s="210"/>
      <c r="AQ47" s="210"/>
      <c r="AR47" s="211"/>
      <c r="AV47" s="112"/>
      <c r="AW47" s="111"/>
      <c r="AX47" s="111"/>
      <c r="AY47" s="111"/>
      <c r="AZ47" s="111"/>
      <c r="BA47" s="111"/>
      <c r="BB47" s="111"/>
      <c r="BC47" s="111"/>
      <c r="BD47" s="111"/>
      <c r="BE47" s="111"/>
      <c r="BF47" s="111"/>
      <c r="BG47" s="111"/>
      <c r="BH47" s="111"/>
      <c r="BI47" s="111"/>
      <c r="BJ47" s="111"/>
      <c r="BK47" s="111"/>
      <c r="BL47" s="111"/>
      <c r="BM47" s="111"/>
      <c r="BN47" s="111"/>
      <c r="BO47" s="111"/>
      <c r="BP47" s="111"/>
      <c r="BQ47" s="101"/>
    </row>
    <row r="48" spans="1:70" ht="20.100000000000001" customHeight="1">
      <c r="A48" s="279">
        <v>2</v>
      </c>
      <c r="B48" s="282" t="s">
        <v>209</v>
      </c>
      <c r="C48" s="283"/>
      <c r="D48" s="283"/>
      <c r="E48" s="283"/>
      <c r="F48" s="283"/>
      <c r="G48" s="283"/>
      <c r="H48" s="283"/>
      <c r="I48" s="283"/>
      <c r="J48" s="283"/>
      <c r="K48" s="284"/>
      <c r="L48" s="285"/>
      <c r="M48" s="286"/>
      <c r="N48" s="286"/>
      <c r="O48" s="286"/>
      <c r="P48" s="286"/>
      <c r="Q48" s="286"/>
      <c r="R48" s="286"/>
      <c r="S48" s="286"/>
      <c r="T48" s="286"/>
      <c r="U48" s="286"/>
      <c r="V48" s="286"/>
      <c r="W48" s="286"/>
      <c r="X48" s="287"/>
      <c r="Y48" s="195"/>
      <c r="Z48" s="195"/>
      <c r="AA48" s="195"/>
      <c r="AB48" s="195"/>
      <c r="AC48" s="195"/>
      <c r="AD48" s="195"/>
      <c r="AE48" s="195"/>
      <c r="AF48" s="195"/>
      <c r="AG48" s="195"/>
      <c r="AH48" s="204"/>
      <c r="AI48" s="205"/>
      <c r="AJ48" s="205"/>
      <c r="AK48" s="205"/>
      <c r="AL48" s="205"/>
      <c r="AM48" s="205"/>
      <c r="AN48" s="205"/>
      <c r="AO48" s="205"/>
      <c r="AP48" s="205"/>
      <c r="AQ48" s="205"/>
      <c r="AR48" s="206"/>
      <c r="AV48" s="112"/>
      <c r="AW48" s="193" t="s">
        <v>276</v>
      </c>
      <c r="AX48" s="93"/>
      <c r="AY48" s="93"/>
      <c r="AZ48" s="93"/>
      <c r="BA48" s="93"/>
      <c r="BB48" s="93"/>
      <c r="BC48" s="93"/>
      <c r="BD48" s="93"/>
      <c r="BE48" s="93"/>
      <c r="BF48" s="94"/>
      <c r="BG48" s="94"/>
      <c r="BH48" s="94"/>
      <c r="BI48" s="94"/>
      <c r="BJ48" s="111"/>
      <c r="BK48" s="111"/>
      <c r="BL48" s="111"/>
      <c r="BM48" s="111"/>
      <c r="BN48" s="111"/>
      <c r="BO48" s="111"/>
      <c r="BP48" s="111"/>
      <c r="BQ48" s="101"/>
    </row>
    <row r="49" spans="1:69" ht="20.100000000000001" customHeight="1">
      <c r="A49" s="280"/>
      <c r="B49" s="294"/>
      <c r="C49" s="295"/>
      <c r="D49" s="295"/>
      <c r="E49" s="295"/>
      <c r="F49" s="295"/>
      <c r="G49" s="295"/>
      <c r="H49" s="295"/>
      <c r="I49" s="295"/>
      <c r="J49" s="295"/>
      <c r="K49" s="296"/>
      <c r="L49" s="288"/>
      <c r="M49" s="289"/>
      <c r="N49" s="289"/>
      <c r="O49" s="289"/>
      <c r="P49" s="289"/>
      <c r="Q49" s="289"/>
      <c r="R49" s="289"/>
      <c r="S49" s="289"/>
      <c r="T49" s="289"/>
      <c r="U49" s="289"/>
      <c r="V49" s="289"/>
      <c r="W49" s="289"/>
      <c r="X49" s="290"/>
      <c r="Y49" s="196"/>
      <c r="Z49" s="196"/>
      <c r="AA49" s="196"/>
      <c r="AB49" s="196"/>
      <c r="AC49" s="196"/>
      <c r="AD49" s="196"/>
      <c r="AE49" s="196"/>
      <c r="AF49" s="196"/>
      <c r="AG49" s="196"/>
      <c r="AH49" s="207"/>
      <c r="AI49" s="83"/>
      <c r="AJ49" s="83"/>
      <c r="AK49" s="83"/>
      <c r="AL49" s="83"/>
      <c r="AM49" s="83"/>
      <c r="AN49" s="83"/>
      <c r="AO49" s="83"/>
      <c r="AP49" s="83"/>
      <c r="AQ49" s="83"/>
      <c r="AR49" s="208"/>
      <c r="AV49" s="118"/>
      <c r="AW49" s="95"/>
      <c r="AX49" s="116" t="s">
        <v>277</v>
      </c>
      <c r="AY49" s="95"/>
      <c r="AZ49" s="96"/>
      <c r="BA49" s="96"/>
      <c r="BB49" s="96"/>
      <c r="BC49" s="96"/>
      <c r="BD49" s="96"/>
      <c r="BE49" s="96"/>
      <c r="BF49" s="96"/>
      <c r="BG49" s="96"/>
      <c r="BH49" s="96"/>
      <c r="BI49" s="96"/>
      <c r="BJ49" s="94"/>
      <c r="BK49" s="94"/>
      <c r="BL49" s="92"/>
      <c r="BM49" s="92"/>
      <c r="BN49" s="92"/>
      <c r="BO49" s="92"/>
      <c r="BQ49" s="101"/>
    </row>
    <row r="50" spans="1:69" ht="20.100000000000001" customHeight="1">
      <c r="A50" s="280"/>
      <c r="B50" s="297"/>
      <c r="C50" s="298"/>
      <c r="D50" s="298"/>
      <c r="E50" s="298"/>
      <c r="F50" s="298"/>
      <c r="G50" s="298"/>
      <c r="H50" s="298"/>
      <c r="I50" s="298"/>
      <c r="J50" s="298"/>
      <c r="K50" s="299"/>
      <c r="L50" s="288"/>
      <c r="M50" s="289"/>
      <c r="N50" s="289"/>
      <c r="O50" s="289"/>
      <c r="P50" s="289"/>
      <c r="Q50" s="289"/>
      <c r="R50" s="289"/>
      <c r="S50" s="289"/>
      <c r="T50" s="289"/>
      <c r="U50" s="289"/>
      <c r="V50" s="289"/>
      <c r="W50" s="289"/>
      <c r="X50" s="290"/>
      <c r="Y50" s="196"/>
      <c r="Z50" s="196"/>
      <c r="AA50" s="196"/>
      <c r="AB50" s="196"/>
      <c r="AC50" s="196"/>
      <c r="AD50" s="196"/>
      <c r="AE50" s="196"/>
      <c r="AF50" s="196"/>
      <c r="AG50" s="196"/>
      <c r="AH50" s="207"/>
      <c r="AI50" s="83"/>
      <c r="AJ50" s="83"/>
      <c r="AK50" s="83"/>
      <c r="AL50" s="83"/>
      <c r="AM50" s="83"/>
      <c r="AN50" s="83"/>
      <c r="AO50" s="83"/>
      <c r="AP50" s="83"/>
      <c r="AQ50" s="83"/>
      <c r="AR50" s="208"/>
      <c r="AV50" s="100"/>
      <c r="AW50" s="85"/>
      <c r="AX50" s="85"/>
      <c r="AY50" s="1" t="s">
        <v>278</v>
      </c>
      <c r="AZ50" s="96"/>
      <c r="BA50" s="96"/>
      <c r="BB50" s="96"/>
      <c r="BC50" s="96"/>
      <c r="BD50" s="96"/>
      <c r="BE50" s="96"/>
      <c r="BF50" s="96"/>
      <c r="BG50" s="96"/>
      <c r="BH50" s="96"/>
      <c r="BI50" s="96"/>
      <c r="BJ50" s="96"/>
      <c r="BK50" s="96"/>
      <c r="BL50" s="96"/>
      <c r="BM50" s="96"/>
      <c r="BN50" s="96"/>
      <c r="BO50" s="96"/>
      <c r="BP50" s="96"/>
      <c r="BQ50" s="101"/>
    </row>
    <row r="51" spans="1:69" ht="20.100000000000001" customHeight="1">
      <c r="A51" s="280"/>
      <c r="B51" s="297"/>
      <c r="C51" s="298"/>
      <c r="D51" s="298"/>
      <c r="E51" s="298"/>
      <c r="F51" s="298"/>
      <c r="G51" s="298"/>
      <c r="H51" s="298"/>
      <c r="I51" s="298"/>
      <c r="J51" s="298"/>
      <c r="K51" s="299"/>
      <c r="L51" s="288"/>
      <c r="M51" s="289"/>
      <c r="N51" s="289"/>
      <c r="O51" s="289"/>
      <c r="P51" s="289"/>
      <c r="Q51" s="289"/>
      <c r="R51" s="289"/>
      <c r="S51" s="289"/>
      <c r="T51" s="289"/>
      <c r="U51" s="289"/>
      <c r="V51" s="289"/>
      <c r="W51" s="289"/>
      <c r="X51" s="290"/>
      <c r="Y51" s="196"/>
      <c r="Z51" s="196"/>
      <c r="AA51" s="196"/>
      <c r="AB51" s="196"/>
      <c r="AC51" s="196"/>
      <c r="AD51" s="196"/>
      <c r="AE51" s="196"/>
      <c r="AF51" s="196"/>
      <c r="AG51" s="196"/>
      <c r="AH51" s="207"/>
      <c r="AI51" s="83"/>
      <c r="AJ51" s="83"/>
      <c r="AK51" s="83"/>
      <c r="AL51" s="83"/>
      <c r="AM51" s="83"/>
      <c r="AN51" s="83"/>
      <c r="AO51" s="83"/>
      <c r="AP51" s="83"/>
      <c r="AQ51" s="83"/>
      <c r="AR51" s="208"/>
      <c r="AV51" s="122"/>
      <c r="AX51" s="116" t="s">
        <v>279</v>
      </c>
      <c r="AY51" s="1"/>
      <c r="AZ51" s="96"/>
      <c r="BA51" s="96"/>
      <c r="BB51" s="96"/>
      <c r="BC51" s="96"/>
      <c r="BD51" s="96"/>
      <c r="BE51" s="96"/>
      <c r="BF51" s="96"/>
      <c r="BG51" s="96"/>
      <c r="BH51" s="96"/>
      <c r="BI51" s="96"/>
      <c r="BJ51" s="96"/>
      <c r="BK51" s="96"/>
      <c r="BL51" s="96"/>
      <c r="BM51" s="96"/>
      <c r="BN51" s="96"/>
      <c r="BO51" s="96"/>
      <c r="BP51" s="96"/>
      <c r="BQ51" s="101"/>
    </row>
    <row r="52" spans="1:69" ht="20.100000000000001" customHeight="1">
      <c r="A52" s="280"/>
      <c r="B52" s="297"/>
      <c r="C52" s="298"/>
      <c r="D52" s="298"/>
      <c r="E52" s="298"/>
      <c r="F52" s="298"/>
      <c r="G52" s="298"/>
      <c r="H52" s="298"/>
      <c r="I52" s="298"/>
      <c r="J52" s="298"/>
      <c r="K52" s="299"/>
      <c r="L52" s="288"/>
      <c r="M52" s="289"/>
      <c r="N52" s="289"/>
      <c r="O52" s="289"/>
      <c r="P52" s="289"/>
      <c r="Q52" s="289"/>
      <c r="R52" s="289"/>
      <c r="S52" s="289"/>
      <c r="T52" s="289"/>
      <c r="U52" s="289"/>
      <c r="V52" s="289"/>
      <c r="W52" s="289"/>
      <c r="X52" s="290"/>
      <c r="Y52" s="196"/>
      <c r="Z52" s="196"/>
      <c r="AA52" s="196"/>
      <c r="AB52" s="196"/>
      <c r="AC52" s="196"/>
      <c r="AD52" s="196"/>
      <c r="AE52" s="196"/>
      <c r="AF52" s="196"/>
      <c r="AG52" s="196"/>
      <c r="AH52" s="207"/>
      <c r="AI52" s="83"/>
      <c r="AJ52" s="83"/>
      <c r="AK52" s="83"/>
      <c r="AL52" s="83"/>
      <c r="AM52" s="83"/>
      <c r="AN52" s="83"/>
      <c r="AO52" s="83"/>
      <c r="AP52" s="83"/>
      <c r="AQ52" s="83"/>
      <c r="AR52" s="208"/>
      <c r="AV52" s="100"/>
      <c r="AY52" s="85" t="s">
        <v>280</v>
      </c>
      <c r="BJ52" s="96"/>
      <c r="BK52" s="96"/>
      <c r="BL52" s="96"/>
      <c r="BM52" s="96"/>
      <c r="BN52" s="96"/>
      <c r="BO52" s="96"/>
      <c r="BP52" s="96"/>
      <c r="BQ52" s="101"/>
    </row>
    <row r="53" spans="1:69" ht="20.100000000000001" customHeight="1">
      <c r="A53" s="280"/>
      <c r="B53" s="297"/>
      <c r="C53" s="298"/>
      <c r="D53" s="298"/>
      <c r="E53" s="298"/>
      <c r="F53" s="298"/>
      <c r="G53" s="298"/>
      <c r="H53" s="298"/>
      <c r="I53" s="298"/>
      <c r="J53" s="298"/>
      <c r="K53" s="299"/>
      <c r="L53" s="288"/>
      <c r="M53" s="289"/>
      <c r="N53" s="289"/>
      <c r="O53" s="289"/>
      <c r="P53" s="289"/>
      <c r="Q53" s="289"/>
      <c r="R53" s="289"/>
      <c r="S53" s="289"/>
      <c r="T53" s="289"/>
      <c r="U53" s="289"/>
      <c r="V53" s="289"/>
      <c r="W53" s="289"/>
      <c r="X53" s="290"/>
      <c r="Y53" s="196"/>
      <c r="Z53" s="196"/>
      <c r="AA53" s="196"/>
      <c r="AB53" s="196"/>
      <c r="AC53" s="196"/>
      <c r="AD53" s="196"/>
      <c r="AE53" s="196"/>
      <c r="AF53" s="196"/>
      <c r="AG53" s="196"/>
      <c r="AH53" s="207"/>
      <c r="AI53" s="83"/>
      <c r="AJ53" s="83"/>
      <c r="AK53" s="83"/>
      <c r="AL53" s="83"/>
      <c r="AM53" s="83"/>
      <c r="AN53" s="83"/>
      <c r="AO53" s="83"/>
      <c r="AP53" s="83"/>
      <c r="AQ53" s="83"/>
      <c r="AR53" s="208"/>
      <c r="AV53" s="104"/>
      <c r="AW53" s="105"/>
      <c r="AX53" s="105"/>
      <c r="AY53" s="105"/>
      <c r="AZ53" s="115"/>
      <c r="BA53" s="115"/>
      <c r="BB53" s="115"/>
      <c r="BC53" s="115"/>
      <c r="BD53" s="115"/>
      <c r="BE53" s="115"/>
      <c r="BF53" s="115"/>
      <c r="BG53" s="115"/>
      <c r="BH53" s="115"/>
      <c r="BI53" s="115"/>
      <c r="BJ53" s="115"/>
      <c r="BK53" s="115"/>
      <c r="BL53" s="115"/>
      <c r="BM53" s="115"/>
      <c r="BN53" s="115"/>
      <c r="BO53" s="115"/>
      <c r="BP53" s="115"/>
      <c r="BQ53" s="106"/>
    </row>
    <row r="54" spans="1:69" ht="20.100000000000001" customHeight="1" thickBot="1">
      <c r="A54" s="303"/>
      <c r="B54" s="307"/>
      <c r="C54" s="308"/>
      <c r="D54" s="308"/>
      <c r="E54" s="308"/>
      <c r="F54" s="308"/>
      <c r="G54" s="308"/>
      <c r="H54" s="308"/>
      <c r="I54" s="308"/>
      <c r="J54" s="308"/>
      <c r="K54" s="309"/>
      <c r="L54" s="304"/>
      <c r="M54" s="305"/>
      <c r="N54" s="305"/>
      <c r="O54" s="305"/>
      <c r="P54" s="305"/>
      <c r="Q54" s="305"/>
      <c r="R54" s="305"/>
      <c r="S54" s="305"/>
      <c r="T54" s="305"/>
      <c r="U54" s="305"/>
      <c r="V54" s="305"/>
      <c r="W54" s="305"/>
      <c r="X54" s="306"/>
      <c r="Y54" s="197"/>
      <c r="Z54" s="197"/>
      <c r="AA54" s="197"/>
      <c r="AB54" s="197"/>
      <c r="AC54" s="197"/>
      <c r="AD54" s="197"/>
      <c r="AE54" s="197"/>
      <c r="AF54" s="197"/>
      <c r="AG54" s="197"/>
      <c r="AH54" s="212"/>
      <c r="AI54" s="213"/>
      <c r="AJ54" s="213"/>
      <c r="AK54" s="213"/>
      <c r="AL54" s="213"/>
      <c r="AM54" s="213"/>
      <c r="AN54" s="213"/>
      <c r="AO54" s="213"/>
      <c r="AP54" s="213"/>
      <c r="AQ54" s="213"/>
      <c r="AR54" s="214"/>
    </row>
    <row r="55" spans="1:69" ht="20.100000000000001" customHeight="1"/>
  </sheetData>
  <mergeCells count="156">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Q7:Y8"/>
    <mergeCell ref="BG9:BH9"/>
    <mergeCell ref="BI9:BJ9"/>
    <mergeCell ref="BK9:BL9"/>
    <mergeCell ref="R10:Y10"/>
    <mergeCell ref="AQ10:AR12"/>
    <mergeCell ref="AX10:BF10"/>
    <mergeCell ref="BG10:BH10"/>
    <mergeCell ref="AV5:BD6"/>
    <mergeCell ref="A6:A8"/>
    <mergeCell ref="B6:G6"/>
    <mergeCell ref="H6:P6"/>
    <mergeCell ref="Q6:Y6"/>
    <mergeCell ref="Z6:Z8"/>
    <mergeCell ref="AA6:AH6"/>
    <mergeCell ref="AI6:AP6"/>
    <mergeCell ref="B7:G8"/>
    <mergeCell ref="H7:P8"/>
    <mergeCell ref="AA7:AH8"/>
    <mergeCell ref="AI7:AP8"/>
    <mergeCell ref="BK12:BL12"/>
    <mergeCell ref="B13:G13"/>
    <mergeCell ref="R13:Y13"/>
    <mergeCell ref="AQ13:AR13"/>
    <mergeCell ref="AX13:BF13"/>
    <mergeCell ref="BG13:BH13"/>
    <mergeCell ref="B10:G12"/>
    <mergeCell ref="BG8:BL8"/>
    <mergeCell ref="A9:A16"/>
    <mergeCell ref="B9:G9"/>
    <mergeCell ref="H9:P16"/>
    <mergeCell ref="R9:Y9"/>
    <mergeCell ref="Z9:Z16"/>
    <mergeCell ref="AA9:AH16"/>
    <mergeCell ref="AI9:AP16"/>
    <mergeCell ref="BI10:BJ10"/>
    <mergeCell ref="BK10:BL10"/>
    <mergeCell ref="R11:Y11"/>
    <mergeCell ref="AX11:BF11"/>
    <mergeCell ref="BG11:BH11"/>
    <mergeCell ref="BI11:BJ11"/>
    <mergeCell ref="BK11:BL11"/>
    <mergeCell ref="AQ9:AR9"/>
    <mergeCell ref="AX9:BF9"/>
    <mergeCell ref="BK13:BL13"/>
    <mergeCell ref="R20:Y20"/>
    <mergeCell ref="B21:G21"/>
    <mergeCell ref="R21:Y21"/>
    <mergeCell ref="AX15:BF15"/>
    <mergeCell ref="BG15:BH15"/>
    <mergeCell ref="BI15:BJ15"/>
    <mergeCell ref="R12:Y12"/>
    <mergeCell ref="AX12:BF12"/>
    <mergeCell ref="BG12:BH12"/>
    <mergeCell ref="BI12:BJ12"/>
    <mergeCell ref="BI13:BJ13"/>
    <mergeCell ref="B14:G16"/>
    <mergeCell ref="R14:Y14"/>
    <mergeCell ref="AQ14:AR16"/>
    <mergeCell ref="AX14:BF14"/>
    <mergeCell ref="BG14:BH14"/>
    <mergeCell ref="BI14:BJ14"/>
    <mergeCell ref="R18:Y18"/>
    <mergeCell ref="AQ18:AR20"/>
    <mergeCell ref="AW18:AY18"/>
    <mergeCell ref="AZ18:BH18"/>
    <mergeCell ref="BI18:BP18"/>
    <mergeCell ref="AW19:AY20"/>
    <mergeCell ref="AZ19:BH20"/>
    <mergeCell ref="BK14:BL14"/>
    <mergeCell ref="R15:Y15"/>
    <mergeCell ref="BK15:BL15"/>
    <mergeCell ref="B22:G24"/>
    <mergeCell ref="R22:Y22"/>
    <mergeCell ref="AQ22:AR24"/>
    <mergeCell ref="R23:Y23"/>
    <mergeCell ref="AW23:AY24"/>
    <mergeCell ref="AZ23:BH24"/>
    <mergeCell ref="BI23:BP24"/>
    <mergeCell ref="R24:Y24"/>
    <mergeCell ref="AQ21:AR21"/>
    <mergeCell ref="AW21:AY22"/>
    <mergeCell ref="R16:Y16"/>
    <mergeCell ref="AA17:AH24"/>
    <mergeCell ref="AI17:AP24"/>
    <mergeCell ref="AQ17:AR17"/>
    <mergeCell ref="AZ21:BH22"/>
    <mergeCell ref="BI21:BP22"/>
    <mergeCell ref="B17:G17"/>
    <mergeCell ref="H17:P24"/>
    <mergeCell ref="R17:Y17"/>
    <mergeCell ref="Z17:Z24"/>
    <mergeCell ref="B18:G20"/>
    <mergeCell ref="BI19:BP20"/>
    <mergeCell ref="A35:E35"/>
    <mergeCell ref="F35:K35"/>
    <mergeCell ref="L35:AG35"/>
    <mergeCell ref="AA25:AH32"/>
    <mergeCell ref="AI25:AP32"/>
    <mergeCell ref="AQ25:AR25"/>
    <mergeCell ref="B26:G28"/>
    <mergeCell ref="R26:Y26"/>
    <mergeCell ref="AQ26:AR28"/>
    <mergeCell ref="R28:Y28"/>
    <mergeCell ref="B29:G29"/>
    <mergeCell ref="R29:Y29"/>
    <mergeCell ref="AQ29:AR29"/>
    <mergeCell ref="A25:A32"/>
    <mergeCell ref="B25:G25"/>
    <mergeCell ref="H25:P32"/>
    <mergeCell ref="R25:Y25"/>
    <mergeCell ref="A17:A24"/>
    <mergeCell ref="Z25:Z32"/>
    <mergeCell ref="B30:G32"/>
    <mergeCell ref="R30:Y30"/>
    <mergeCell ref="AQ30:AR32"/>
    <mergeCell ref="R31:Y31"/>
    <mergeCell ref="R32:Y32"/>
    <mergeCell ref="Y37:AG37"/>
    <mergeCell ref="AH37:AR37"/>
    <mergeCell ref="A38:A40"/>
    <mergeCell ref="B38:K40"/>
    <mergeCell ref="L38:X38"/>
    <mergeCell ref="Y38:AG38"/>
    <mergeCell ref="AH38:AR38"/>
    <mergeCell ref="L39:X40"/>
    <mergeCell ref="Y39:AG40"/>
    <mergeCell ref="AH39:AR40"/>
    <mergeCell ref="AQ33:AR33"/>
    <mergeCell ref="A41:A47"/>
    <mergeCell ref="B41:K41"/>
    <mergeCell ref="L41:X47"/>
    <mergeCell ref="B42:K47"/>
    <mergeCell ref="A48:A54"/>
    <mergeCell ref="B48:K48"/>
    <mergeCell ref="L48:X54"/>
    <mergeCell ref="B49:K54"/>
    <mergeCell ref="A37:X37"/>
  </mergeCells>
  <phoneticPr fontId="2"/>
  <dataValidations count="2">
    <dataValidation type="list" allowBlank="1" showInputMessage="1" showErrorMessage="1" sqref="AB1:AI1" xr:uid="{BD2703B1-6878-44B7-830C-B6542BBAA028}">
      <formula1>"Ｍ３（部長）,Ｍ３（次長）,Ｍ２（Ｍ）,Ｍ１（ＰＭ）,Ｒ４,Ｒ３,Ｒ２,Ｒ１"</formula1>
    </dataValidation>
    <dataValidation type="list" allowBlank="1" showInputMessage="1" showErrorMessage="1" sqref="WJP983044 GQ1:GX1 QM1:QT1 AAI1:AAP1 AKE1:AKL1 AUA1:AUH1 BDW1:BED1 BNS1:BNZ1 BXO1:BXV1 CHK1:CHR1 CRG1:CRN1 DBC1:DBJ1 DKY1:DLF1 DUU1:DVB1 EEQ1:EEX1 EOM1:EOT1 EYI1:EYP1 FIE1:FIL1 FSA1:FSH1 GBW1:GCD1 GLS1:GLZ1 GVO1:GVV1 HFK1:HFR1 HPG1:HPN1 HZC1:HZJ1 IIY1:IJF1 ISU1:ITB1 JCQ1:JCX1 JMM1:JMT1 JWI1:JWP1 KGE1:KGL1 KQA1:KQH1 KZW1:LAD1 LJS1:LJZ1 LTO1:LTV1 MDK1:MDR1 MNG1:MNN1 MXC1:MXJ1 NGY1:NHF1 NQU1:NRB1 OAQ1:OAX1 OKM1:OKT1 OUI1:OUP1 PEE1:PEL1 POA1:POH1 PXW1:PYD1 QHS1:QHZ1 QRO1:QRV1 RBK1:RBR1 RLG1:RLN1 RVC1:RVJ1 SEY1:SFF1 SOU1:SPB1 SYQ1:SYX1 TIM1:TIT1 TSI1:TSP1 UCE1:UCL1 UMA1:UMH1 UVW1:UWD1 VFS1:VFZ1 VPO1:VPV1 VZK1:VZR1 WJG1:WJN1 WTC1:WTJ1 GQ65540:GX65540 QM65540:QT65540 AAI65540:AAP65540 AKE65540:AKL65540 AUA65540:AUH65540 BDW65540:BED65540 BNS65540:BNZ65540 BXO65540:BXV65540 CHK65540:CHR65540 CRG65540:CRN65540 DBC65540:DBJ65540 DKY65540:DLF65540 DUU65540:DVB65540 EEQ65540:EEX65540 EOM65540:EOT65540 EYI65540:EYP65540 FIE65540:FIL65540 FSA65540:FSH65540 GBW65540:GCD65540 GLS65540:GLZ65540 GVO65540:GVV65540 HFK65540:HFR65540 HPG65540:HPN65540 HZC65540:HZJ65540 IIY65540:IJF65540 ISU65540:ITB65540 JCQ65540:JCX65540 JMM65540:JMT65540 JWI65540:JWP65540 KGE65540:KGL65540 KQA65540:KQH65540 KZW65540:LAD65540 LJS65540:LJZ65540 LTO65540:LTV65540 MDK65540:MDR65540 MNG65540:MNN65540 MXC65540:MXJ65540 NGY65540:NHF65540 NQU65540:NRB65540 OAQ65540:OAX65540 OKM65540:OKT65540 OUI65540:OUP65540 PEE65540:PEL65540 POA65540:POH65540 PXW65540:PYD65540 QHS65540:QHZ65540 QRO65540:QRV65540 RBK65540:RBR65540 RLG65540:RLN65540 RVC65540:RVJ65540 SEY65540:SFF65540 SOU65540:SPB65540 SYQ65540:SYX65540 TIM65540:TIT65540 TSI65540:TSP65540 UCE65540:UCL65540 UMA65540:UMH65540 UVW65540:UWD65540 VFS65540:VFZ65540 VPO65540:VPV65540 VZK65540:VZR65540 WJG65540:WJN65540 WTC65540:WTJ65540 GQ131076:GX131076 QM131076:QT131076 AAI131076:AAP131076 AKE131076:AKL131076 AUA131076:AUH131076 BDW131076:BED131076 BNS131076:BNZ131076 BXO131076:BXV131076 CHK131076:CHR131076 CRG131076:CRN131076 DBC131076:DBJ131076 DKY131076:DLF131076 DUU131076:DVB131076 EEQ131076:EEX131076 EOM131076:EOT131076 EYI131076:EYP131076 FIE131076:FIL131076 FSA131076:FSH131076 GBW131076:GCD131076 GLS131076:GLZ131076 GVO131076:GVV131076 HFK131076:HFR131076 HPG131076:HPN131076 HZC131076:HZJ131076 IIY131076:IJF131076 ISU131076:ITB131076 JCQ131076:JCX131076 JMM131076:JMT131076 JWI131076:JWP131076 KGE131076:KGL131076 KQA131076:KQH131076 KZW131076:LAD131076 LJS131076:LJZ131076 LTO131076:LTV131076 MDK131076:MDR131076 MNG131076:MNN131076 MXC131076:MXJ131076 NGY131076:NHF131076 NQU131076:NRB131076 OAQ131076:OAX131076 OKM131076:OKT131076 OUI131076:OUP131076 PEE131076:PEL131076 POA131076:POH131076 PXW131076:PYD131076 QHS131076:QHZ131076 QRO131076:QRV131076 RBK131076:RBR131076 RLG131076:RLN131076 RVC131076:RVJ131076 SEY131076:SFF131076 SOU131076:SPB131076 SYQ131076:SYX131076 TIM131076:TIT131076 TSI131076:TSP131076 UCE131076:UCL131076 UMA131076:UMH131076 UVW131076:UWD131076 VFS131076:VFZ131076 VPO131076:VPV131076 VZK131076:VZR131076 WJG131076:WJN131076 WTC131076:WTJ131076 GQ196612:GX196612 QM196612:QT196612 AAI196612:AAP196612 AKE196612:AKL196612 AUA196612:AUH196612 BDW196612:BED196612 BNS196612:BNZ196612 BXO196612:BXV196612 CHK196612:CHR196612 CRG196612:CRN196612 DBC196612:DBJ196612 DKY196612:DLF196612 DUU196612:DVB196612 EEQ196612:EEX196612 EOM196612:EOT196612 EYI196612:EYP196612 FIE196612:FIL196612 FSA196612:FSH196612 GBW196612:GCD196612 GLS196612:GLZ196612 GVO196612:GVV196612 HFK196612:HFR196612 HPG196612:HPN196612 HZC196612:HZJ196612 IIY196612:IJF196612 ISU196612:ITB196612 JCQ196612:JCX196612 JMM196612:JMT196612 JWI196612:JWP196612 KGE196612:KGL196612 KQA196612:KQH196612 KZW196612:LAD196612 LJS196612:LJZ196612 LTO196612:LTV196612 MDK196612:MDR196612 MNG196612:MNN196612 MXC196612:MXJ196612 NGY196612:NHF196612 NQU196612:NRB196612 OAQ196612:OAX196612 OKM196612:OKT196612 OUI196612:OUP196612 PEE196612:PEL196612 POA196612:POH196612 PXW196612:PYD196612 QHS196612:QHZ196612 QRO196612:QRV196612 RBK196612:RBR196612 RLG196612:RLN196612 RVC196612:RVJ196612 SEY196612:SFF196612 SOU196612:SPB196612 SYQ196612:SYX196612 TIM196612:TIT196612 TSI196612:TSP196612 UCE196612:UCL196612 UMA196612:UMH196612 UVW196612:UWD196612 VFS196612:VFZ196612 VPO196612:VPV196612 VZK196612:VZR196612 WJG196612:WJN196612 WTC196612:WTJ196612 GQ262148:GX262148 QM262148:QT262148 AAI262148:AAP262148 AKE262148:AKL262148 AUA262148:AUH262148 BDW262148:BED262148 BNS262148:BNZ262148 BXO262148:BXV262148 CHK262148:CHR262148 CRG262148:CRN262148 DBC262148:DBJ262148 DKY262148:DLF262148 DUU262148:DVB262148 EEQ262148:EEX262148 EOM262148:EOT262148 EYI262148:EYP262148 FIE262148:FIL262148 FSA262148:FSH262148 GBW262148:GCD262148 GLS262148:GLZ262148 GVO262148:GVV262148 HFK262148:HFR262148 HPG262148:HPN262148 HZC262148:HZJ262148 IIY262148:IJF262148 ISU262148:ITB262148 JCQ262148:JCX262148 JMM262148:JMT262148 JWI262148:JWP262148 KGE262148:KGL262148 KQA262148:KQH262148 KZW262148:LAD262148 LJS262148:LJZ262148 LTO262148:LTV262148 MDK262148:MDR262148 MNG262148:MNN262148 MXC262148:MXJ262148 NGY262148:NHF262148 NQU262148:NRB262148 OAQ262148:OAX262148 OKM262148:OKT262148 OUI262148:OUP262148 PEE262148:PEL262148 POA262148:POH262148 PXW262148:PYD262148 QHS262148:QHZ262148 QRO262148:QRV262148 RBK262148:RBR262148 RLG262148:RLN262148 RVC262148:RVJ262148 SEY262148:SFF262148 SOU262148:SPB262148 SYQ262148:SYX262148 TIM262148:TIT262148 TSI262148:TSP262148 UCE262148:UCL262148 UMA262148:UMH262148 UVW262148:UWD262148 VFS262148:VFZ262148 VPO262148:VPV262148 VZK262148:VZR262148 WJG262148:WJN262148 WTC262148:WTJ262148 GQ327684:GX327684 QM327684:QT327684 AAI327684:AAP327684 AKE327684:AKL327684 AUA327684:AUH327684 BDW327684:BED327684 BNS327684:BNZ327684 BXO327684:BXV327684 CHK327684:CHR327684 CRG327684:CRN327684 DBC327684:DBJ327684 DKY327684:DLF327684 DUU327684:DVB327684 EEQ327684:EEX327684 EOM327684:EOT327684 EYI327684:EYP327684 FIE327684:FIL327684 FSA327684:FSH327684 GBW327684:GCD327684 GLS327684:GLZ327684 GVO327684:GVV327684 HFK327684:HFR327684 HPG327684:HPN327684 HZC327684:HZJ327684 IIY327684:IJF327684 ISU327684:ITB327684 JCQ327684:JCX327684 JMM327684:JMT327684 JWI327684:JWP327684 KGE327684:KGL327684 KQA327684:KQH327684 KZW327684:LAD327684 LJS327684:LJZ327684 LTO327684:LTV327684 MDK327684:MDR327684 MNG327684:MNN327684 MXC327684:MXJ327684 NGY327684:NHF327684 NQU327684:NRB327684 OAQ327684:OAX327684 OKM327684:OKT327684 OUI327684:OUP327684 PEE327684:PEL327684 POA327684:POH327684 PXW327684:PYD327684 QHS327684:QHZ327684 QRO327684:QRV327684 RBK327684:RBR327684 RLG327684:RLN327684 RVC327684:RVJ327684 SEY327684:SFF327684 SOU327684:SPB327684 SYQ327684:SYX327684 TIM327684:TIT327684 TSI327684:TSP327684 UCE327684:UCL327684 UMA327684:UMH327684 UVW327684:UWD327684 VFS327684:VFZ327684 VPO327684:VPV327684 VZK327684:VZR327684 WJG327684:WJN327684 WTC327684:WTJ327684 GQ393220:GX393220 QM393220:QT393220 AAI393220:AAP393220 AKE393220:AKL393220 AUA393220:AUH393220 BDW393220:BED393220 BNS393220:BNZ393220 BXO393220:BXV393220 CHK393220:CHR393220 CRG393220:CRN393220 DBC393220:DBJ393220 DKY393220:DLF393220 DUU393220:DVB393220 EEQ393220:EEX393220 EOM393220:EOT393220 EYI393220:EYP393220 FIE393220:FIL393220 FSA393220:FSH393220 GBW393220:GCD393220 GLS393220:GLZ393220 GVO393220:GVV393220 HFK393220:HFR393220 HPG393220:HPN393220 HZC393220:HZJ393220 IIY393220:IJF393220 ISU393220:ITB393220 JCQ393220:JCX393220 JMM393220:JMT393220 JWI393220:JWP393220 KGE393220:KGL393220 KQA393220:KQH393220 KZW393220:LAD393220 LJS393220:LJZ393220 LTO393220:LTV393220 MDK393220:MDR393220 MNG393220:MNN393220 MXC393220:MXJ393220 NGY393220:NHF393220 NQU393220:NRB393220 OAQ393220:OAX393220 OKM393220:OKT393220 OUI393220:OUP393220 PEE393220:PEL393220 POA393220:POH393220 PXW393220:PYD393220 QHS393220:QHZ393220 QRO393220:QRV393220 RBK393220:RBR393220 RLG393220:RLN393220 RVC393220:RVJ393220 SEY393220:SFF393220 SOU393220:SPB393220 SYQ393220:SYX393220 TIM393220:TIT393220 TSI393220:TSP393220 UCE393220:UCL393220 UMA393220:UMH393220 UVW393220:UWD393220 VFS393220:VFZ393220 VPO393220:VPV393220 VZK393220:VZR393220 WJG393220:WJN393220 WTC393220:WTJ393220 GQ458756:GX458756 QM458756:QT458756 AAI458756:AAP458756 AKE458756:AKL458756 AUA458756:AUH458756 BDW458756:BED458756 BNS458756:BNZ458756 BXO458756:BXV458756 CHK458756:CHR458756 CRG458756:CRN458756 DBC458756:DBJ458756 DKY458756:DLF458756 DUU458756:DVB458756 EEQ458756:EEX458756 EOM458756:EOT458756 EYI458756:EYP458756 FIE458756:FIL458756 FSA458756:FSH458756 GBW458756:GCD458756 GLS458756:GLZ458756 GVO458756:GVV458756 HFK458756:HFR458756 HPG458756:HPN458756 HZC458756:HZJ458756 IIY458756:IJF458756 ISU458756:ITB458756 JCQ458756:JCX458756 JMM458756:JMT458756 JWI458756:JWP458756 KGE458756:KGL458756 KQA458756:KQH458756 KZW458756:LAD458756 LJS458756:LJZ458756 LTO458756:LTV458756 MDK458756:MDR458756 MNG458756:MNN458756 MXC458756:MXJ458756 NGY458756:NHF458756 NQU458756:NRB458756 OAQ458756:OAX458756 OKM458756:OKT458756 OUI458756:OUP458756 PEE458756:PEL458756 POA458756:POH458756 PXW458756:PYD458756 QHS458756:QHZ458756 QRO458756:QRV458756 RBK458756:RBR458756 RLG458756:RLN458756 RVC458756:RVJ458756 SEY458756:SFF458756 SOU458756:SPB458756 SYQ458756:SYX458756 TIM458756:TIT458756 TSI458756:TSP458756 UCE458756:UCL458756 UMA458756:UMH458756 UVW458756:UWD458756 VFS458756:VFZ458756 VPO458756:VPV458756 VZK458756:VZR458756 WJG458756:WJN458756 WTC458756:WTJ458756 GQ524292:GX524292 QM524292:QT524292 AAI524292:AAP524292 AKE524292:AKL524292 AUA524292:AUH524292 BDW524292:BED524292 BNS524292:BNZ524292 BXO524292:BXV524292 CHK524292:CHR524292 CRG524292:CRN524292 DBC524292:DBJ524292 DKY524292:DLF524292 DUU524292:DVB524292 EEQ524292:EEX524292 EOM524292:EOT524292 EYI524292:EYP524292 FIE524292:FIL524292 FSA524292:FSH524292 GBW524292:GCD524292 GLS524292:GLZ524292 GVO524292:GVV524292 HFK524292:HFR524292 HPG524292:HPN524292 HZC524292:HZJ524292 IIY524292:IJF524292 ISU524292:ITB524292 JCQ524292:JCX524292 JMM524292:JMT524292 JWI524292:JWP524292 KGE524292:KGL524292 KQA524292:KQH524292 KZW524292:LAD524292 LJS524292:LJZ524292 LTO524292:LTV524292 MDK524292:MDR524292 MNG524292:MNN524292 MXC524292:MXJ524292 NGY524292:NHF524292 NQU524292:NRB524292 OAQ524292:OAX524292 OKM524292:OKT524292 OUI524292:OUP524292 PEE524292:PEL524292 POA524292:POH524292 PXW524292:PYD524292 QHS524292:QHZ524292 QRO524292:QRV524292 RBK524292:RBR524292 RLG524292:RLN524292 RVC524292:RVJ524292 SEY524292:SFF524292 SOU524292:SPB524292 SYQ524292:SYX524292 TIM524292:TIT524292 TSI524292:TSP524292 UCE524292:UCL524292 UMA524292:UMH524292 UVW524292:UWD524292 VFS524292:VFZ524292 VPO524292:VPV524292 VZK524292:VZR524292 WJG524292:WJN524292 WTC524292:WTJ524292 GQ589828:GX589828 QM589828:QT589828 AAI589828:AAP589828 AKE589828:AKL589828 AUA589828:AUH589828 BDW589828:BED589828 BNS589828:BNZ589828 BXO589828:BXV589828 CHK589828:CHR589828 CRG589828:CRN589828 DBC589828:DBJ589828 DKY589828:DLF589828 DUU589828:DVB589828 EEQ589828:EEX589828 EOM589828:EOT589828 EYI589828:EYP589828 FIE589828:FIL589828 FSA589828:FSH589828 GBW589828:GCD589828 GLS589828:GLZ589828 GVO589828:GVV589828 HFK589828:HFR589828 HPG589828:HPN589828 HZC589828:HZJ589828 IIY589828:IJF589828 ISU589828:ITB589828 JCQ589828:JCX589828 JMM589828:JMT589828 JWI589828:JWP589828 KGE589828:KGL589828 KQA589828:KQH589828 KZW589828:LAD589828 LJS589828:LJZ589828 LTO589828:LTV589828 MDK589828:MDR589828 MNG589828:MNN589828 MXC589828:MXJ589828 NGY589828:NHF589828 NQU589828:NRB589828 OAQ589828:OAX589828 OKM589828:OKT589828 OUI589828:OUP589828 PEE589828:PEL589828 POA589828:POH589828 PXW589828:PYD589828 QHS589828:QHZ589828 QRO589828:QRV589828 RBK589828:RBR589828 RLG589828:RLN589828 RVC589828:RVJ589828 SEY589828:SFF589828 SOU589828:SPB589828 SYQ589828:SYX589828 TIM589828:TIT589828 TSI589828:TSP589828 UCE589828:UCL589828 UMA589828:UMH589828 UVW589828:UWD589828 VFS589828:VFZ589828 VPO589828:VPV589828 VZK589828:VZR589828 WJG589828:WJN589828 WTC589828:WTJ589828 GQ655364:GX655364 QM655364:QT655364 AAI655364:AAP655364 AKE655364:AKL655364 AUA655364:AUH655364 BDW655364:BED655364 BNS655364:BNZ655364 BXO655364:BXV655364 CHK655364:CHR655364 CRG655364:CRN655364 DBC655364:DBJ655364 DKY655364:DLF655364 DUU655364:DVB655364 EEQ655364:EEX655364 EOM655364:EOT655364 EYI655364:EYP655364 FIE655364:FIL655364 FSA655364:FSH655364 GBW655364:GCD655364 GLS655364:GLZ655364 GVO655364:GVV655364 HFK655364:HFR655364 HPG655364:HPN655364 HZC655364:HZJ655364 IIY655364:IJF655364 ISU655364:ITB655364 JCQ655364:JCX655364 JMM655364:JMT655364 JWI655364:JWP655364 KGE655364:KGL655364 KQA655364:KQH655364 KZW655364:LAD655364 LJS655364:LJZ655364 LTO655364:LTV655364 MDK655364:MDR655364 MNG655364:MNN655364 MXC655364:MXJ655364 NGY655364:NHF655364 NQU655364:NRB655364 OAQ655364:OAX655364 OKM655364:OKT655364 OUI655364:OUP655364 PEE655364:PEL655364 POA655364:POH655364 PXW655364:PYD655364 QHS655364:QHZ655364 QRO655364:QRV655364 RBK655364:RBR655364 RLG655364:RLN655364 RVC655364:RVJ655364 SEY655364:SFF655364 SOU655364:SPB655364 SYQ655364:SYX655364 TIM655364:TIT655364 TSI655364:TSP655364 UCE655364:UCL655364 UMA655364:UMH655364 UVW655364:UWD655364 VFS655364:VFZ655364 VPO655364:VPV655364 VZK655364:VZR655364 WJG655364:WJN655364 WTC655364:WTJ655364 GQ720900:GX720900 QM720900:QT720900 AAI720900:AAP720900 AKE720900:AKL720900 AUA720900:AUH720900 BDW720900:BED720900 BNS720900:BNZ720900 BXO720900:BXV720900 CHK720900:CHR720900 CRG720900:CRN720900 DBC720900:DBJ720900 DKY720900:DLF720900 DUU720900:DVB720900 EEQ720900:EEX720900 EOM720900:EOT720900 EYI720900:EYP720900 FIE720900:FIL720900 FSA720900:FSH720900 GBW720900:GCD720900 GLS720900:GLZ720900 GVO720900:GVV720900 HFK720900:HFR720900 HPG720900:HPN720900 HZC720900:HZJ720900 IIY720900:IJF720900 ISU720900:ITB720900 JCQ720900:JCX720900 JMM720900:JMT720900 JWI720900:JWP720900 KGE720900:KGL720900 KQA720900:KQH720900 KZW720900:LAD720900 LJS720900:LJZ720900 LTO720900:LTV720900 MDK720900:MDR720900 MNG720900:MNN720900 MXC720900:MXJ720900 NGY720900:NHF720900 NQU720900:NRB720900 OAQ720900:OAX720900 OKM720900:OKT720900 OUI720900:OUP720900 PEE720900:PEL720900 POA720900:POH720900 PXW720900:PYD720900 QHS720900:QHZ720900 QRO720900:QRV720900 RBK720900:RBR720900 RLG720900:RLN720900 RVC720900:RVJ720900 SEY720900:SFF720900 SOU720900:SPB720900 SYQ720900:SYX720900 TIM720900:TIT720900 TSI720900:TSP720900 UCE720900:UCL720900 UMA720900:UMH720900 UVW720900:UWD720900 VFS720900:VFZ720900 VPO720900:VPV720900 VZK720900:VZR720900 WJG720900:WJN720900 WTC720900:WTJ720900 GQ786436:GX786436 QM786436:QT786436 AAI786436:AAP786436 AKE786436:AKL786436 AUA786436:AUH786436 BDW786436:BED786436 BNS786436:BNZ786436 BXO786436:BXV786436 CHK786436:CHR786436 CRG786436:CRN786436 DBC786436:DBJ786436 DKY786436:DLF786436 DUU786436:DVB786436 EEQ786436:EEX786436 EOM786436:EOT786436 EYI786436:EYP786436 FIE786436:FIL786436 FSA786436:FSH786436 GBW786436:GCD786436 GLS786436:GLZ786436 GVO786436:GVV786436 HFK786436:HFR786436 HPG786436:HPN786436 HZC786436:HZJ786436 IIY786436:IJF786436 ISU786436:ITB786436 JCQ786436:JCX786436 JMM786436:JMT786436 JWI786436:JWP786436 KGE786436:KGL786436 KQA786436:KQH786436 KZW786436:LAD786436 LJS786436:LJZ786436 LTO786436:LTV786436 MDK786436:MDR786436 MNG786436:MNN786436 MXC786436:MXJ786436 NGY786436:NHF786436 NQU786436:NRB786436 OAQ786436:OAX786436 OKM786436:OKT786436 OUI786436:OUP786436 PEE786436:PEL786436 POA786436:POH786436 PXW786436:PYD786436 QHS786436:QHZ786436 QRO786436:QRV786436 RBK786436:RBR786436 RLG786436:RLN786436 RVC786436:RVJ786436 SEY786436:SFF786436 SOU786436:SPB786436 SYQ786436:SYX786436 TIM786436:TIT786436 TSI786436:TSP786436 UCE786436:UCL786436 UMA786436:UMH786436 UVW786436:UWD786436 VFS786436:VFZ786436 VPO786436:VPV786436 VZK786436:VZR786436 WJG786436:WJN786436 WTC786436:WTJ786436 GQ851972:GX851972 QM851972:QT851972 AAI851972:AAP851972 AKE851972:AKL851972 AUA851972:AUH851972 BDW851972:BED851972 BNS851972:BNZ851972 BXO851972:BXV851972 CHK851972:CHR851972 CRG851972:CRN851972 DBC851972:DBJ851972 DKY851972:DLF851972 DUU851972:DVB851972 EEQ851972:EEX851972 EOM851972:EOT851972 EYI851972:EYP851972 FIE851972:FIL851972 FSA851972:FSH851972 GBW851972:GCD851972 GLS851972:GLZ851972 GVO851972:GVV851972 HFK851972:HFR851972 HPG851972:HPN851972 HZC851972:HZJ851972 IIY851972:IJF851972 ISU851972:ITB851972 JCQ851972:JCX851972 JMM851972:JMT851972 JWI851972:JWP851972 KGE851972:KGL851972 KQA851972:KQH851972 KZW851972:LAD851972 LJS851972:LJZ851972 LTO851972:LTV851972 MDK851972:MDR851972 MNG851972:MNN851972 MXC851972:MXJ851972 NGY851972:NHF851972 NQU851972:NRB851972 OAQ851972:OAX851972 OKM851972:OKT851972 OUI851972:OUP851972 PEE851972:PEL851972 POA851972:POH851972 PXW851972:PYD851972 QHS851972:QHZ851972 QRO851972:QRV851972 RBK851972:RBR851972 RLG851972:RLN851972 RVC851972:RVJ851972 SEY851972:SFF851972 SOU851972:SPB851972 SYQ851972:SYX851972 TIM851972:TIT851972 TSI851972:TSP851972 UCE851972:UCL851972 UMA851972:UMH851972 UVW851972:UWD851972 VFS851972:VFZ851972 VPO851972:VPV851972 VZK851972:VZR851972 WJG851972:WJN851972 WTC851972:WTJ851972 GQ917508:GX917508 QM917508:QT917508 AAI917508:AAP917508 AKE917508:AKL917508 AUA917508:AUH917508 BDW917508:BED917508 BNS917508:BNZ917508 BXO917508:BXV917508 CHK917508:CHR917508 CRG917508:CRN917508 DBC917508:DBJ917508 DKY917508:DLF917508 DUU917508:DVB917508 EEQ917508:EEX917508 EOM917508:EOT917508 EYI917508:EYP917508 FIE917508:FIL917508 FSA917508:FSH917508 GBW917508:GCD917508 GLS917508:GLZ917508 GVO917508:GVV917508 HFK917508:HFR917508 HPG917508:HPN917508 HZC917508:HZJ917508 IIY917508:IJF917508 ISU917508:ITB917508 JCQ917508:JCX917508 JMM917508:JMT917508 JWI917508:JWP917508 KGE917508:KGL917508 KQA917508:KQH917508 KZW917508:LAD917508 LJS917508:LJZ917508 LTO917508:LTV917508 MDK917508:MDR917508 MNG917508:MNN917508 MXC917508:MXJ917508 NGY917508:NHF917508 NQU917508:NRB917508 OAQ917508:OAX917508 OKM917508:OKT917508 OUI917508:OUP917508 PEE917508:PEL917508 POA917508:POH917508 PXW917508:PYD917508 QHS917508:QHZ917508 QRO917508:QRV917508 RBK917508:RBR917508 RLG917508:RLN917508 RVC917508:RVJ917508 SEY917508:SFF917508 SOU917508:SPB917508 SYQ917508:SYX917508 TIM917508:TIT917508 TSI917508:TSP917508 UCE917508:UCL917508 UMA917508:UMH917508 UVW917508:UWD917508 VFS917508:VFZ917508 VPO917508:VPV917508 VZK917508:VZR917508 WJG917508:WJN917508 WTC917508:WTJ917508 GQ983044:GX983044 QM983044:QT983044 AAI983044:AAP983044 AKE983044:AKL983044 AUA983044:AUH983044 BDW983044:BED983044 BNS983044:BNZ983044 BXO983044:BXV983044 CHK983044:CHR983044 CRG983044:CRN983044 DBC983044:DBJ983044 DKY983044:DLF983044 DUU983044:DVB983044 EEQ983044:EEX983044 EOM983044:EOT983044 EYI983044:EYP983044 FIE983044:FIL983044 FSA983044:FSH983044 GBW983044:GCD983044 GLS983044:GLZ983044 GVO983044:GVV983044 HFK983044:HFR983044 HPG983044:HPN983044 HZC983044:HZJ983044 IIY983044:IJF983044 ISU983044:ITB983044 JCQ983044:JCX983044 JMM983044:JMT983044 JWI983044:JWP983044 KGE983044:KGL983044 KQA983044:KQH983044 KZW983044:LAD983044 LJS983044:LJZ983044 LTO983044:LTV983044 MDK983044:MDR983044 MNG983044:MNN983044 MXC983044:MXJ983044 NGY983044:NHF983044 NQU983044:NRB983044 OAQ983044:OAX983044 OKM983044:OKT983044 OUI983044:OUP983044 PEE983044:PEL983044 POA983044:POH983044 PXW983044:PYD983044 QHS983044:QHZ983044 QRO983044:QRV983044 RBK983044:RBR983044 RLG983044:RLN983044 RVC983044:RVJ983044 SEY983044:SFF983044 SOU983044:SPB983044 SYQ983044:SYX983044 TIM983044:TIT983044 TSI983044:TSP983044 UCE983044:UCL983044 UMA983044:UMH983044 UVW983044:UWD983044 VFS983044:VFZ983044 VPO983044:VPV983044 VZK983044:VZR983044 WJG983044:WJN983044 WTC983044:WTJ983044 WTL983044 GZ1 QV1 AAR1 AKN1 AUJ1 BEF1 BOB1 BXX1 CHT1 CRP1 DBL1 DLH1 DVD1 EEZ1 EOV1 EYR1 FIN1 FSJ1 GCF1 GMB1 GVX1 HFT1 HPP1 HZL1 IJH1 ITD1 JCZ1 JMV1 JWR1 KGN1 KQJ1 LAF1 LKB1 LTX1 MDT1 MNP1 MXL1 NHH1 NRD1 OAZ1 OKV1 OUR1 PEN1 POJ1 PYF1 QIB1 QRX1 RBT1 RLP1 RVL1 SFH1 SPD1 SYZ1 TIV1 TSR1 UCN1 UMJ1 UWF1 VGB1 VPX1 VZT1 WJP1 WTL1 AA65540 GZ65540 QV65540 AAR65540 AKN65540 AUJ65540 BEF65540 BOB65540 BXX65540 CHT65540 CRP65540 DBL65540 DLH65540 DVD65540 EEZ65540 EOV65540 EYR65540 FIN65540 FSJ65540 GCF65540 GMB65540 GVX65540 HFT65540 HPP65540 HZL65540 IJH65540 ITD65540 JCZ65540 JMV65540 JWR65540 KGN65540 KQJ65540 LAF65540 LKB65540 LTX65540 MDT65540 MNP65540 MXL65540 NHH65540 NRD65540 OAZ65540 OKV65540 OUR65540 PEN65540 POJ65540 PYF65540 QIB65540 QRX65540 RBT65540 RLP65540 RVL65540 SFH65540 SPD65540 SYZ65540 TIV65540 TSR65540 UCN65540 UMJ65540 UWF65540 VGB65540 VPX65540 VZT65540 WJP65540 WTL65540 AA131076 GZ131076 QV131076 AAR131076 AKN131076 AUJ131076 BEF131076 BOB131076 BXX131076 CHT131076 CRP131076 DBL131076 DLH131076 DVD131076 EEZ131076 EOV131076 EYR131076 FIN131076 FSJ131076 GCF131076 GMB131076 GVX131076 HFT131076 HPP131076 HZL131076 IJH131076 ITD131076 JCZ131076 JMV131076 JWR131076 KGN131076 KQJ131076 LAF131076 LKB131076 LTX131076 MDT131076 MNP131076 MXL131076 NHH131076 NRD131076 OAZ131076 OKV131076 OUR131076 PEN131076 POJ131076 PYF131076 QIB131076 QRX131076 RBT131076 RLP131076 RVL131076 SFH131076 SPD131076 SYZ131076 TIV131076 TSR131076 UCN131076 UMJ131076 UWF131076 VGB131076 VPX131076 VZT131076 WJP131076 WTL131076 AA196612 GZ196612 QV196612 AAR196612 AKN196612 AUJ196612 BEF196612 BOB196612 BXX196612 CHT196612 CRP196612 DBL196612 DLH196612 DVD196612 EEZ196612 EOV196612 EYR196612 FIN196612 FSJ196612 GCF196612 GMB196612 GVX196612 HFT196612 HPP196612 HZL196612 IJH196612 ITD196612 JCZ196612 JMV196612 JWR196612 KGN196612 KQJ196612 LAF196612 LKB196612 LTX196612 MDT196612 MNP196612 MXL196612 NHH196612 NRD196612 OAZ196612 OKV196612 OUR196612 PEN196612 POJ196612 PYF196612 QIB196612 QRX196612 RBT196612 RLP196612 RVL196612 SFH196612 SPD196612 SYZ196612 TIV196612 TSR196612 UCN196612 UMJ196612 UWF196612 VGB196612 VPX196612 VZT196612 WJP196612 WTL196612 AA262148 GZ262148 QV262148 AAR262148 AKN262148 AUJ262148 BEF262148 BOB262148 BXX262148 CHT262148 CRP262148 DBL262148 DLH262148 DVD262148 EEZ262148 EOV262148 EYR262148 FIN262148 FSJ262148 GCF262148 GMB262148 GVX262148 HFT262148 HPP262148 HZL262148 IJH262148 ITD262148 JCZ262148 JMV262148 JWR262148 KGN262148 KQJ262148 LAF262148 LKB262148 LTX262148 MDT262148 MNP262148 MXL262148 NHH262148 NRD262148 OAZ262148 OKV262148 OUR262148 PEN262148 POJ262148 PYF262148 QIB262148 QRX262148 RBT262148 RLP262148 RVL262148 SFH262148 SPD262148 SYZ262148 TIV262148 TSR262148 UCN262148 UMJ262148 UWF262148 VGB262148 VPX262148 VZT262148 WJP262148 WTL262148 AA327684 GZ327684 QV327684 AAR327684 AKN327684 AUJ327684 BEF327684 BOB327684 BXX327684 CHT327684 CRP327684 DBL327684 DLH327684 DVD327684 EEZ327684 EOV327684 EYR327684 FIN327684 FSJ327684 GCF327684 GMB327684 GVX327684 HFT327684 HPP327684 HZL327684 IJH327684 ITD327684 JCZ327684 JMV327684 JWR327684 KGN327684 KQJ327684 LAF327684 LKB327684 LTX327684 MDT327684 MNP327684 MXL327684 NHH327684 NRD327684 OAZ327684 OKV327684 OUR327684 PEN327684 POJ327684 PYF327684 QIB327684 QRX327684 RBT327684 RLP327684 RVL327684 SFH327684 SPD327684 SYZ327684 TIV327684 TSR327684 UCN327684 UMJ327684 UWF327684 VGB327684 VPX327684 VZT327684 WJP327684 WTL327684 AA393220 GZ393220 QV393220 AAR393220 AKN393220 AUJ393220 BEF393220 BOB393220 BXX393220 CHT393220 CRP393220 DBL393220 DLH393220 DVD393220 EEZ393220 EOV393220 EYR393220 FIN393220 FSJ393220 GCF393220 GMB393220 GVX393220 HFT393220 HPP393220 HZL393220 IJH393220 ITD393220 JCZ393220 JMV393220 JWR393220 KGN393220 KQJ393220 LAF393220 LKB393220 LTX393220 MDT393220 MNP393220 MXL393220 NHH393220 NRD393220 OAZ393220 OKV393220 OUR393220 PEN393220 POJ393220 PYF393220 QIB393220 QRX393220 RBT393220 RLP393220 RVL393220 SFH393220 SPD393220 SYZ393220 TIV393220 TSR393220 UCN393220 UMJ393220 UWF393220 VGB393220 VPX393220 VZT393220 WJP393220 WTL393220 AA458756 GZ458756 QV458756 AAR458756 AKN458756 AUJ458756 BEF458756 BOB458756 BXX458756 CHT458756 CRP458756 DBL458756 DLH458756 DVD458756 EEZ458756 EOV458756 EYR458756 FIN458756 FSJ458756 GCF458756 GMB458756 GVX458756 HFT458756 HPP458756 HZL458756 IJH458756 ITD458756 JCZ458756 JMV458756 JWR458756 KGN458756 KQJ458756 LAF458756 LKB458756 LTX458756 MDT458756 MNP458756 MXL458756 NHH458756 NRD458756 OAZ458756 OKV458756 OUR458756 PEN458756 POJ458756 PYF458756 QIB458756 QRX458756 RBT458756 RLP458756 RVL458756 SFH458756 SPD458756 SYZ458756 TIV458756 TSR458756 UCN458756 UMJ458756 UWF458756 VGB458756 VPX458756 VZT458756 WJP458756 WTL458756 AA524292 GZ524292 QV524292 AAR524292 AKN524292 AUJ524292 BEF524292 BOB524292 BXX524292 CHT524292 CRP524292 DBL524292 DLH524292 DVD524292 EEZ524292 EOV524292 EYR524292 FIN524292 FSJ524292 GCF524292 GMB524292 GVX524292 HFT524292 HPP524292 HZL524292 IJH524292 ITD524292 JCZ524292 JMV524292 JWR524292 KGN524292 KQJ524292 LAF524292 LKB524292 LTX524292 MDT524292 MNP524292 MXL524292 NHH524292 NRD524292 OAZ524292 OKV524292 OUR524292 PEN524292 POJ524292 PYF524292 QIB524292 QRX524292 RBT524292 RLP524292 RVL524292 SFH524292 SPD524292 SYZ524292 TIV524292 TSR524292 UCN524292 UMJ524292 UWF524292 VGB524292 VPX524292 VZT524292 WJP524292 WTL524292 AA589828 GZ589828 QV589828 AAR589828 AKN589828 AUJ589828 BEF589828 BOB589828 BXX589828 CHT589828 CRP589828 DBL589828 DLH589828 DVD589828 EEZ589828 EOV589828 EYR589828 FIN589828 FSJ589828 GCF589828 GMB589828 GVX589828 HFT589828 HPP589828 HZL589828 IJH589828 ITD589828 JCZ589828 JMV589828 JWR589828 KGN589828 KQJ589828 LAF589828 LKB589828 LTX589828 MDT589828 MNP589828 MXL589828 NHH589828 NRD589828 OAZ589828 OKV589828 OUR589828 PEN589828 POJ589828 PYF589828 QIB589828 QRX589828 RBT589828 RLP589828 RVL589828 SFH589828 SPD589828 SYZ589828 TIV589828 TSR589828 UCN589828 UMJ589828 UWF589828 VGB589828 VPX589828 VZT589828 WJP589828 WTL589828 AA655364 GZ655364 QV655364 AAR655364 AKN655364 AUJ655364 BEF655364 BOB655364 BXX655364 CHT655364 CRP655364 DBL655364 DLH655364 DVD655364 EEZ655364 EOV655364 EYR655364 FIN655364 FSJ655364 GCF655364 GMB655364 GVX655364 HFT655364 HPP655364 HZL655364 IJH655364 ITD655364 JCZ655364 JMV655364 JWR655364 KGN655364 KQJ655364 LAF655364 LKB655364 LTX655364 MDT655364 MNP655364 MXL655364 NHH655364 NRD655364 OAZ655364 OKV655364 OUR655364 PEN655364 POJ655364 PYF655364 QIB655364 QRX655364 RBT655364 RLP655364 RVL655364 SFH655364 SPD655364 SYZ655364 TIV655364 TSR655364 UCN655364 UMJ655364 UWF655364 VGB655364 VPX655364 VZT655364 WJP655364 WTL655364 AA720900 GZ720900 QV720900 AAR720900 AKN720900 AUJ720900 BEF720900 BOB720900 BXX720900 CHT720900 CRP720900 DBL720900 DLH720900 DVD720900 EEZ720900 EOV720900 EYR720900 FIN720900 FSJ720900 GCF720900 GMB720900 GVX720900 HFT720900 HPP720900 HZL720900 IJH720900 ITD720900 JCZ720900 JMV720900 JWR720900 KGN720900 KQJ720900 LAF720900 LKB720900 LTX720900 MDT720900 MNP720900 MXL720900 NHH720900 NRD720900 OAZ720900 OKV720900 OUR720900 PEN720900 POJ720900 PYF720900 QIB720900 QRX720900 RBT720900 RLP720900 RVL720900 SFH720900 SPD720900 SYZ720900 TIV720900 TSR720900 UCN720900 UMJ720900 UWF720900 VGB720900 VPX720900 VZT720900 WJP720900 WTL720900 AA786436 GZ786436 QV786436 AAR786436 AKN786436 AUJ786436 BEF786436 BOB786436 BXX786436 CHT786436 CRP786436 DBL786436 DLH786436 DVD786436 EEZ786436 EOV786436 EYR786436 FIN786436 FSJ786436 GCF786436 GMB786436 GVX786436 HFT786436 HPP786436 HZL786436 IJH786436 ITD786436 JCZ786436 JMV786436 JWR786436 KGN786436 KQJ786436 LAF786436 LKB786436 LTX786436 MDT786436 MNP786436 MXL786436 NHH786436 NRD786436 OAZ786436 OKV786436 OUR786436 PEN786436 POJ786436 PYF786436 QIB786436 QRX786436 RBT786436 RLP786436 RVL786436 SFH786436 SPD786436 SYZ786436 TIV786436 TSR786436 UCN786436 UMJ786436 UWF786436 VGB786436 VPX786436 VZT786436 WJP786436 WTL786436 AA851972 GZ851972 QV851972 AAR851972 AKN851972 AUJ851972 BEF851972 BOB851972 BXX851972 CHT851972 CRP851972 DBL851972 DLH851972 DVD851972 EEZ851972 EOV851972 EYR851972 FIN851972 FSJ851972 GCF851972 GMB851972 GVX851972 HFT851972 HPP851972 HZL851972 IJH851972 ITD851972 JCZ851972 JMV851972 JWR851972 KGN851972 KQJ851972 LAF851972 LKB851972 LTX851972 MDT851972 MNP851972 MXL851972 NHH851972 NRD851972 OAZ851972 OKV851972 OUR851972 PEN851972 POJ851972 PYF851972 QIB851972 QRX851972 RBT851972 RLP851972 RVL851972 SFH851972 SPD851972 SYZ851972 TIV851972 TSR851972 UCN851972 UMJ851972 UWF851972 VGB851972 VPX851972 VZT851972 WJP851972 WTL851972 AA917508 GZ917508 QV917508 AAR917508 AKN917508 AUJ917508 BEF917508 BOB917508 BXX917508 CHT917508 CRP917508 DBL917508 DLH917508 DVD917508 EEZ917508 EOV917508 EYR917508 FIN917508 FSJ917508 GCF917508 GMB917508 GVX917508 HFT917508 HPP917508 HZL917508 IJH917508 ITD917508 JCZ917508 JMV917508 JWR917508 KGN917508 KQJ917508 LAF917508 LKB917508 LTX917508 MDT917508 MNP917508 MXL917508 NHH917508 NRD917508 OAZ917508 OKV917508 OUR917508 PEN917508 POJ917508 PYF917508 QIB917508 QRX917508 RBT917508 RLP917508 RVL917508 SFH917508 SPD917508 SYZ917508 TIV917508 TSR917508 UCN917508 UMJ917508 UWF917508 VGB917508 VPX917508 VZT917508 WJP917508 WTL917508 AA983044 GZ983044 QV983044 AAR983044 AKN983044 AUJ983044 BEF983044 BOB983044 BXX983044 CHT983044 CRP983044 DBL983044 DLH983044 DVD983044 EEZ983044 EOV983044 EYR983044 FIN983044 FSJ983044 GCF983044 GMB983044 GVX983044 HFT983044 HPP983044 HZL983044 IJH983044 ITD983044 JCZ983044 JMV983044 JWR983044 KGN983044 KQJ983044 LAF983044 LKB983044 LTX983044 MDT983044 MNP983044 MXL983044 NHH983044 NRD983044 OAZ983044 OKV983044 OUR983044 PEN983044 POJ983044 PYF983044 QIB983044 QRX983044 RBT983044 RLP983044 RVL983044 SFH983044 SPD983044 SYZ983044 TIV983044 TSR983044 UCN983044 UMJ983044 UWF983044 VGB983044 VPX983044 VZT983044 T983044:Y983044 T917508:Y917508 T851972:Y851972 T786436:Y786436 T720900:Y720900 T655364:Y655364 T589828:Y589828 T524292:Y524292 T458756:Y458756 T393220:Y393220 T327684:Y327684 T262148:Y262148 T196612:Y196612 T131076:Y131076 T65540:Y65540" xr:uid="{42ABC5BC-EE2A-4B0F-B82B-1FFE5AE2CFA5}">
      <formula1>"Ｍ３（部長）,Ｍ２（Ｍ）,Ｍ１（ＰＭ）,Ｓ２,Ｓ１,Ｒ４,Ｒ３,Ｒ２,Ｒ１"</formula1>
    </dataValidation>
  </dataValidations>
  <pageMargins left="0.70866141732283472" right="0.70866141732283472" top="0.74803149606299213" bottom="0.74803149606299213" header="0.31496062992125984" footer="0.31496062992125984"/>
  <pageSetup paperSize="8" scale="57" orientation="landscape" cellComments="asDisplayed"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512DA-7A8B-48B9-A043-A891D523F18F}">
  <sheetPr>
    <pageSetUpPr fitToPage="1"/>
  </sheetPr>
  <dimension ref="A1:BR63"/>
  <sheetViews>
    <sheetView zoomScale="50" zoomScaleNormal="50" workbookViewId="0">
      <selection activeCell="G31" sqref="G31:G36"/>
    </sheetView>
  </sheetViews>
  <sheetFormatPr defaultColWidth="2.7109375" defaultRowHeight="13.15"/>
  <cols>
    <col min="1" max="1" width="4.28515625" style="85" customWidth="1"/>
    <col min="2" max="7" width="6.7109375" style="84" customWidth="1"/>
    <col min="8" max="25" width="5.140625" style="84" customWidth="1"/>
    <col min="26" max="26" width="7.140625" style="84" customWidth="1"/>
    <col min="27" max="44" width="5.140625" style="84" customWidth="1"/>
    <col min="45" max="46" width="2.7109375" style="84"/>
    <col min="47" max="70" width="7.7109375" style="84" customWidth="1"/>
    <col min="71" max="141" width="2.7109375" style="84"/>
    <col min="142" max="159" width="4.28515625" style="84" customWidth="1"/>
    <col min="160" max="160" width="5.42578125" style="84" customWidth="1"/>
    <col min="161" max="170" width="4.28515625" style="84" customWidth="1"/>
    <col min="171" max="171" width="7.140625" style="84" customWidth="1"/>
    <col min="172" max="189" width="4.28515625" style="84" customWidth="1"/>
    <col min="190" max="397" width="2.7109375" style="84"/>
    <col min="398" max="415" width="4.28515625" style="84" customWidth="1"/>
    <col min="416" max="416" width="5.42578125" style="84" customWidth="1"/>
    <col min="417" max="426" width="4.28515625" style="84" customWidth="1"/>
    <col min="427" max="427" width="7.140625" style="84" customWidth="1"/>
    <col min="428" max="445" width="4.28515625" style="84" customWidth="1"/>
    <col min="446" max="653" width="2.7109375" style="84"/>
    <col min="654" max="671" width="4.28515625" style="84" customWidth="1"/>
    <col min="672" max="672" width="5.42578125" style="84" customWidth="1"/>
    <col min="673" max="682" width="4.28515625" style="84" customWidth="1"/>
    <col min="683" max="683" width="7.140625" style="84" customWidth="1"/>
    <col min="684" max="701" width="4.28515625" style="84" customWidth="1"/>
    <col min="702" max="909" width="2.7109375" style="84"/>
    <col min="910" max="927" width="4.28515625" style="84" customWidth="1"/>
    <col min="928" max="928" width="5.42578125" style="84" customWidth="1"/>
    <col min="929" max="938" width="4.28515625" style="84" customWidth="1"/>
    <col min="939" max="939" width="7.140625" style="84" customWidth="1"/>
    <col min="940" max="957" width="4.28515625" style="84" customWidth="1"/>
    <col min="958" max="1165" width="2.7109375" style="84"/>
    <col min="1166" max="1183" width="4.28515625" style="84" customWidth="1"/>
    <col min="1184" max="1184" width="5.42578125" style="84" customWidth="1"/>
    <col min="1185" max="1194" width="4.28515625" style="84" customWidth="1"/>
    <col min="1195" max="1195" width="7.140625" style="84" customWidth="1"/>
    <col min="1196" max="1213" width="4.28515625" style="84" customWidth="1"/>
    <col min="1214" max="1421" width="2.7109375" style="84"/>
    <col min="1422" max="1439" width="4.28515625" style="84" customWidth="1"/>
    <col min="1440" max="1440" width="5.42578125" style="84" customWidth="1"/>
    <col min="1441" max="1450" width="4.28515625" style="84" customWidth="1"/>
    <col min="1451" max="1451" width="7.140625" style="84" customWidth="1"/>
    <col min="1452" max="1469" width="4.28515625" style="84" customWidth="1"/>
    <col min="1470" max="1677" width="2.7109375" style="84"/>
    <col min="1678" max="1695" width="4.28515625" style="84" customWidth="1"/>
    <col min="1696" max="1696" width="5.42578125" style="84" customWidth="1"/>
    <col min="1697" max="1706" width="4.28515625" style="84" customWidth="1"/>
    <col min="1707" max="1707" width="7.140625" style="84" customWidth="1"/>
    <col min="1708" max="1725" width="4.28515625" style="84" customWidth="1"/>
    <col min="1726" max="1933" width="2.7109375" style="84"/>
    <col min="1934" max="1951" width="4.28515625" style="84" customWidth="1"/>
    <col min="1952" max="1952" width="5.42578125" style="84" customWidth="1"/>
    <col min="1953" max="1962" width="4.28515625" style="84" customWidth="1"/>
    <col min="1963" max="1963" width="7.140625" style="84" customWidth="1"/>
    <col min="1964" max="1981" width="4.28515625" style="84" customWidth="1"/>
    <col min="1982" max="2189" width="2.7109375" style="84"/>
    <col min="2190" max="2207" width="4.28515625" style="84" customWidth="1"/>
    <col min="2208" max="2208" width="5.42578125" style="84" customWidth="1"/>
    <col min="2209" max="2218" width="4.28515625" style="84" customWidth="1"/>
    <col min="2219" max="2219" width="7.140625" style="84" customWidth="1"/>
    <col min="2220" max="2237" width="4.28515625" style="84" customWidth="1"/>
    <col min="2238" max="2445" width="2.7109375" style="84"/>
    <col min="2446" max="2463" width="4.28515625" style="84" customWidth="1"/>
    <col min="2464" max="2464" width="5.42578125" style="84" customWidth="1"/>
    <col min="2465" max="2474" width="4.28515625" style="84" customWidth="1"/>
    <col min="2475" max="2475" width="7.140625" style="84" customWidth="1"/>
    <col min="2476" max="2493" width="4.28515625" style="84" customWidth="1"/>
    <col min="2494" max="2701" width="2.7109375" style="84"/>
    <col min="2702" max="2719" width="4.28515625" style="84" customWidth="1"/>
    <col min="2720" max="2720" width="5.42578125" style="84" customWidth="1"/>
    <col min="2721" max="2730" width="4.28515625" style="84" customWidth="1"/>
    <col min="2731" max="2731" width="7.140625" style="84" customWidth="1"/>
    <col min="2732" max="2749" width="4.28515625" style="84" customWidth="1"/>
    <col min="2750" max="2957" width="2.7109375" style="84"/>
    <col min="2958" max="2975" width="4.28515625" style="84" customWidth="1"/>
    <col min="2976" max="2976" width="5.42578125" style="84" customWidth="1"/>
    <col min="2977" max="2986" width="4.28515625" style="84" customWidth="1"/>
    <col min="2987" max="2987" width="7.140625" style="84" customWidth="1"/>
    <col min="2988" max="3005" width="4.28515625" style="84" customWidth="1"/>
    <col min="3006" max="3213" width="2.7109375" style="84"/>
    <col min="3214" max="3231" width="4.28515625" style="84" customWidth="1"/>
    <col min="3232" max="3232" width="5.42578125" style="84" customWidth="1"/>
    <col min="3233" max="3242" width="4.28515625" style="84" customWidth="1"/>
    <col min="3243" max="3243" width="7.140625" style="84" customWidth="1"/>
    <col min="3244" max="3261" width="4.28515625" style="84" customWidth="1"/>
    <col min="3262" max="3469" width="2.7109375" style="84"/>
    <col min="3470" max="3487" width="4.28515625" style="84" customWidth="1"/>
    <col min="3488" max="3488" width="5.42578125" style="84" customWidth="1"/>
    <col min="3489" max="3498" width="4.28515625" style="84" customWidth="1"/>
    <col min="3499" max="3499" width="7.140625" style="84" customWidth="1"/>
    <col min="3500" max="3517" width="4.28515625" style="84" customWidth="1"/>
    <col min="3518" max="3725" width="2.7109375" style="84"/>
    <col min="3726" max="3743" width="4.28515625" style="84" customWidth="1"/>
    <col min="3744" max="3744" width="5.42578125" style="84" customWidth="1"/>
    <col min="3745" max="3754" width="4.28515625" style="84" customWidth="1"/>
    <col min="3755" max="3755" width="7.140625" style="84" customWidth="1"/>
    <col min="3756" max="3773" width="4.28515625" style="84" customWidth="1"/>
    <col min="3774" max="3981" width="2.7109375" style="84"/>
    <col min="3982" max="3999" width="4.28515625" style="84" customWidth="1"/>
    <col min="4000" max="4000" width="5.42578125" style="84" customWidth="1"/>
    <col min="4001" max="4010" width="4.28515625" style="84" customWidth="1"/>
    <col min="4011" max="4011" width="7.140625" style="84" customWidth="1"/>
    <col min="4012" max="4029" width="4.28515625" style="84" customWidth="1"/>
    <col min="4030" max="4237" width="2.7109375" style="84"/>
    <col min="4238" max="4255" width="4.28515625" style="84" customWidth="1"/>
    <col min="4256" max="4256" width="5.42578125" style="84" customWidth="1"/>
    <col min="4257" max="4266" width="4.28515625" style="84" customWidth="1"/>
    <col min="4267" max="4267" width="7.140625" style="84" customWidth="1"/>
    <col min="4268" max="4285" width="4.28515625" style="84" customWidth="1"/>
    <col min="4286" max="4493" width="2.7109375" style="84"/>
    <col min="4494" max="4511" width="4.28515625" style="84" customWidth="1"/>
    <col min="4512" max="4512" width="5.42578125" style="84" customWidth="1"/>
    <col min="4513" max="4522" width="4.28515625" style="84" customWidth="1"/>
    <col min="4523" max="4523" width="7.140625" style="84" customWidth="1"/>
    <col min="4524" max="4541" width="4.28515625" style="84" customWidth="1"/>
    <col min="4542" max="4749" width="2.7109375" style="84"/>
    <col min="4750" max="4767" width="4.28515625" style="84" customWidth="1"/>
    <col min="4768" max="4768" width="5.42578125" style="84" customWidth="1"/>
    <col min="4769" max="4778" width="4.28515625" style="84" customWidth="1"/>
    <col min="4779" max="4779" width="7.140625" style="84" customWidth="1"/>
    <col min="4780" max="4797" width="4.28515625" style="84" customWidth="1"/>
    <col min="4798" max="5005" width="2.7109375" style="84"/>
    <col min="5006" max="5023" width="4.28515625" style="84" customWidth="1"/>
    <col min="5024" max="5024" width="5.42578125" style="84" customWidth="1"/>
    <col min="5025" max="5034" width="4.28515625" style="84" customWidth="1"/>
    <col min="5035" max="5035" width="7.140625" style="84" customWidth="1"/>
    <col min="5036" max="5053" width="4.28515625" style="84" customWidth="1"/>
    <col min="5054" max="5261" width="2.7109375" style="84"/>
    <col min="5262" max="5279" width="4.28515625" style="84" customWidth="1"/>
    <col min="5280" max="5280" width="5.42578125" style="84" customWidth="1"/>
    <col min="5281" max="5290" width="4.28515625" style="84" customWidth="1"/>
    <col min="5291" max="5291" width="7.140625" style="84" customWidth="1"/>
    <col min="5292" max="5309" width="4.28515625" style="84" customWidth="1"/>
    <col min="5310" max="5517" width="2.7109375" style="84"/>
    <col min="5518" max="5535" width="4.28515625" style="84" customWidth="1"/>
    <col min="5536" max="5536" width="5.42578125" style="84" customWidth="1"/>
    <col min="5537" max="5546" width="4.28515625" style="84" customWidth="1"/>
    <col min="5547" max="5547" width="7.140625" style="84" customWidth="1"/>
    <col min="5548" max="5565" width="4.28515625" style="84" customWidth="1"/>
    <col min="5566" max="5773" width="2.7109375" style="84"/>
    <col min="5774" max="5791" width="4.28515625" style="84" customWidth="1"/>
    <col min="5792" max="5792" width="5.42578125" style="84" customWidth="1"/>
    <col min="5793" max="5802" width="4.28515625" style="84" customWidth="1"/>
    <col min="5803" max="5803" width="7.140625" style="84" customWidth="1"/>
    <col min="5804" max="5821" width="4.28515625" style="84" customWidth="1"/>
    <col min="5822" max="6029" width="2.7109375" style="84"/>
    <col min="6030" max="6047" width="4.28515625" style="84" customWidth="1"/>
    <col min="6048" max="6048" width="5.42578125" style="84" customWidth="1"/>
    <col min="6049" max="6058" width="4.28515625" style="84" customWidth="1"/>
    <col min="6059" max="6059" width="7.140625" style="84" customWidth="1"/>
    <col min="6060" max="6077" width="4.28515625" style="84" customWidth="1"/>
    <col min="6078" max="6285" width="2.7109375" style="84"/>
    <col min="6286" max="6303" width="4.28515625" style="84" customWidth="1"/>
    <col min="6304" max="6304" width="5.42578125" style="84" customWidth="1"/>
    <col min="6305" max="6314" width="4.28515625" style="84" customWidth="1"/>
    <col min="6315" max="6315" width="7.140625" style="84" customWidth="1"/>
    <col min="6316" max="6333" width="4.28515625" style="84" customWidth="1"/>
    <col min="6334" max="6541" width="2.7109375" style="84"/>
    <col min="6542" max="6559" width="4.28515625" style="84" customWidth="1"/>
    <col min="6560" max="6560" width="5.42578125" style="84" customWidth="1"/>
    <col min="6561" max="6570" width="4.28515625" style="84" customWidth="1"/>
    <col min="6571" max="6571" width="7.140625" style="84" customWidth="1"/>
    <col min="6572" max="6589" width="4.28515625" style="84" customWidth="1"/>
    <col min="6590" max="6797" width="2.7109375" style="84"/>
    <col min="6798" max="6815" width="4.28515625" style="84" customWidth="1"/>
    <col min="6816" max="6816" width="5.42578125" style="84" customWidth="1"/>
    <col min="6817" max="6826" width="4.28515625" style="84" customWidth="1"/>
    <col min="6827" max="6827" width="7.140625" style="84" customWidth="1"/>
    <col min="6828" max="6845" width="4.28515625" style="84" customWidth="1"/>
    <col min="6846" max="7053" width="2.7109375" style="84"/>
    <col min="7054" max="7071" width="4.28515625" style="84" customWidth="1"/>
    <col min="7072" max="7072" width="5.42578125" style="84" customWidth="1"/>
    <col min="7073" max="7082" width="4.28515625" style="84" customWidth="1"/>
    <col min="7083" max="7083" width="7.140625" style="84" customWidth="1"/>
    <col min="7084" max="7101" width="4.28515625" style="84" customWidth="1"/>
    <col min="7102" max="7309" width="2.7109375" style="84"/>
    <col min="7310" max="7327" width="4.28515625" style="84" customWidth="1"/>
    <col min="7328" max="7328" width="5.42578125" style="84" customWidth="1"/>
    <col min="7329" max="7338" width="4.28515625" style="84" customWidth="1"/>
    <col min="7339" max="7339" width="7.140625" style="84" customWidth="1"/>
    <col min="7340" max="7357" width="4.28515625" style="84" customWidth="1"/>
    <col min="7358" max="7565" width="2.7109375" style="84"/>
    <col min="7566" max="7583" width="4.28515625" style="84" customWidth="1"/>
    <col min="7584" max="7584" width="5.42578125" style="84" customWidth="1"/>
    <col min="7585" max="7594" width="4.28515625" style="84" customWidth="1"/>
    <col min="7595" max="7595" width="7.140625" style="84" customWidth="1"/>
    <col min="7596" max="7613" width="4.28515625" style="84" customWidth="1"/>
    <col min="7614" max="7821" width="2.7109375" style="84"/>
    <col min="7822" max="7839" width="4.28515625" style="84" customWidth="1"/>
    <col min="7840" max="7840" width="5.42578125" style="84" customWidth="1"/>
    <col min="7841" max="7850" width="4.28515625" style="84" customWidth="1"/>
    <col min="7851" max="7851" width="7.140625" style="84" customWidth="1"/>
    <col min="7852" max="7869" width="4.28515625" style="84" customWidth="1"/>
    <col min="7870" max="8077" width="2.7109375" style="84"/>
    <col min="8078" max="8095" width="4.28515625" style="84" customWidth="1"/>
    <col min="8096" max="8096" width="5.42578125" style="84" customWidth="1"/>
    <col min="8097" max="8106" width="4.28515625" style="84" customWidth="1"/>
    <col min="8107" max="8107" width="7.140625" style="84" customWidth="1"/>
    <col min="8108" max="8125" width="4.28515625" style="84" customWidth="1"/>
    <col min="8126" max="8333" width="2.7109375" style="84"/>
    <col min="8334" max="8351" width="4.28515625" style="84" customWidth="1"/>
    <col min="8352" max="8352" width="5.42578125" style="84" customWidth="1"/>
    <col min="8353" max="8362" width="4.28515625" style="84" customWidth="1"/>
    <col min="8363" max="8363" width="7.140625" style="84" customWidth="1"/>
    <col min="8364" max="8381" width="4.28515625" style="84" customWidth="1"/>
    <col min="8382" max="8589" width="2.7109375" style="84"/>
    <col min="8590" max="8607" width="4.28515625" style="84" customWidth="1"/>
    <col min="8608" max="8608" width="5.42578125" style="84" customWidth="1"/>
    <col min="8609" max="8618" width="4.28515625" style="84" customWidth="1"/>
    <col min="8619" max="8619" width="7.140625" style="84" customWidth="1"/>
    <col min="8620" max="8637" width="4.28515625" style="84" customWidth="1"/>
    <col min="8638" max="8845" width="2.7109375" style="84"/>
    <col min="8846" max="8863" width="4.28515625" style="84" customWidth="1"/>
    <col min="8864" max="8864" width="5.42578125" style="84" customWidth="1"/>
    <col min="8865" max="8874" width="4.28515625" style="84" customWidth="1"/>
    <col min="8875" max="8875" width="7.140625" style="84" customWidth="1"/>
    <col min="8876" max="8893" width="4.28515625" style="84" customWidth="1"/>
    <col min="8894" max="9101" width="2.7109375" style="84"/>
    <col min="9102" max="9119" width="4.28515625" style="84" customWidth="1"/>
    <col min="9120" max="9120" width="5.42578125" style="84" customWidth="1"/>
    <col min="9121" max="9130" width="4.28515625" style="84" customWidth="1"/>
    <col min="9131" max="9131" width="7.140625" style="84" customWidth="1"/>
    <col min="9132" max="9149" width="4.28515625" style="84" customWidth="1"/>
    <col min="9150" max="9357" width="2.7109375" style="84"/>
    <col min="9358" max="9375" width="4.28515625" style="84" customWidth="1"/>
    <col min="9376" max="9376" width="5.42578125" style="84" customWidth="1"/>
    <col min="9377" max="9386" width="4.28515625" style="84" customWidth="1"/>
    <col min="9387" max="9387" width="7.140625" style="84" customWidth="1"/>
    <col min="9388" max="9405" width="4.28515625" style="84" customWidth="1"/>
    <col min="9406" max="9613" width="2.7109375" style="84"/>
    <col min="9614" max="9631" width="4.28515625" style="84" customWidth="1"/>
    <col min="9632" max="9632" width="5.42578125" style="84" customWidth="1"/>
    <col min="9633" max="9642" width="4.28515625" style="84" customWidth="1"/>
    <col min="9643" max="9643" width="7.140625" style="84" customWidth="1"/>
    <col min="9644" max="9661" width="4.28515625" style="84" customWidth="1"/>
    <col min="9662" max="9869" width="2.7109375" style="84"/>
    <col min="9870" max="9887" width="4.28515625" style="84" customWidth="1"/>
    <col min="9888" max="9888" width="5.42578125" style="84" customWidth="1"/>
    <col min="9889" max="9898" width="4.28515625" style="84" customWidth="1"/>
    <col min="9899" max="9899" width="7.140625" style="84" customWidth="1"/>
    <col min="9900" max="9917" width="4.28515625" style="84" customWidth="1"/>
    <col min="9918" max="10125" width="2.7109375" style="84"/>
    <col min="10126" max="10143" width="4.28515625" style="84" customWidth="1"/>
    <col min="10144" max="10144" width="5.42578125" style="84" customWidth="1"/>
    <col min="10145" max="10154" width="4.28515625" style="84" customWidth="1"/>
    <col min="10155" max="10155" width="7.140625" style="84" customWidth="1"/>
    <col min="10156" max="10173" width="4.28515625" style="84" customWidth="1"/>
    <col min="10174" max="10381" width="2.7109375" style="84"/>
    <col min="10382" max="10399" width="4.28515625" style="84" customWidth="1"/>
    <col min="10400" max="10400" width="5.42578125" style="84" customWidth="1"/>
    <col min="10401" max="10410" width="4.28515625" style="84" customWidth="1"/>
    <col min="10411" max="10411" width="7.140625" style="84" customWidth="1"/>
    <col min="10412" max="10429" width="4.28515625" style="84" customWidth="1"/>
    <col min="10430" max="10637" width="2.7109375" style="84"/>
    <col min="10638" max="10655" width="4.28515625" style="84" customWidth="1"/>
    <col min="10656" max="10656" width="5.42578125" style="84" customWidth="1"/>
    <col min="10657" max="10666" width="4.28515625" style="84" customWidth="1"/>
    <col min="10667" max="10667" width="7.140625" style="84" customWidth="1"/>
    <col min="10668" max="10685" width="4.28515625" style="84" customWidth="1"/>
    <col min="10686" max="10893" width="2.7109375" style="84"/>
    <col min="10894" max="10911" width="4.28515625" style="84" customWidth="1"/>
    <col min="10912" max="10912" width="5.42578125" style="84" customWidth="1"/>
    <col min="10913" max="10922" width="4.28515625" style="84" customWidth="1"/>
    <col min="10923" max="10923" width="7.140625" style="84" customWidth="1"/>
    <col min="10924" max="10941" width="4.28515625" style="84" customWidth="1"/>
    <col min="10942" max="11149" width="2.7109375" style="84"/>
    <col min="11150" max="11167" width="4.28515625" style="84" customWidth="1"/>
    <col min="11168" max="11168" width="5.42578125" style="84" customWidth="1"/>
    <col min="11169" max="11178" width="4.28515625" style="84" customWidth="1"/>
    <col min="11179" max="11179" width="7.140625" style="84" customWidth="1"/>
    <col min="11180" max="11197" width="4.28515625" style="84" customWidth="1"/>
    <col min="11198" max="11405" width="2.7109375" style="84"/>
    <col min="11406" max="11423" width="4.28515625" style="84" customWidth="1"/>
    <col min="11424" max="11424" width="5.42578125" style="84" customWidth="1"/>
    <col min="11425" max="11434" width="4.28515625" style="84" customWidth="1"/>
    <col min="11435" max="11435" width="7.140625" style="84" customWidth="1"/>
    <col min="11436" max="11453" width="4.28515625" style="84" customWidth="1"/>
    <col min="11454" max="11661" width="2.7109375" style="84"/>
    <col min="11662" max="11679" width="4.28515625" style="84" customWidth="1"/>
    <col min="11680" max="11680" width="5.42578125" style="84" customWidth="1"/>
    <col min="11681" max="11690" width="4.28515625" style="84" customWidth="1"/>
    <col min="11691" max="11691" width="7.140625" style="84" customWidth="1"/>
    <col min="11692" max="11709" width="4.28515625" style="84" customWidth="1"/>
    <col min="11710" max="11917" width="2.7109375" style="84"/>
    <col min="11918" max="11935" width="4.28515625" style="84" customWidth="1"/>
    <col min="11936" max="11936" width="5.42578125" style="84" customWidth="1"/>
    <col min="11937" max="11946" width="4.28515625" style="84" customWidth="1"/>
    <col min="11947" max="11947" width="7.140625" style="84" customWidth="1"/>
    <col min="11948" max="11965" width="4.28515625" style="84" customWidth="1"/>
    <col min="11966" max="12173" width="2.7109375" style="84"/>
    <col min="12174" max="12191" width="4.28515625" style="84" customWidth="1"/>
    <col min="12192" max="12192" width="5.42578125" style="84" customWidth="1"/>
    <col min="12193" max="12202" width="4.28515625" style="84" customWidth="1"/>
    <col min="12203" max="12203" width="7.140625" style="84" customWidth="1"/>
    <col min="12204" max="12221" width="4.28515625" style="84" customWidth="1"/>
    <col min="12222" max="12429" width="2.7109375" style="84"/>
    <col min="12430" max="12447" width="4.28515625" style="84" customWidth="1"/>
    <col min="12448" max="12448" width="5.42578125" style="84" customWidth="1"/>
    <col min="12449" max="12458" width="4.28515625" style="84" customWidth="1"/>
    <col min="12459" max="12459" width="7.140625" style="84" customWidth="1"/>
    <col min="12460" max="12477" width="4.28515625" style="84" customWidth="1"/>
    <col min="12478" max="12685" width="2.7109375" style="84"/>
    <col min="12686" max="12703" width="4.28515625" style="84" customWidth="1"/>
    <col min="12704" max="12704" width="5.42578125" style="84" customWidth="1"/>
    <col min="12705" max="12714" width="4.28515625" style="84" customWidth="1"/>
    <col min="12715" max="12715" width="7.140625" style="84" customWidth="1"/>
    <col min="12716" max="12733" width="4.28515625" style="84" customWidth="1"/>
    <col min="12734" max="12941" width="2.7109375" style="84"/>
    <col min="12942" max="12959" width="4.28515625" style="84" customWidth="1"/>
    <col min="12960" max="12960" width="5.42578125" style="84" customWidth="1"/>
    <col min="12961" max="12970" width="4.28515625" style="84" customWidth="1"/>
    <col min="12971" max="12971" width="7.140625" style="84" customWidth="1"/>
    <col min="12972" max="12989" width="4.28515625" style="84" customWidth="1"/>
    <col min="12990" max="13197" width="2.7109375" style="84"/>
    <col min="13198" max="13215" width="4.28515625" style="84" customWidth="1"/>
    <col min="13216" max="13216" width="5.42578125" style="84" customWidth="1"/>
    <col min="13217" max="13226" width="4.28515625" style="84" customWidth="1"/>
    <col min="13227" max="13227" width="7.140625" style="84" customWidth="1"/>
    <col min="13228" max="13245" width="4.28515625" style="84" customWidth="1"/>
    <col min="13246" max="13453" width="2.7109375" style="84"/>
    <col min="13454" max="13471" width="4.28515625" style="84" customWidth="1"/>
    <col min="13472" max="13472" width="5.42578125" style="84" customWidth="1"/>
    <col min="13473" max="13482" width="4.28515625" style="84" customWidth="1"/>
    <col min="13483" max="13483" width="7.140625" style="84" customWidth="1"/>
    <col min="13484" max="13501" width="4.28515625" style="84" customWidth="1"/>
    <col min="13502" max="13709" width="2.7109375" style="84"/>
    <col min="13710" max="13727" width="4.28515625" style="84" customWidth="1"/>
    <col min="13728" max="13728" width="5.42578125" style="84" customWidth="1"/>
    <col min="13729" max="13738" width="4.28515625" style="84" customWidth="1"/>
    <col min="13739" max="13739" width="7.140625" style="84" customWidth="1"/>
    <col min="13740" max="13757" width="4.28515625" style="84" customWidth="1"/>
    <col min="13758" max="13965" width="2.7109375" style="84"/>
    <col min="13966" max="13983" width="4.28515625" style="84" customWidth="1"/>
    <col min="13984" max="13984" width="5.42578125" style="84" customWidth="1"/>
    <col min="13985" max="13994" width="4.28515625" style="84" customWidth="1"/>
    <col min="13995" max="13995" width="7.140625" style="84" customWidth="1"/>
    <col min="13996" max="14013" width="4.28515625" style="84" customWidth="1"/>
    <col min="14014" max="14221" width="2.7109375" style="84"/>
    <col min="14222" max="14239" width="4.28515625" style="84" customWidth="1"/>
    <col min="14240" max="14240" width="5.42578125" style="84" customWidth="1"/>
    <col min="14241" max="14250" width="4.28515625" style="84" customWidth="1"/>
    <col min="14251" max="14251" width="7.140625" style="84" customWidth="1"/>
    <col min="14252" max="14269" width="4.28515625" style="84" customWidth="1"/>
    <col min="14270" max="14477" width="2.7109375" style="84"/>
    <col min="14478" max="14495" width="4.28515625" style="84" customWidth="1"/>
    <col min="14496" max="14496" width="5.42578125" style="84" customWidth="1"/>
    <col min="14497" max="14506" width="4.28515625" style="84" customWidth="1"/>
    <col min="14507" max="14507" width="7.140625" style="84" customWidth="1"/>
    <col min="14508" max="14525" width="4.28515625" style="84" customWidth="1"/>
    <col min="14526" max="14733" width="2.7109375" style="84"/>
    <col min="14734" max="14751" width="4.28515625" style="84" customWidth="1"/>
    <col min="14752" max="14752" width="5.42578125" style="84" customWidth="1"/>
    <col min="14753" max="14762" width="4.28515625" style="84" customWidth="1"/>
    <col min="14763" max="14763" width="7.140625" style="84" customWidth="1"/>
    <col min="14764" max="14781" width="4.28515625" style="84" customWidth="1"/>
    <col min="14782" max="14989" width="2.7109375" style="84"/>
    <col min="14990" max="15007" width="4.28515625" style="84" customWidth="1"/>
    <col min="15008" max="15008" width="5.42578125" style="84" customWidth="1"/>
    <col min="15009" max="15018" width="4.28515625" style="84" customWidth="1"/>
    <col min="15019" max="15019" width="7.140625" style="84" customWidth="1"/>
    <col min="15020" max="15037" width="4.28515625" style="84" customWidth="1"/>
    <col min="15038" max="15245" width="2.7109375" style="84"/>
    <col min="15246" max="15263" width="4.28515625" style="84" customWidth="1"/>
    <col min="15264" max="15264" width="5.42578125" style="84" customWidth="1"/>
    <col min="15265" max="15274" width="4.28515625" style="84" customWidth="1"/>
    <col min="15275" max="15275" width="7.140625" style="84" customWidth="1"/>
    <col min="15276" max="15293" width="4.28515625" style="84" customWidth="1"/>
    <col min="15294" max="15501" width="2.7109375" style="84"/>
    <col min="15502" max="15519" width="4.28515625" style="84" customWidth="1"/>
    <col min="15520" max="15520" width="5.42578125" style="84" customWidth="1"/>
    <col min="15521" max="15530" width="4.28515625" style="84" customWidth="1"/>
    <col min="15531" max="15531" width="7.140625" style="84" customWidth="1"/>
    <col min="15532" max="15549" width="4.28515625" style="84" customWidth="1"/>
    <col min="15550" max="15757" width="2.7109375" style="84"/>
    <col min="15758" max="15775" width="4.28515625" style="84" customWidth="1"/>
    <col min="15776" max="15776" width="5.42578125" style="84" customWidth="1"/>
    <col min="15777" max="15786" width="4.28515625" style="84" customWidth="1"/>
    <col min="15787" max="15787" width="7.140625" style="84" customWidth="1"/>
    <col min="15788" max="15805" width="4.28515625" style="84" customWidth="1"/>
    <col min="15806" max="16013" width="2.7109375" style="84"/>
    <col min="16014" max="16031" width="4.28515625" style="84" customWidth="1"/>
    <col min="16032" max="16032" width="5.42578125" style="84" customWidth="1"/>
    <col min="16033" max="16042" width="4.28515625" style="84" customWidth="1"/>
    <col min="16043" max="16043" width="7.140625" style="84" customWidth="1"/>
    <col min="16044" max="16061" width="4.28515625" style="84" customWidth="1"/>
    <col min="16062" max="16384" width="2.7109375" style="84"/>
  </cols>
  <sheetData>
    <row r="1" spans="1:68" s="83" customFormat="1" ht="30" customHeight="1">
      <c r="A1" s="484" t="s">
        <v>163</v>
      </c>
      <c r="B1" s="484"/>
      <c r="C1" s="484"/>
      <c r="D1" s="484"/>
      <c r="E1" s="484"/>
      <c r="F1" s="484"/>
      <c r="G1" s="484"/>
      <c r="H1" s="484"/>
      <c r="I1" s="484"/>
      <c r="J1" s="484"/>
      <c r="K1" s="484"/>
      <c r="L1" s="484"/>
      <c r="M1" s="484"/>
      <c r="N1" s="484"/>
      <c r="O1" s="484"/>
      <c r="Y1" s="485" t="s">
        <v>164</v>
      </c>
      <c r="Z1" s="486"/>
      <c r="AA1" s="486"/>
      <c r="AB1" s="487" t="s">
        <v>281</v>
      </c>
      <c r="AC1" s="487"/>
      <c r="AD1" s="487"/>
      <c r="AE1" s="487"/>
      <c r="AF1" s="487"/>
      <c r="AG1" s="487"/>
      <c r="AH1" s="487"/>
      <c r="AI1" s="488"/>
      <c r="AJ1" s="486" t="s">
        <v>166</v>
      </c>
      <c r="AK1" s="486"/>
      <c r="AL1" s="486"/>
      <c r="AM1" s="487" t="s">
        <v>167</v>
      </c>
      <c r="AN1" s="487"/>
      <c r="AO1" s="487"/>
      <c r="AP1" s="487"/>
      <c r="AQ1" s="487"/>
      <c r="AR1" s="489"/>
      <c r="AU1" s="84"/>
      <c r="AV1" s="84"/>
      <c r="AW1" s="84"/>
      <c r="AX1" s="84"/>
      <c r="AY1" s="84"/>
    </row>
    <row r="2" spans="1:68" s="85" customFormat="1" ht="30" customHeight="1" thickBot="1">
      <c r="A2" s="484"/>
      <c r="B2" s="484"/>
      <c r="C2" s="484"/>
      <c r="D2" s="484"/>
      <c r="E2" s="484"/>
      <c r="F2" s="484"/>
      <c r="G2" s="484"/>
      <c r="H2" s="484"/>
      <c r="I2" s="484"/>
      <c r="J2" s="484"/>
      <c r="K2" s="484"/>
      <c r="L2" s="484"/>
      <c r="M2" s="484"/>
      <c r="N2" s="484"/>
      <c r="O2" s="484"/>
      <c r="Y2" s="490" t="s">
        <v>168</v>
      </c>
      <c r="Z2" s="491"/>
      <c r="AA2" s="491"/>
      <c r="AB2" s="492"/>
      <c r="AC2" s="492"/>
      <c r="AD2" s="492"/>
      <c r="AE2" s="492"/>
      <c r="AF2" s="492"/>
      <c r="AG2" s="492"/>
      <c r="AH2" s="492"/>
      <c r="AI2" s="493"/>
      <c r="AJ2" s="494" t="s">
        <v>169</v>
      </c>
      <c r="AK2" s="495"/>
      <c r="AL2" s="496"/>
      <c r="AM2" s="497"/>
      <c r="AN2" s="497"/>
      <c r="AO2" s="497"/>
      <c r="AP2" s="497"/>
      <c r="AQ2" s="497"/>
      <c r="AR2" s="498"/>
      <c r="AU2" s="84"/>
      <c r="AV2" s="84"/>
      <c r="AW2" s="84"/>
      <c r="AX2" s="84"/>
      <c r="AY2" s="84"/>
    </row>
    <row r="3" spans="1:68" s="85" customFormat="1" ht="30" customHeight="1" thickBot="1">
      <c r="A3" s="194"/>
      <c r="B3" s="194"/>
      <c r="C3" s="194"/>
      <c r="D3" s="194"/>
      <c r="E3" s="194"/>
      <c r="F3" s="194"/>
      <c r="G3" s="194"/>
      <c r="H3" s="194"/>
      <c r="I3" s="194"/>
      <c r="J3" s="194"/>
      <c r="K3" s="194"/>
      <c r="L3" s="194"/>
      <c r="M3" s="194"/>
      <c r="N3" s="194"/>
      <c r="O3" s="194"/>
      <c r="Y3" s="433" t="s">
        <v>170</v>
      </c>
      <c r="Z3" s="434"/>
      <c r="AA3" s="434"/>
      <c r="AB3" s="434"/>
      <c r="AC3" s="434"/>
      <c r="AD3" s="435"/>
      <c r="AE3" s="436"/>
      <c r="AF3" s="437"/>
      <c r="AG3" s="437"/>
      <c r="AH3" s="437"/>
      <c r="AI3" s="438"/>
      <c r="AJ3" s="439" t="s">
        <v>171</v>
      </c>
      <c r="AK3" s="440"/>
      <c r="AL3" s="441"/>
      <c r="AM3" s="442"/>
      <c r="AN3" s="443"/>
      <c r="AO3" s="443"/>
      <c r="AP3" s="443"/>
      <c r="AQ3" s="443"/>
      <c r="AR3" s="444"/>
      <c r="AU3" s="84"/>
      <c r="AV3" s="84"/>
      <c r="AW3" s="84"/>
      <c r="AX3" s="84"/>
      <c r="AY3" s="84"/>
    </row>
    <row r="4" spans="1:68" s="85" customFormat="1" ht="30.75" customHeight="1" thickBot="1">
      <c r="A4" s="445" t="s">
        <v>172</v>
      </c>
      <c r="B4" s="445"/>
      <c r="C4" s="445"/>
      <c r="D4" s="445"/>
      <c r="E4" s="445"/>
      <c r="S4" s="86"/>
      <c r="T4" s="86"/>
      <c r="U4" s="86"/>
      <c r="V4" s="86"/>
      <c r="W4" s="86"/>
      <c r="X4" s="86"/>
      <c r="Y4" s="86"/>
      <c r="Z4" s="86"/>
      <c r="AA4" s="86"/>
      <c r="AB4" s="86"/>
      <c r="AC4" s="86"/>
      <c r="AD4" s="86"/>
      <c r="AE4" s="86"/>
      <c r="AF4" s="86"/>
      <c r="AG4" s="86"/>
      <c r="AH4" s="86"/>
      <c r="AI4" s="86"/>
      <c r="AJ4" s="86"/>
      <c r="AK4" s="84"/>
      <c r="AU4" s="84"/>
      <c r="AV4" s="84"/>
      <c r="AW4" s="84"/>
      <c r="AX4" s="84"/>
      <c r="AY4" s="84"/>
    </row>
    <row r="5" spans="1:68" s="85" customFormat="1" ht="24" customHeight="1">
      <c r="A5" s="446" t="s">
        <v>173</v>
      </c>
      <c r="B5" s="447"/>
      <c r="C5" s="447"/>
      <c r="D5" s="447"/>
      <c r="E5" s="447"/>
      <c r="F5" s="447"/>
      <c r="G5" s="447"/>
      <c r="H5" s="447"/>
      <c r="I5" s="447"/>
      <c r="J5" s="447"/>
      <c r="K5" s="447"/>
      <c r="L5" s="447"/>
      <c r="M5" s="447"/>
      <c r="N5" s="447"/>
      <c r="O5" s="447"/>
      <c r="P5" s="447"/>
      <c r="Q5" s="447"/>
      <c r="R5" s="447"/>
      <c r="S5" s="447"/>
      <c r="T5" s="447"/>
      <c r="U5" s="447"/>
      <c r="V5" s="447"/>
      <c r="W5" s="447"/>
      <c r="X5" s="447"/>
      <c r="Y5" s="447"/>
      <c r="Z5" s="448"/>
      <c r="AA5" s="449" t="s">
        <v>174</v>
      </c>
      <c r="AB5" s="450"/>
      <c r="AC5" s="450"/>
      <c r="AD5" s="450"/>
      <c r="AE5" s="450"/>
      <c r="AF5" s="450"/>
      <c r="AG5" s="450"/>
      <c r="AH5" s="451"/>
      <c r="AI5" s="452" t="s">
        <v>175</v>
      </c>
      <c r="AJ5" s="453"/>
      <c r="AK5" s="453"/>
      <c r="AL5" s="453"/>
      <c r="AM5" s="453"/>
      <c r="AN5" s="453"/>
      <c r="AO5" s="453"/>
      <c r="AP5" s="454"/>
      <c r="AQ5" s="455" t="s">
        <v>176</v>
      </c>
      <c r="AR5" s="456"/>
      <c r="AU5" s="550" t="s">
        <v>282</v>
      </c>
      <c r="AV5" s="550"/>
      <c r="AW5" s="550"/>
      <c r="AX5" s="550"/>
      <c r="AY5" s="550"/>
      <c r="AZ5" s="550"/>
      <c r="BA5" s="550"/>
      <c r="BB5" s="550"/>
      <c r="BC5" s="550"/>
    </row>
    <row r="6" spans="1:68" ht="15.6" customHeight="1">
      <c r="A6" s="279" t="s">
        <v>177</v>
      </c>
      <c r="B6" s="310" t="s">
        <v>178</v>
      </c>
      <c r="C6" s="311"/>
      <c r="D6" s="311"/>
      <c r="E6" s="311"/>
      <c r="F6" s="311"/>
      <c r="G6" s="312"/>
      <c r="H6" s="310" t="s">
        <v>179</v>
      </c>
      <c r="I6" s="311"/>
      <c r="J6" s="311"/>
      <c r="K6" s="311"/>
      <c r="L6" s="311"/>
      <c r="M6" s="311"/>
      <c r="N6" s="311"/>
      <c r="O6" s="311"/>
      <c r="P6" s="312"/>
      <c r="Q6" s="310" t="s">
        <v>180</v>
      </c>
      <c r="R6" s="311"/>
      <c r="S6" s="311"/>
      <c r="T6" s="311"/>
      <c r="U6" s="311"/>
      <c r="V6" s="311"/>
      <c r="W6" s="311"/>
      <c r="X6" s="311"/>
      <c r="Y6" s="312"/>
      <c r="Z6" s="461" t="s">
        <v>181</v>
      </c>
      <c r="AA6" s="464" t="s">
        <v>182</v>
      </c>
      <c r="AB6" s="465"/>
      <c r="AC6" s="465"/>
      <c r="AD6" s="465"/>
      <c r="AE6" s="465"/>
      <c r="AF6" s="465"/>
      <c r="AG6" s="465"/>
      <c r="AH6" s="466"/>
      <c r="AI6" s="467" t="s">
        <v>183</v>
      </c>
      <c r="AJ6" s="468"/>
      <c r="AK6" s="468"/>
      <c r="AL6" s="468"/>
      <c r="AM6" s="468"/>
      <c r="AN6" s="468"/>
      <c r="AO6" s="468"/>
      <c r="AP6" s="469"/>
      <c r="AQ6" s="457"/>
      <c r="AR6" s="458"/>
      <c r="AU6" s="551"/>
      <c r="AV6" s="551"/>
      <c r="AW6" s="551"/>
      <c r="AX6" s="551"/>
      <c r="AY6" s="551"/>
      <c r="AZ6" s="551"/>
      <c r="BA6" s="551"/>
      <c r="BB6" s="551"/>
      <c r="BC6" s="551"/>
      <c r="BD6" s="105"/>
      <c r="BE6" s="105"/>
      <c r="BF6" s="105"/>
      <c r="BG6" s="105"/>
      <c r="BH6" s="105"/>
      <c r="BI6" s="105"/>
      <c r="BJ6" s="105"/>
      <c r="BK6" s="105"/>
      <c r="BL6" s="105"/>
      <c r="BM6" s="105"/>
      <c r="BN6" s="105"/>
      <c r="BO6" s="105"/>
      <c r="BP6" s="105"/>
    </row>
    <row r="7" spans="1:68" ht="15.6" customHeight="1">
      <c r="A7" s="280"/>
      <c r="B7" s="326" t="s">
        <v>184</v>
      </c>
      <c r="C7" s="327"/>
      <c r="D7" s="327"/>
      <c r="E7" s="327"/>
      <c r="F7" s="327"/>
      <c r="G7" s="470"/>
      <c r="H7" s="326" t="s">
        <v>185</v>
      </c>
      <c r="I7" s="327"/>
      <c r="J7" s="327"/>
      <c r="K7" s="327"/>
      <c r="L7" s="327"/>
      <c r="M7" s="327"/>
      <c r="N7" s="327"/>
      <c r="O7" s="327"/>
      <c r="P7" s="470"/>
      <c r="Q7" s="472" t="s">
        <v>186</v>
      </c>
      <c r="R7" s="473"/>
      <c r="S7" s="473"/>
      <c r="T7" s="473"/>
      <c r="U7" s="473"/>
      <c r="V7" s="473"/>
      <c r="W7" s="473"/>
      <c r="X7" s="473"/>
      <c r="Y7" s="474"/>
      <c r="Z7" s="462"/>
      <c r="AA7" s="478" t="s">
        <v>187</v>
      </c>
      <c r="AB7" s="479"/>
      <c r="AC7" s="479"/>
      <c r="AD7" s="479"/>
      <c r="AE7" s="479"/>
      <c r="AF7" s="479"/>
      <c r="AG7" s="479"/>
      <c r="AH7" s="480"/>
      <c r="AI7" s="425" t="s">
        <v>188</v>
      </c>
      <c r="AJ7" s="426"/>
      <c r="AK7" s="426"/>
      <c r="AL7" s="426"/>
      <c r="AM7" s="426"/>
      <c r="AN7" s="426"/>
      <c r="AO7" s="426"/>
      <c r="AP7" s="427"/>
      <c r="AQ7" s="457"/>
      <c r="AR7" s="458"/>
      <c r="AU7" s="97"/>
      <c r="BP7" s="101"/>
    </row>
    <row r="8" spans="1:68" ht="14.25" customHeight="1">
      <c r="A8" s="281"/>
      <c r="B8" s="329"/>
      <c r="C8" s="330"/>
      <c r="D8" s="330"/>
      <c r="E8" s="330"/>
      <c r="F8" s="330"/>
      <c r="G8" s="471"/>
      <c r="H8" s="329"/>
      <c r="I8" s="330"/>
      <c r="J8" s="330"/>
      <c r="K8" s="330"/>
      <c r="L8" s="330"/>
      <c r="M8" s="330"/>
      <c r="N8" s="330"/>
      <c r="O8" s="330"/>
      <c r="P8" s="471"/>
      <c r="Q8" s="475"/>
      <c r="R8" s="476"/>
      <c r="S8" s="476"/>
      <c r="T8" s="476"/>
      <c r="U8" s="476"/>
      <c r="V8" s="476"/>
      <c r="W8" s="476"/>
      <c r="X8" s="476"/>
      <c r="Y8" s="477"/>
      <c r="Z8" s="463"/>
      <c r="AA8" s="481"/>
      <c r="AB8" s="482"/>
      <c r="AC8" s="482"/>
      <c r="AD8" s="482"/>
      <c r="AE8" s="482"/>
      <c r="AF8" s="482"/>
      <c r="AG8" s="482"/>
      <c r="AH8" s="483"/>
      <c r="AI8" s="428"/>
      <c r="AJ8" s="429"/>
      <c r="AK8" s="429"/>
      <c r="AL8" s="429"/>
      <c r="AM8" s="429"/>
      <c r="AN8" s="429"/>
      <c r="AO8" s="429"/>
      <c r="AP8" s="430"/>
      <c r="AQ8" s="459"/>
      <c r="AR8" s="460"/>
      <c r="AU8" s="100"/>
      <c r="AV8" s="189" t="s">
        <v>218</v>
      </c>
      <c r="BF8" s="532" t="s">
        <v>219</v>
      </c>
      <c r="BG8" s="533"/>
      <c r="BH8" s="533"/>
      <c r="BI8" s="533"/>
      <c r="BJ8" s="533"/>
      <c r="BK8" s="534"/>
      <c r="BO8" s="85"/>
      <c r="BP8" s="102"/>
    </row>
    <row r="9" spans="1:68" ht="20.100000000000001" customHeight="1">
      <c r="A9" s="279">
        <v>1</v>
      </c>
      <c r="B9" s="381" t="s">
        <v>189</v>
      </c>
      <c r="C9" s="382"/>
      <c r="D9" s="382"/>
      <c r="E9" s="382"/>
      <c r="F9" s="382"/>
      <c r="G9" s="383"/>
      <c r="H9" s="384" t="s">
        <v>283</v>
      </c>
      <c r="I9" s="385"/>
      <c r="J9" s="385"/>
      <c r="K9" s="385"/>
      <c r="L9" s="385"/>
      <c r="M9" s="385"/>
      <c r="N9" s="385"/>
      <c r="O9" s="385"/>
      <c r="P9" s="386"/>
      <c r="Q9" s="87" t="s">
        <v>190</v>
      </c>
      <c r="R9" s="431" t="s">
        <v>284</v>
      </c>
      <c r="S9" s="431"/>
      <c r="T9" s="431"/>
      <c r="U9" s="431"/>
      <c r="V9" s="431"/>
      <c r="W9" s="431"/>
      <c r="X9" s="431"/>
      <c r="Y9" s="432"/>
      <c r="Z9" s="395">
        <v>4</v>
      </c>
      <c r="AA9" s="398"/>
      <c r="AB9" s="399"/>
      <c r="AC9" s="399"/>
      <c r="AD9" s="399"/>
      <c r="AE9" s="399"/>
      <c r="AF9" s="399"/>
      <c r="AG9" s="399"/>
      <c r="AH9" s="400"/>
      <c r="AI9" s="398"/>
      <c r="AJ9" s="399"/>
      <c r="AK9" s="399"/>
      <c r="AL9" s="399"/>
      <c r="AM9" s="399"/>
      <c r="AN9" s="399"/>
      <c r="AO9" s="399"/>
      <c r="AP9" s="661"/>
      <c r="AQ9" s="421" t="s">
        <v>191</v>
      </c>
      <c r="AR9" s="422"/>
      <c r="AU9" s="103"/>
      <c r="AV9" s="119" t="s">
        <v>224</v>
      </c>
      <c r="AW9" s="541" t="s">
        <v>225</v>
      </c>
      <c r="AX9" s="542"/>
      <c r="AY9" s="542"/>
      <c r="AZ9" s="542"/>
      <c r="BA9" s="542"/>
      <c r="BB9" s="542"/>
      <c r="BC9" s="542"/>
      <c r="BD9" s="542"/>
      <c r="BE9" s="543"/>
      <c r="BF9" s="532" t="s">
        <v>226</v>
      </c>
      <c r="BG9" s="534"/>
      <c r="BH9" s="532" t="s">
        <v>227</v>
      </c>
      <c r="BI9" s="534"/>
      <c r="BJ9" s="544" t="s">
        <v>228</v>
      </c>
      <c r="BK9" s="545"/>
      <c r="BL9" s="92"/>
      <c r="BM9" s="92"/>
      <c r="BN9" s="92"/>
      <c r="BP9" s="101"/>
    </row>
    <row r="10" spans="1:68" ht="20.100000000000001" customHeight="1">
      <c r="A10" s="280"/>
      <c r="B10" s="358"/>
      <c r="C10" s="359"/>
      <c r="D10" s="359"/>
      <c r="E10" s="359"/>
      <c r="F10" s="359"/>
      <c r="G10" s="360"/>
      <c r="H10" s="387"/>
      <c r="I10" s="388"/>
      <c r="J10" s="388"/>
      <c r="K10" s="388"/>
      <c r="L10" s="388"/>
      <c r="M10" s="388"/>
      <c r="N10" s="388"/>
      <c r="O10" s="388"/>
      <c r="P10" s="389"/>
      <c r="Q10" s="88" t="s">
        <v>192</v>
      </c>
      <c r="R10" s="364" t="s">
        <v>285</v>
      </c>
      <c r="S10" s="364"/>
      <c r="T10" s="364"/>
      <c r="U10" s="364"/>
      <c r="V10" s="364"/>
      <c r="W10" s="364"/>
      <c r="X10" s="364"/>
      <c r="Y10" s="365"/>
      <c r="Z10" s="396"/>
      <c r="AA10" s="401"/>
      <c r="AB10" s="298"/>
      <c r="AC10" s="298"/>
      <c r="AD10" s="298"/>
      <c r="AE10" s="298"/>
      <c r="AF10" s="298"/>
      <c r="AG10" s="298"/>
      <c r="AH10" s="402"/>
      <c r="AI10" s="401"/>
      <c r="AJ10" s="298"/>
      <c r="AK10" s="298"/>
      <c r="AL10" s="298"/>
      <c r="AM10" s="298"/>
      <c r="AN10" s="298"/>
      <c r="AO10" s="298"/>
      <c r="AP10" s="662"/>
      <c r="AQ10" s="377"/>
      <c r="AR10" s="378"/>
      <c r="AU10" s="103"/>
      <c r="AV10" s="120">
        <v>5</v>
      </c>
      <c r="AW10" s="546" t="s">
        <v>231</v>
      </c>
      <c r="AX10" s="547"/>
      <c r="AY10" s="547"/>
      <c r="AZ10" s="547"/>
      <c r="BA10" s="547"/>
      <c r="BB10" s="547"/>
      <c r="BC10" s="547"/>
      <c r="BD10" s="547"/>
      <c r="BE10" s="548"/>
      <c r="BF10" s="539" t="s">
        <v>232</v>
      </c>
      <c r="BG10" s="540"/>
      <c r="BH10" s="539" t="s">
        <v>233</v>
      </c>
      <c r="BI10" s="540"/>
      <c r="BJ10" s="539" t="s">
        <v>233</v>
      </c>
      <c r="BK10" s="540"/>
      <c r="BL10" s="121" t="s">
        <v>234</v>
      </c>
      <c r="BN10" s="92"/>
      <c r="BP10" s="101"/>
    </row>
    <row r="11" spans="1:68" ht="20.100000000000001" customHeight="1">
      <c r="A11" s="280"/>
      <c r="B11" s="358"/>
      <c r="C11" s="359"/>
      <c r="D11" s="359"/>
      <c r="E11" s="359"/>
      <c r="F11" s="359"/>
      <c r="G11" s="360"/>
      <c r="H11" s="387"/>
      <c r="I11" s="388"/>
      <c r="J11" s="388"/>
      <c r="K11" s="388"/>
      <c r="L11" s="388"/>
      <c r="M11" s="388"/>
      <c r="N11" s="388"/>
      <c r="O11" s="388"/>
      <c r="P11" s="389"/>
      <c r="Q11" s="88" t="s">
        <v>193</v>
      </c>
      <c r="R11" s="364" t="s">
        <v>286</v>
      </c>
      <c r="S11" s="364"/>
      <c r="T11" s="364"/>
      <c r="U11" s="364"/>
      <c r="V11" s="364"/>
      <c r="W11" s="364"/>
      <c r="X11" s="364"/>
      <c r="Y11" s="365"/>
      <c r="Z11" s="396"/>
      <c r="AA11" s="401"/>
      <c r="AB11" s="298"/>
      <c r="AC11" s="298"/>
      <c r="AD11" s="298"/>
      <c r="AE11" s="298"/>
      <c r="AF11" s="298"/>
      <c r="AG11" s="298"/>
      <c r="AH11" s="402"/>
      <c r="AI11" s="401"/>
      <c r="AJ11" s="298"/>
      <c r="AK11" s="298"/>
      <c r="AL11" s="298"/>
      <c r="AM11" s="298"/>
      <c r="AN11" s="298"/>
      <c r="AO11" s="298"/>
      <c r="AP11" s="662"/>
      <c r="AQ11" s="379"/>
      <c r="AR11" s="380"/>
      <c r="AU11" s="103"/>
      <c r="AV11" s="190">
        <v>4</v>
      </c>
      <c r="AW11" s="526" t="s">
        <v>236</v>
      </c>
      <c r="AX11" s="527"/>
      <c r="AY11" s="527"/>
      <c r="AZ11" s="527"/>
      <c r="BA11" s="527"/>
      <c r="BB11" s="527"/>
      <c r="BC11" s="527"/>
      <c r="BD11" s="527"/>
      <c r="BE11" s="528"/>
      <c r="BF11" s="503" t="s">
        <v>233</v>
      </c>
      <c r="BG11" s="504"/>
      <c r="BH11" s="503" t="s">
        <v>237</v>
      </c>
      <c r="BI11" s="504"/>
      <c r="BJ11" s="503" t="s">
        <v>237</v>
      </c>
      <c r="BK11" s="504"/>
      <c r="BL11" s="191" t="s">
        <v>238</v>
      </c>
      <c r="BN11" s="92"/>
      <c r="BP11" s="101"/>
    </row>
    <row r="12" spans="1:68" ht="20.100000000000001" customHeight="1">
      <c r="A12" s="280"/>
      <c r="B12" s="374"/>
      <c r="C12" s="375"/>
      <c r="D12" s="375"/>
      <c r="E12" s="375"/>
      <c r="F12" s="375"/>
      <c r="G12" s="376"/>
      <c r="H12" s="387"/>
      <c r="I12" s="388"/>
      <c r="J12" s="388"/>
      <c r="K12" s="388"/>
      <c r="L12" s="388"/>
      <c r="M12" s="388"/>
      <c r="N12" s="388"/>
      <c r="O12" s="388"/>
      <c r="P12" s="389"/>
      <c r="Q12" s="88" t="s">
        <v>194</v>
      </c>
      <c r="R12" s="364" t="s">
        <v>287</v>
      </c>
      <c r="S12" s="364"/>
      <c r="T12" s="364"/>
      <c r="U12" s="364"/>
      <c r="V12" s="364"/>
      <c r="W12" s="364"/>
      <c r="X12" s="364"/>
      <c r="Y12" s="365"/>
      <c r="Z12" s="396"/>
      <c r="AA12" s="401"/>
      <c r="AB12" s="298"/>
      <c r="AC12" s="298"/>
      <c r="AD12" s="298"/>
      <c r="AE12" s="298"/>
      <c r="AF12" s="298"/>
      <c r="AG12" s="298"/>
      <c r="AH12" s="402"/>
      <c r="AI12" s="401"/>
      <c r="AJ12" s="298"/>
      <c r="AK12" s="298"/>
      <c r="AL12" s="298"/>
      <c r="AM12" s="298"/>
      <c r="AN12" s="298"/>
      <c r="AO12" s="298"/>
      <c r="AP12" s="662"/>
      <c r="AQ12" s="423"/>
      <c r="AR12" s="424"/>
      <c r="AU12" s="103"/>
      <c r="AV12" s="190">
        <v>3</v>
      </c>
      <c r="AW12" s="526" t="s">
        <v>240</v>
      </c>
      <c r="AX12" s="527"/>
      <c r="AY12" s="527"/>
      <c r="AZ12" s="527"/>
      <c r="BA12" s="527"/>
      <c r="BB12" s="527"/>
      <c r="BC12" s="527"/>
      <c r="BD12" s="527"/>
      <c r="BE12" s="528"/>
      <c r="BF12" s="529" t="s">
        <v>241</v>
      </c>
      <c r="BG12" s="530"/>
      <c r="BH12" s="529" t="s">
        <v>242</v>
      </c>
      <c r="BI12" s="530"/>
      <c r="BJ12" s="529" t="s">
        <v>242</v>
      </c>
      <c r="BK12" s="530"/>
      <c r="BL12" s="92"/>
      <c r="BM12" s="92"/>
      <c r="BN12" s="92"/>
      <c r="BP12" s="101"/>
    </row>
    <row r="13" spans="1:68" ht="20.100000000000001" customHeight="1">
      <c r="A13" s="280"/>
      <c r="B13" s="406" t="s">
        <v>195</v>
      </c>
      <c r="C13" s="407"/>
      <c r="D13" s="407"/>
      <c r="E13" s="407"/>
      <c r="F13" s="407"/>
      <c r="G13" s="408"/>
      <c r="H13" s="387"/>
      <c r="I13" s="388"/>
      <c r="J13" s="388"/>
      <c r="K13" s="388"/>
      <c r="L13" s="388"/>
      <c r="M13" s="388"/>
      <c r="N13" s="388"/>
      <c r="O13" s="388"/>
      <c r="P13" s="389"/>
      <c r="Q13" s="88" t="s">
        <v>196</v>
      </c>
      <c r="R13" s="364" t="s">
        <v>287</v>
      </c>
      <c r="S13" s="364"/>
      <c r="T13" s="364"/>
      <c r="U13" s="364"/>
      <c r="V13" s="364"/>
      <c r="W13" s="364"/>
      <c r="X13" s="364"/>
      <c r="Y13" s="365"/>
      <c r="Z13" s="396"/>
      <c r="AA13" s="401"/>
      <c r="AB13" s="298"/>
      <c r="AC13" s="298"/>
      <c r="AD13" s="298"/>
      <c r="AE13" s="298"/>
      <c r="AF13" s="298"/>
      <c r="AG13" s="298"/>
      <c r="AH13" s="402"/>
      <c r="AI13" s="401"/>
      <c r="AJ13" s="298"/>
      <c r="AK13" s="298"/>
      <c r="AL13" s="298"/>
      <c r="AM13" s="298"/>
      <c r="AN13" s="298"/>
      <c r="AO13" s="298"/>
      <c r="AP13" s="662"/>
      <c r="AQ13" s="409" t="s">
        <v>197</v>
      </c>
      <c r="AR13" s="410"/>
      <c r="AU13" s="103"/>
      <c r="AV13" s="190">
        <v>2</v>
      </c>
      <c r="AW13" s="526" t="s">
        <v>244</v>
      </c>
      <c r="AX13" s="527"/>
      <c r="AY13" s="527"/>
      <c r="AZ13" s="527"/>
      <c r="BA13" s="527"/>
      <c r="BB13" s="527"/>
      <c r="BC13" s="527"/>
      <c r="BD13" s="527"/>
      <c r="BE13" s="528"/>
      <c r="BF13" s="503" t="s">
        <v>237</v>
      </c>
      <c r="BG13" s="504"/>
      <c r="BH13" s="503" t="s">
        <v>245</v>
      </c>
      <c r="BI13" s="504"/>
      <c r="BJ13" s="503" t="s">
        <v>245</v>
      </c>
      <c r="BK13" s="504"/>
      <c r="BL13" s="92"/>
      <c r="BM13" s="92"/>
      <c r="BN13" s="92"/>
      <c r="BP13" s="101"/>
    </row>
    <row r="14" spans="1:68" ht="20.100000000000001" customHeight="1">
      <c r="A14" s="280"/>
      <c r="B14" s="358" t="s">
        <v>288</v>
      </c>
      <c r="C14" s="359"/>
      <c r="D14" s="359"/>
      <c r="E14" s="359"/>
      <c r="F14" s="359"/>
      <c r="G14" s="360"/>
      <c r="H14" s="387"/>
      <c r="I14" s="388"/>
      <c r="J14" s="388"/>
      <c r="K14" s="388"/>
      <c r="L14" s="388"/>
      <c r="M14" s="388"/>
      <c r="N14" s="388"/>
      <c r="O14" s="388"/>
      <c r="P14" s="389"/>
      <c r="Q14" s="88" t="s">
        <v>198</v>
      </c>
      <c r="R14" s="364" t="s">
        <v>289</v>
      </c>
      <c r="S14" s="364"/>
      <c r="T14" s="364"/>
      <c r="U14" s="364"/>
      <c r="V14" s="364"/>
      <c r="W14" s="364"/>
      <c r="X14" s="364"/>
      <c r="Y14" s="365"/>
      <c r="Z14" s="396"/>
      <c r="AA14" s="401"/>
      <c r="AB14" s="298"/>
      <c r="AC14" s="298"/>
      <c r="AD14" s="298"/>
      <c r="AE14" s="298"/>
      <c r="AF14" s="298"/>
      <c r="AG14" s="298"/>
      <c r="AH14" s="402"/>
      <c r="AI14" s="401"/>
      <c r="AJ14" s="298"/>
      <c r="AK14" s="298"/>
      <c r="AL14" s="298"/>
      <c r="AM14" s="298"/>
      <c r="AN14" s="298"/>
      <c r="AO14" s="298"/>
      <c r="AP14" s="663"/>
      <c r="AQ14" s="366">
        <f>Z9*AQ10</f>
        <v>0</v>
      </c>
      <c r="AR14" s="367"/>
      <c r="AU14" s="103"/>
      <c r="AV14" s="190">
        <v>1</v>
      </c>
      <c r="AW14" s="526" t="s">
        <v>248</v>
      </c>
      <c r="AX14" s="527"/>
      <c r="AY14" s="527"/>
      <c r="AZ14" s="527"/>
      <c r="BA14" s="527"/>
      <c r="BB14" s="527"/>
      <c r="BC14" s="527"/>
      <c r="BD14" s="527"/>
      <c r="BE14" s="528"/>
      <c r="BF14" s="503" t="s">
        <v>249</v>
      </c>
      <c r="BG14" s="504"/>
      <c r="BH14" s="503" t="s">
        <v>250</v>
      </c>
      <c r="BI14" s="504"/>
      <c r="BJ14" s="503" t="s">
        <v>251</v>
      </c>
      <c r="BK14" s="504"/>
      <c r="BL14" s="92"/>
      <c r="BM14" s="92"/>
      <c r="BN14" s="92"/>
      <c r="BP14" s="101"/>
    </row>
    <row r="15" spans="1:68" ht="20.100000000000001" customHeight="1">
      <c r="A15" s="280"/>
      <c r="B15" s="358"/>
      <c r="C15" s="359"/>
      <c r="D15" s="359"/>
      <c r="E15" s="359"/>
      <c r="F15" s="359"/>
      <c r="G15" s="360"/>
      <c r="H15" s="387"/>
      <c r="I15" s="388"/>
      <c r="J15" s="388"/>
      <c r="K15" s="388"/>
      <c r="L15" s="388"/>
      <c r="M15" s="388"/>
      <c r="N15" s="388"/>
      <c r="O15" s="388"/>
      <c r="P15" s="389"/>
      <c r="R15" s="359"/>
      <c r="S15" s="359"/>
      <c r="T15" s="359"/>
      <c r="U15" s="359"/>
      <c r="V15" s="359"/>
      <c r="W15" s="359"/>
      <c r="X15" s="359"/>
      <c r="Y15" s="360"/>
      <c r="Z15" s="396"/>
      <c r="AA15" s="401"/>
      <c r="AB15" s="298"/>
      <c r="AC15" s="298"/>
      <c r="AD15" s="298"/>
      <c r="AE15" s="298"/>
      <c r="AF15" s="298"/>
      <c r="AG15" s="298"/>
      <c r="AH15" s="402"/>
      <c r="AI15" s="401"/>
      <c r="AJ15" s="298"/>
      <c r="AK15" s="298"/>
      <c r="AL15" s="298"/>
      <c r="AM15" s="298"/>
      <c r="AN15" s="298"/>
      <c r="AO15" s="298"/>
      <c r="AP15" s="663"/>
      <c r="AQ15" s="368"/>
      <c r="AR15" s="369"/>
      <c r="AU15" s="103"/>
      <c r="AV15" s="192">
        <v>0</v>
      </c>
      <c r="AW15" s="523" t="s">
        <v>252</v>
      </c>
      <c r="AX15" s="524"/>
      <c r="AY15" s="524"/>
      <c r="AZ15" s="524"/>
      <c r="BA15" s="524"/>
      <c r="BB15" s="524"/>
      <c r="BC15" s="524"/>
      <c r="BD15" s="524"/>
      <c r="BE15" s="525"/>
      <c r="BF15" s="505" t="s">
        <v>253</v>
      </c>
      <c r="BG15" s="506"/>
      <c r="BH15" s="505" t="s">
        <v>254</v>
      </c>
      <c r="BI15" s="506"/>
      <c r="BJ15" s="505" t="s">
        <v>255</v>
      </c>
      <c r="BK15" s="506"/>
      <c r="BL15" s="92"/>
      <c r="BM15" s="92"/>
      <c r="BN15" s="92"/>
      <c r="BP15" s="101"/>
    </row>
    <row r="16" spans="1:68" ht="20.100000000000001" customHeight="1">
      <c r="A16" s="281"/>
      <c r="B16" s="416"/>
      <c r="C16" s="417"/>
      <c r="D16" s="417"/>
      <c r="E16" s="417"/>
      <c r="F16" s="417"/>
      <c r="G16" s="418"/>
      <c r="H16" s="411"/>
      <c r="I16" s="412"/>
      <c r="J16" s="412"/>
      <c r="K16" s="412"/>
      <c r="L16" s="412"/>
      <c r="M16" s="412"/>
      <c r="N16" s="412"/>
      <c r="O16" s="412"/>
      <c r="P16" s="413"/>
      <c r="Q16" s="88"/>
      <c r="R16" s="417"/>
      <c r="S16" s="417"/>
      <c r="T16" s="417"/>
      <c r="U16" s="417"/>
      <c r="V16" s="417"/>
      <c r="W16" s="417"/>
      <c r="X16" s="417"/>
      <c r="Y16" s="418"/>
      <c r="Z16" s="414"/>
      <c r="AA16" s="405"/>
      <c r="AB16" s="301"/>
      <c r="AC16" s="301"/>
      <c r="AD16" s="301"/>
      <c r="AE16" s="301"/>
      <c r="AF16" s="301"/>
      <c r="AG16" s="301"/>
      <c r="AH16" s="415"/>
      <c r="AI16" s="405"/>
      <c r="AJ16" s="301"/>
      <c r="AK16" s="301"/>
      <c r="AL16" s="301"/>
      <c r="AM16" s="301"/>
      <c r="AN16" s="301"/>
      <c r="AO16" s="301"/>
      <c r="AP16" s="664"/>
      <c r="AQ16" s="419"/>
      <c r="AR16" s="420"/>
      <c r="AU16" s="100"/>
      <c r="BP16" s="101"/>
    </row>
    <row r="17" spans="1:68" ht="20.100000000000001" customHeight="1">
      <c r="A17" s="279">
        <v>2</v>
      </c>
      <c r="B17" s="381" t="s">
        <v>189</v>
      </c>
      <c r="C17" s="382"/>
      <c r="D17" s="382"/>
      <c r="E17" s="382"/>
      <c r="F17" s="382"/>
      <c r="G17" s="383"/>
      <c r="H17" s="384" t="s">
        <v>290</v>
      </c>
      <c r="I17" s="385"/>
      <c r="J17" s="385"/>
      <c r="K17" s="385"/>
      <c r="L17" s="385"/>
      <c r="M17" s="385"/>
      <c r="N17" s="385"/>
      <c r="O17" s="385"/>
      <c r="P17" s="386"/>
      <c r="Q17" s="87" t="s">
        <v>190</v>
      </c>
      <c r="R17" s="393" t="s">
        <v>291</v>
      </c>
      <c r="S17" s="393"/>
      <c r="T17" s="393"/>
      <c r="U17" s="393"/>
      <c r="V17" s="393"/>
      <c r="W17" s="393"/>
      <c r="X17" s="393"/>
      <c r="Y17" s="394"/>
      <c r="Z17" s="395">
        <v>4</v>
      </c>
      <c r="AA17" s="398"/>
      <c r="AB17" s="399"/>
      <c r="AC17" s="399"/>
      <c r="AD17" s="399"/>
      <c r="AE17" s="399"/>
      <c r="AF17" s="399"/>
      <c r="AG17" s="399"/>
      <c r="AH17" s="400"/>
      <c r="AI17" s="398"/>
      <c r="AJ17" s="399"/>
      <c r="AK17" s="399"/>
      <c r="AL17" s="399"/>
      <c r="AM17" s="399"/>
      <c r="AN17" s="399"/>
      <c r="AO17" s="399"/>
      <c r="AP17" s="661"/>
      <c r="AQ17" s="372" t="s">
        <v>211</v>
      </c>
      <c r="AR17" s="373"/>
      <c r="AU17" s="100"/>
      <c r="AV17" s="107" t="s">
        <v>256</v>
      </c>
      <c r="BN17" s="91"/>
      <c r="BO17" s="91"/>
      <c r="BP17" s="101"/>
    </row>
    <row r="18" spans="1:68" ht="19.5" customHeight="1">
      <c r="A18" s="280"/>
      <c r="B18" s="358"/>
      <c r="C18" s="359"/>
      <c r="D18" s="359"/>
      <c r="E18" s="359"/>
      <c r="F18" s="359"/>
      <c r="G18" s="360"/>
      <c r="H18" s="387"/>
      <c r="I18" s="388"/>
      <c r="J18" s="388"/>
      <c r="K18" s="388"/>
      <c r="L18" s="388"/>
      <c r="M18" s="388"/>
      <c r="N18" s="388"/>
      <c r="O18" s="388"/>
      <c r="P18" s="389"/>
      <c r="Q18" s="88" t="s">
        <v>192</v>
      </c>
      <c r="R18" s="359" t="s">
        <v>291</v>
      </c>
      <c r="S18" s="359"/>
      <c r="T18" s="359"/>
      <c r="U18" s="359"/>
      <c r="V18" s="359"/>
      <c r="W18" s="359"/>
      <c r="X18" s="359"/>
      <c r="Y18" s="360"/>
      <c r="Z18" s="396"/>
      <c r="AA18" s="401"/>
      <c r="AB18" s="298"/>
      <c r="AC18" s="298"/>
      <c r="AD18" s="298"/>
      <c r="AE18" s="298"/>
      <c r="AF18" s="298"/>
      <c r="AG18" s="298"/>
      <c r="AH18" s="402"/>
      <c r="AI18" s="401"/>
      <c r="AJ18" s="298"/>
      <c r="AK18" s="298"/>
      <c r="AL18" s="298"/>
      <c r="AM18" s="298"/>
      <c r="AN18" s="298"/>
      <c r="AO18" s="298"/>
      <c r="AP18" s="662"/>
      <c r="AQ18" s="377"/>
      <c r="AR18" s="378"/>
      <c r="AU18" s="100"/>
      <c r="AV18" s="532" t="s">
        <v>257</v>
      </c>
      <c r="AW18" s="533"/>
      <c r="AX18" s="534"/>
      <c r="AY18" s="532" t="s">
        <v>258</v>
      </c>
      <c r="AZ18" s="533"/>
      <c r="BA18" s="533"/>
      <c r="BB18" s="533"/>
      <c r="BC18" s="533"/>
      <c r="BD18" s="533"/>
      <c r="BE18" s="533"/>
      <c r="BF18" s="533"/>
      <c r="BG18" s="534"/>
      <c r="BH18" s="532" t="s">
        <v>256</v>
      </c>
      <c r="BI18" s="533"/>
      <c r="BJ18" s="533"/>
      <c r="BK18" s="533"/>
      <c r="BL18" s="533"/>
      <c r="BM18" s="533"/>
      <c r="BN18" s="533"/>
      <c r="BO18" s="534"/>
      <c r="BP18" s="101"/>
    </row>
    <row r="19" spans="1:68" ht="19.5" customHeight="1">
      <c r="A19" s="280"/>
      <c r="B19" s="358"/>
      <c r="C19" s="359"/>
      <c r="D19" s="359"/>
      <c r="E19" s="359"/>
      <c r="F19" s="359"/>
      <c r="G19" s="360"/>
      <c r="H19" s="387"/>
      <c r="I19" s="388"/>
      <c r="J19" s="388"/>
      <c r="K19" s="388"/>
      <c r="L19" s="388"/>
      <c r="M19" s="388"/>
      <c r="N19" s="388"/>
      <c r="O19" s="388"/>
      <c r="P19" s="389"/>
      <c r="Q19" s="88" t="s">
        <v>193</v>
      </c>
      <c r="R19" s="359" t="s">
        <v>292</v>
      </c>
      <c r="S19" s="359"/>
      <c r="T19" s="359"/>
      <c r="U19" s="359"/>
      <c r="V19" s="359"/>
      <c r="W19" s="359"/>
      <c r="X19" s="359"/>
      <c r="Y19" s="360"/>
      <c r="Z19" s="396"/>
      <c r="AA19" s="401"/>
      <c r="AB19" s="298"/>
      <c r="AC19" s="298"/>
      <c r="AD19" s="298"/>
      <c r="AE19" s="298"/>
      <c r="AF19" s="298"/>
      <c r="AG19" s="298"/>
      <c r="AH19" s="402"/>
      <c r="AI19" s="401"/>
      <c r="AJ19" s="298"/>
      <c r="AK19" s="298"/>
      <c r="AL19" s="298"/>
      <c r="AM19" s="298"/>
      <c r="AN19" s="298"/>
      <c r="AO19" s="298"/>
      <c r="AP19" s="662"/>
      <c r="AQ19" s="379"/>
      <c r="AR19" s="380"/>
      <c r="AU19" s="103"/>
      <c r="AV19" s="552" t="s">
        <v>293</v>
      </c>
      <c r="AW19" s="516"/>
      <c r="AX19" s="517"/>
      <c r="AY19" s="510" t="s">
        <v>294</v>
      </c>
      <c r="AZ19" s="511"/>
      <c r="BA19" s="511"/>
      <c r="BB19" s="511"/>
      <c r="BC19" s="511"/>
      <c r="BD19" s="511"/>
      <c r="BE19" s="511"/>
      <c r="BF19" s="511"/>
      <c r="BG19" s="512"/>
      <c r="BH19" s="552" t="s">
        <v>295</v>
      </c>
      <c r="BI19" s="516"/>
      <c r="BJ19" s="516"/>
      <c r="BK19" s="516"/>
      <c r="BL19" s="516"/>
      <c r="BM19" s="516"/>
      <c r="BN19" s="516"/>
      <c r="BO19" s="517"/>
      <c r="BP19" s="101"/>
    </row>
    <row r="20" spans="1:68" ht="20.100000000000001" customHeight="1">
      <c r="A20" s="280"/>
      <c r="B20" s="374"/>
      <c r="C20" s="375"/>
      <c r="D20" s="375"/>
      <c r="E20" s="375"/>
      <c r="F20" s="375"/>
      <c r="G20" s="376"/>
      <c r="H20" s="387"/>
      <c r="I20" s="388"/>
      <c r="J20" s="388"/>
      <c r="K20" s="388"/>
      <c r="L20" s="388"/>
      <c r="M20" s="388"/>
      <c r="N20" s="388"/>
      <c r="O20" s="388"/>
      <c r="P20" s="389"/>
      <c r="Q20" s="88" t="s">
        <v>194</v>
      </c>
      <c r="R20" s="359" t="s">
        <v>292</v>
      </c>
      <c r="S20" s="359"/>
      <c r="T20" s="359"/>
      <c r="U20" s="359"/>
      <c r="V20" s="359"/>
      <c r="W20" s="359"/>
      <c r="X20" s="359"/>
      <c r="Y20" s="360"/>
      <c r="Z20" s="396"/>
      <c r="AA20" s="401"/>
      <c r="AB20" s="298"/>
      <c r="AC20" s="298"/>
      <c r="AD20" s="298"/>
      <c r="AE20" s="298"/>
      <c r="AF20" s="298"/>
      <c r="AG20" s="298"/>
      <c r="AH20" s="402"/>
      <c r="AI20" s="401"/>
      <c r="AJ20" s="298"/>
      <c r="AK20" s="298"/>
      <c r="AL20" s="298"/>
      <c r="AM20" s="298"/>
      <c r="AN20" s="298"/>
      <c r="AO20" s="298"/>
      <c r="AP20" s="662"/>
      <c r="AQ20" s="379"/>
      <c r="AR20" s="380"/>
      <c r="AU20" s="100"/>
      <c r="AV20" s="538"/>
      <c r="AW20" s="501"/>
      <c r="AX20" s="502"/>
      <c r="AY20" s="520"/>
      <c r="AZ20" s="521"/>
      <c r="BA20" s="521"/>
      <c r="BB20" s="521"/>
      <c r="BC20" s="521"/>
      <c r="BD20" s="521"/>
      <c r="BE20" s="521"/>
      <c r="BF20" s="521"/>
      <c r="BG20" s="522"/>
      <c r="BH20" s="538"/>
      <c r="BI20" s="501"/>
      <c r="BJ20" s="501"/>
      <c r="BK20" s="501"/>
      <c r="BL20" s="501"/>
      <c r="BM20" s="501"/>
      <c r="BN20" s="501"/>
      <c r="BO20" s="502"/>
      <c r="BP20" s="101"/>
    </row>
    <row r="21" spans="1:68" ht="20.100000000000001" customHeight="1">
      <c r="A21" s="280"/>
      <c r="B21" s="406" t="s">
        <v>195</v>
      </c>
      <c r="C21" s="407"/>
      <c r="D21" s="407"/>
      <c r="E21" s="407"/>
      <c r="F21" s="407"/>
      <c r="G21" s="408"/>
      <c r="H21" s="387"/>
      <c r="I21" s="388"/>
      <c r="J21" s="388"/>
      <c r="K21" s="388"/>
      <c r="L21" s="388"/>
      <c r="M21" s="388"/>
      <c r="N21" s="388"/>
      <c r="O21" s="388"/>
      <c r="P21" s="389"/>
      <c r="Q21" s="88" t="s">
        <v>196</v>
      </c>
      <c r="R21" s="359" t="s">
        <v>292</v>
      </c>
      <c r="S21" s="359"/>
      <c r="T21" s="359"/>
      <c r="U21" s="359"/>
      <c r="V21" s="359"/>
      <c r="W21" s="359"/>
      <c r="X21" s="359"/>
      <c r="Y21" s="360"/>
      <c r="Z21" s="396"/>
      <c r="AA21" s="401"/>
      <c r="AB21" s="298"/>
      <c r="AC21" s="298"/>
      <c r="AD21" s="298"/>
      <c r="AE21" s="298"/>
      <c r="AF21" s="298"/>
      <c r="AG21" s="298"/>
      <c r="AH21" s="402"/>
      <c r="AI21" s="401"/>
      <c r="AJ21" s="298"/>
      <c r="AK21" s="298"/>
      <c r="AL21" s="298"/>
      <c r="AM21" s="298"/>
      <c r="AN21" s="298"/>
      <c r="AO21" s="298"/>
      <c r="AP21" s="662"/>
      <c r="AQ21" s="409" t="s">
        <v>197</v>
      </c>
      <c r="AR21" s="410"/>
      <c r="AU21" s="100"/>
      <c r="AV21" s="553" t="s">
        <v>296</v>
      </c>
      <c r="AW21" s="554"/>
      <c r="AX21" s="555"/>
      <c r="AY21" s="510" t="s">
        <v>297</v>
      </c>
      <c r="AZ21" s="511"/>
      <c r="BA21" s="511"/>
      <c r="BB21" s="511"/>
      <c r="BC21" s="511"/>
      <c r="BD21" s="511"/>
      <c r="BE21" s="511"/>
      <c r="BF21" s="511"/>
      <c r="BG21" s="512"/>
      <c r="BH21" s="552" t="s">
        <v>298</v>
      </c>
      <c r="BI21" s="516"/>
      <c r="BJ21" s="516"/>
      <c r="BK21" s="516"/>
      <c r="BL21" s="516"/>
      <c r="BM21" s="516"/>
      <c r="BN21" s="516"/>
      <c r="BO21" s="517"/>
      <c r="BP21" s="101"/>
    </row>
    <row r="22" spans="1:68" ht="20.100000000000001" customHeight="1">
      <c r="A22" s="280"/>
      <c r="B22" s="358" t="s">
        <v>299</v>
      </c>
      <c r="C22" s="359"/>
      <c r="D22" s="359"/>
      <c r="E22" s="359"/>
      <c r="F22" s="359"/>
      <c r="G22" s="360"/>
      <c r="H22" s="387"/>
      <c r="I22" s="388"/>
      <c r="J22" s="388"/>
      <c r="K22" s="388"/>
      <c r="L22" s="388"/>
      <c r="M22" s="388"/>
      <c r="N22" s="388"/>
      <c r="O22" s="388"/>
      <c r="P22" s="389"/>
      <c r="Q22" s="88" t="s">
        <v>198</v>
      </c>
      <c r="R22" s="364" t="s">
        <v>300</v>
      </c>
      <c r="S22" s="364"/>
      <c r="T22" s="364"/>
      <c r="U22" s="364"/>
      <c r="V22" s="364"/>
      <c r="W22" s="364"/>
      <c r="X22" s="364"/>
      <c r="Y22" s="365"/>
      <c r="Z22" s="396"/>
      <c r="AA22" s="401"/>
      <c r="AB22" s="298"/>
      <c r="AC22" s="298"/>
      <c r="AD22" s="298"/>
      <c r="AE22" s="298"/>
      <c r="AF22" s="298"/>
      <c r="AG22" s="298"/>
      <c r="AH22" s="402"/>
      <c r="AI22" s="401"/>
      <c r="AJ22" s="298"/>
      <c r="AK22" s="298"/>
      <c r="AL22" s="298"/>
      <c r="AM22" s="298"/>
      <c r="AN22" s="298"/>
      <c r="AO22" s="298"/>
      <c r="AP22" s="662"/>
      <c r="AQ22" s="366">
        <f>Z17*AQ18</f>
        <v>0</v>
      </c>
      <c r="AR22" s="367"/>
      <c r="AU22" s="100"/>
      <c r="AV22" s="556"/>
      <c r="AW22" s="557"/>
      <c r="AX22" s="558"/>
      <c r="AY22" s="513"/>
      <c r="AZ22" s="514"/>
      <c r="BA22" s="514"/>
      <c r="BB22" s="514"/>
      <c r="BC22" s="514"/>
      <c r="BD22" s="514"/>
      <c r="BE22" s="514"/>
      <c r="BF22" s="514"/>
      <c r="BG22" s="515"/>
      <c r="BH22" s="559"/>
      <c r="BI22" s="518"/>
      <c r="BJ22" s="518"/>
      <c r="BK22" s="518"/>
      <c r="BL22" s="518"/>
      <c r="BM22" s="518"/>
      <c r="BN22" s="518"/>
      <c r="BO22" s="519"/>
      <c r="BP22" s="101"/>
    </row>
    <row r="23" spans="1:68" ht="20.100000000000001" customHeight="1">
      <c r="A23" s="280"/>
      <c r="B23" s="358"/>
      <c r="C23" s="359"/>
      <c r="D23" s="359"/>
      <c r="E23" s="359"/>
      <c r="F23" s="359"/>
      <c r="G23" s="360"/>
      <c r="H23" s="387"/>
      <c r="I23" s="388"/>
      <c r="J23" s="388"/>
      <c r="K23" s="388"/>
      <c r="L23" s="388"/>
      <c r="M23" s="388"/>
      <c r="N23" s="388"/>
      <c r="O23" s="388"/>
      <c r="P23" s="389"/>
      <c r="R23" s="359"/>
      <c r="S23" s="359"/>
      <c r="T23" s="359"/>
      <c r="U23" s="359"/>
      <c r="V23" s="359"/>
      <c r="W23" s="359"/>
      <c r="X23" s="359"/>
      <c r="Y23" s="360"/>
      <c r="Z23" s="396"/>
      <c r="AA23" s="401"/>
      <c r="AB23" s="298"/>
      <c r="AC23" s="298"/>
      <c r="AD23" s="298"/>
      <c r="AE23" s="298"/>
      <c r="AF23" s="298"/>
      <c r="AG23" s="298"/>
      <c r="AH23" s="402"/>
      <c r="AI23" s="401"/>
      <c r="AJ23" s="298"/>
      <c r="AK23" s="298"/>
      <c r="AL23" s="298"/>
      <c r="AM23" s="298"/>
      <c r="AN23" s="298"/>
      <c r="AO23" s="298"/>
      <c r="AP23" s="662"/>
      <c r="AQ23" s="368"/>
      <c r="AR23" s="369"/>
      <c r="AU23" s="100"/>
      <c r="AV23" s="123" t="s">
        <v>267</v>
      </c>
      <c r="BP23" s="101"/>
    </row>
    <row r="24" spans="1:68" ht="20.100000000000001" customHeight="1">
      <c r="A24" s="281"/>
      <c r="B24" s="416"/>
      <c r="C24" s="417"/>
      <c r="D24" s="417"/>
      <c r="E24" s="417"/>
      <c r="F24" s="417"/>
      <c r="G24" s="418"/>
      <c r="H24" s="411"/>
      <c r="I24" s="412"/>
      <c r="J24" s="412"/>
      <c r="K24" s="412"/>
      <c r="L24" s="412"/>
      <c r="M24" s="412"/>
      <c r="N24" s="412"/>
      <c r="O24" s="412"/>
      <c r="P24" s="413"/>
      <c r="Q24" s="88"/>
      <c r="R24" s="417"/>
      <c r="S24" s="417"/>
      <c r="T24" s="417"/>
      <c r="U24" s="417"/>
      <c r="V24" s="417"/>
      <c r="W24" s="417"/>
      <c r="X24" s="417"/>
      <c r="Y24" s="418"/>
      <c r="Z24" s="414"/>
      <c r="AA24" s="405"/>
      <c r="AB24" s="301"/>
      <c r="AC24" s="301"/>
      <c r="AD24" s="301"/>
      <c r="AE24" s="301"/>
      <c r="AF24" s="301"/>
      <c r="AG24" s="301"/>
      <c r="AH24" s="415"/>
      <c r="AI24" s="405"/>
      <c r="AJ24" s="301"/>
      <c r="AK24" s="301"/>
      <c r="AL24" s="301"/>
      <c r="AM24" s="301"/>
      <c r="AN24" s="301"/>
      <c r="AO24" s="301"/>
      <c r="AP24" s="665"/>
      <c r="AQ24" s="419"/>
      <c r="AR24" s="420"/>
      <c r="AU24" s="104"/>
      <c r="AV24" s="105"/>
      <c r="AW24" s="105"/>
      <c r="AX24" s="105"/>
      <c r="AY24" s="105"/>
      <c r="AZ24" s="105"/>
      <c r="BA24" s="105"/>
      <c r="BB24" s="105"/>
      <c r="BC24" s="105"/>
      <c r="BD24" s="105"/>
      <c r="BE24" s="105"/>
      <c r="BF24" s="105"/>
      <c r="BG24" s="105"/>
      <c r="BH24" s="105"/>
      <c r="BI24" s="105"/>
      <c r="BJ24" s="105"/>
      <c r="BK24" s="105"/>
      <c r="BL24" s="105"/>
      <c r="BM24" s="105"/>
      <c r="BN24" s="105"/>
      <c r="BO24" s="105"/>
      <c r="BP24" s="106"/>
    </row>
    <row r="25" spans="1:68" ht="20.100000000000001" customHeight="1">
      <c r="A25" s="279">
        <v>3</v>
      </c>
      <c r="B25" s="381" t="s">
        <v>189</v>
      </c>
      <c r="C25" s="382"/>
      <c r="D25" s="382"/>
      <c r="E25" s="382"/>
      <c r="F25" s="382"/>
      <c r="G25" s="383"/>
      <c r="H25" s="384" t="s">
        <v>301</v>
      </c>
      <c r="I25" s="385"/>
      <c r="J25" s="385"/>
      <c r="K25" s="385"/>
      <c r="L25" s="385"/>
      <c r="M25" s="385"/>
      <c r="N25" s="385"/>
      <c r="O25" s="385"/>
      <c r="P25" s="386"/>
      <c r="Q25" s="87" t="s">
        <v>190</v>
      </c>
      <c r="R25" s="393" t="s">
        <v>302</v>
      </c>
      <c r="S25" s="393"/>
      <c r="T25" s="393"/>
      <c r="U25" s="393"/>
      <c r="V25" s="393"/>
      <c r="W25" s="393"/>
      <c r="X25" s="393"/>
      <c r="Y25" s="394"/>
      <c r="Z25" s="395">
        <v>2</v>
      </c>
      <c r="AA25" s="398"/>
      <c r="AB25" s="399"/>
      <c r="AC25" s="399"/>
      <c r="AD25" s="399"/>
      <c r="AE25" s="399"/>
      <c r="AF25" s="399"/>
      <c r="AG25" s="399"/>
      <c r="AH25" s="400"/>
      <c r="AI25" s="398"/>
      <c r="AJ25" s="399"/>
      <c r="AK25" s="399"/>
      <c r="AL25" s="399"/>
      <c r="AM25" s="399"/>
      <c r="AN25" s="399"/>
      <c r="AO25" s="399"/>
      <c r="AP25" s="661"/>
      <c r="AQ25" s="372" t="s">
        <v>191</v>
      </c>
      <c r="AR25" s="373"/>
      <c r="AV25" s="1"/>
    </row>
    <row r="26" spans="1:68" ht="20.100000000000001" customHeight="1">
      <c r="A26" s="280"/>
      <c r="B26" s="358"/>
      <c r="C26" s="359"/>
      <c r="D26" s="359"/>
      <c r="E26" s="359"/>
      <c r="F26" s="359"/>
      <c r="G26" s="360"/>
      <c r="H26" s="387"/>
      <c r="I26" s="388"/>
      <c r="J26" s="388"/>
      <c r="K26" s="388"/>
      <c r="L26" s="388"/>
      <c r="M26" s="388"/>
      <c r="N26" s="388"/>
      <c r="O26" s="388"/>
      <c r="P26" s="389"/>
      <c r="Q26" s="88" t="s">
        <v>192</v>
      </c>
      <c r="R26" s="359" t="s">
        <v>303</v>
      </c>
      <c r="S26" s="359"/>
      <c r="T26" s="359"/>
      <c r="U26" s="359"/>
      <c r="V26" s="359"/>
      <c r="W26" s="359"/>
      <c r="X26" s="359"/>
      <c r="Y26" s="360"/>
      <c r="Z26" s="396"/>
      <c r="AA26" s="401"/>
      <c r="AB26" s="298"/>
      <c r="AC26" s="298"/>
      <c r="AD26" s="298"/>
      <c r="AE26" s="298"/>
      <c r="AF26" s="298"/>
      <c r="AG26" s="298"/>
      <c r="AH26" s="402"/>
      <c r="AI26" s="401"/>
      <c r="AJ26" s="298"/>
      <c r="AK26" s="298"/>
      <c r="AL26" s="298"/>
      <c r="AM26" s="298"/>
      <c r="AN26" s="298"/>
      <c r="AO26" s="298"/>
      <c r="AP26" s="662"/>
      <c r="AQ26" s="377"/>
      <c r="AR26" s="378"/>
      <c r="AU26" s="92"/>
      <c r="AV26" s="92"/>
      <c r="AW26" s="92"/>
      <c r="AX26" s="92"/>
      <c r="AY26" s="92"/>
      <c r="AZ26" s="92"/>
      <c r="BA26" s="92"/>
      <c r="BB26" s="92"/>
      <c r="BC26" s="92"/>
      <c r="BD26" s="92"/>
      <c r="BE26" s="92"/>
      <c r="BF26" s="92"/>
      <c r="BG26" s="92"/>
      <c r="BH26" s="92"/>
      <c r="BI26" s="92"/>
      <c r="BJ26" s="92"/>
      <c r="BK26" s="92"/>
      <c r="BL26" s="92"/>
      <c r="BM26" s="92"/>
      <c r="BN26" s="92"/>
      <c r="BO26" s="92"/>
      <c r="BP26" s="92"/>
    </row>
    <row r="27" spans="1:68" ht="20.100000000000001" customHeight="1">
      <c r="A27" s="280"/>
      <c r="B27" s="358"/>
      <c r="C27" s="359"/>
      <c r="D27" s="359"/>
      <c r="E27" s="359"/>
      <c r="F27" s="359"/>
      <c r="G27" s="360"/>
      <c r="H27" s="387"/>
      <c r="I27" s="388"/>
      <c r="J27" s="388"/>
      <c r="K27" s="388"/>
      <c r="L27" s="388"/>
      <c r="M27" s="388"/>
      <c r="N27" s="388"/>
      <c r="O27" s="388"/>
      <c r="P27" s="389"/>
      <c r="Q27" s="88" t="s">
        <v>193</v>
      </c>
      <c r="R27" s="359" t="s">
        <v>304</v>
      </c>
      <c r="S27" s="359"/>
      <c r="T27" s="359"/>
      <c r="U27" s="359"/>
      <c r="V27" s="359"/>
      <c r="W27" s="359"/>
      <c r="X27" s="359"/>
      <c r="Y27" s="360"/>
      <c r="Z27" s="396"/>
      <c r="AA27" s="401"/>
      <c r="AB27" s="298"/>
      <c r="AC27" s="298"/>
      <c r="AD27" s="298"/>
      <c r="AE27" s="298"/>
      <c r="AF27" s="298"/>
      <c r="AG27" s="298"/>
      <c r="AH27" s="402"/>
      <c r="AI27" s="401"/>
      <c r="AJ27" s="298"/>
      <c r="AK27" s="298"/>
      <c r="AL27" s="298"/>
      <c r="AM27" s="298"/>
      <c r="AN27" s="298"/>
      <c r="AO27" s="298"/>
      <c r="AP27" s="662"/>
      <c r="AQ27" s="379"/>
      <c r="AR27" s="380"/>
      <c r="AU27" s="108" t="s">
        <v>305</v>
      </c>
      <c r="AV27" s="92"/>
      <c r="AW27" s="92"/>
      <c r="AX27" s="92"/>
      <c r="AY27" s="92"/>
      <c r="AZ27" s="92"/>
      <c r="BA27" s="92"/>
      <c r="BB27" s="92"/>
      <c r="BC27" s="108"/>
      <c r="BD27" s="85"/>
      <c r="BE27" s="85"/>
      <c r="BF27" s="85"/>
      <c r="BG27" s="85"/>
      <c r="BH27" s="85"/>
      <c r="BI27" s="85"/>
      <c r="BJ27" s="85"/>
      <c r="BK27" s="85"/>
      <c r="BL27" s="85"/>
      <c r="BM27" s="85"/>
      <c r="BN27" s="85"/>
      <c r="BO27" s="85"/>
      <c r="BP27" s="85"/>
    </row>
    <row r="28" spans="1:68" ht="20.100000000000001" customHeight="1">
      <c r="A28" s="280"/>
      <c r="B28" s="374"/>
      <c r="C28" s="375"/>
      <c r="D28" s="375"/>
      <c r="E28" s="375"/>
      <c r="F28" s="375"/>
      <c r="G28" s="376"/>
      <c r="H28" s="387"/>
      <c r="I28" s="388"/>
      <c r="J28" s="388"/>
      <c r="K28" s="388"/>
      <c r="L28" s="388"/>
      <c r="M28" s="388"/>
      <c r="N28" s="388"/>
      <c r="O28" s="388"/>
      <c r="P28" s="389"/>
      <c r="Q28" s="88" t="s">
        <v>194</v>
      </c>
      <c r="R28" s="359" t="s">
        <v>306</v>
      </c>
      <c r="S28" s="359"/>
      <c r="T28" s="359"/>
      <c r="U28" s="359"/>
      <c r="V28" s="359"/>
      <c r="W28" s="359"/>
      <c r="X28" s="359"/>
      <c r="Y28" s="360"/>
      <c r="Z28" s="396"/>
      <c r="AA28" s="401"/>
      <c r="AB28" s="298"/>
      <c r="AC28" s="298"/>
      <c r="AD28" s="298"/>
      <c r="AE28" s="298"/>
      <c r="AF28" s="298"/>
      <c r="AG28" s="298"/>
      <c r="AH28" s="402"/>
      <c r="AI28" s="401"/>
      <c r="AJ28" s="298"/>
      <c r="AK28" s="298"/>
      <c r="AL28" s="298"/>
      <c r="AM28" s="298"/>
      <c r="AN28" s="298"/>
      <c r="AO28" s="298"/>
      <c r="AP28" s="662"/>
      <c r="AQ28" s="379"/>
      <c r="AR28" s="380"/>
      <c r="AU28" s="109"/>
      <c r="AV28" s="110"/>
      <c r="AW28" s="110"/>
      <c r="AX28" s="110"/>
      <c r="AY28" s="110"/>
      <c r="AZ28" s="110"/>
      <c r="BA28" s="110"/>
      <c r="BB28" s="110"/>
      <c r="BC28" s="110"/>
      <c r="BD28" s="98"/>
      <c r="BE28" s="98"/>
      <c r="BF28" s="98"/>
      <c r="BG28" s="98"/>
      <c r="BH28" s="98"/>
      <c r="BI28" s="98"/>
      <c r="BJ28" s="98"/>
      <c r="BK28" s="98"/>
      <c r="BL28" s="98"/>
      <c r="BM28" s="98"/>
      <c r="BN28" s="98"/>
      <c r="BO28" s="98"/>
      <c r="BP28" s="99"/>
    </row>
    <row r="29" spans="1:68" ht="20.100000000000001" customHeight="1">
      <c r="A29" s="280"/>
      <c r="B29" s="406" t="s">
        <v>195</v>
      </c>
      <c r="C29" s="407"/>
      <c r="D29" s="407"/>
      <c r="E29" s="407"/>
      <c r="F29" s="407"/>
      <c r="G29" s="408"/>
      <c r="H29" s="387"/>
      <c r="I29" s="388"/>
      <c r="J29" s="388"/>
      <c r="K29" s="388"/>
      <c r="L29" s="388"/>
      <c r="M29" s="388"/>
      <c r="N29" s="388"/>
      <c r="O29" s="388"/>
      <c r="P29" s="389"/>
      <c r="Q29" s="88" t="s">
        <v>196</v>
      </c>
      <c r="R29" s="359" t="s">
        <v>307</v>
      </c>
      <c r="S29" s="359"/>
      <c r="T29" s="359"/>
      <c r="U29" s="359"/>
      <c r="V29" s="359"/>
      <c r="W29" s="359"/>
      <c r="X29" s="359"/>
      <c r="Y29" s="360"/>
      <c r="Z29" s="396"/>
      <c r="AA29" s="401"/>
      <c r="AB29" s="298"/>
      <c r="AC29" s="298"/>
      <c r="AD29" s="298"/>
      <c r="AE29" s="298"/>
      <c r="AF29" s="298"/>
      <c r="AG29" s="298"/>
      <c r="AH29" s="402"/>
      <c r="AI29" s="401"/>
      <c r="AJ29" s="298"/>
      <c r="AK29" s="298"/>
      <c r="AL29" s="298"/>
      <c r="AM29" s="298"/>
      <c r="AN29" s="298"/>
      <c r="AO29" s="298"/>
      <c r="AP29" s="662"/>
      <c r="AQ29" s="409" t="s">
        <v>197</v>
      </c>
      <c r="AR29" s="410"/>
      <c r="AU29" s="100"/>
      <c r="AV29" s="116" t="s">
        <v>308</v>
      </c>
      <c r="AW29" s="111"/>
      <c r="AX29" s="111"/>
      <c r="AY29" s="111"/>
      <c r="AZ29" s="111"/>
      <c r="BA29" s="111"/>
      <c r="BB29" s="111"/>
      <c r="BC29" s="111"/>
      <c r="BD29" s="111"/>
      <c r="BE29" s="111"/>
      <c r="BF29" s="111"/>
      <c r="BG29" s="111"/>
      <c r="BH29" s="111"/>
      <c r="BI29" s="111"/>
      <c r="BJ29" s="111"/>
      <c r="BK29" s="111"/>
      <c r="BL29" s="111"/>
      <c r="BM29" s="111"/>
      <c r="BN29" s="111"/>
      <c r="BO29" s="111"/>
      <c r="BP29" s="102"/>
    </row>
    <row r="30" spans="1:68" ht="20.100000000000001" customHeight="1">
      <c r="A30" s="280"/>
      <c r="B30" s="358" t="s">
        <v>309</v>
      </c>
      <c r="C30" s="359"/>
      <c r="D30" s="359"/>
      <c r="E30" s="359"/>
      <c r="F30" s="359"/>
      <c r="G30" s="360"/>
      <c r="H30" s="387"/>
      <c r="I30" s="388"/>
      <c r="J30" s="388"/>
      <c r="K30" s="388"/>
      <c r="L30" s="388"/>
      <c r="M30" s="388"/>
      <c r="N30" s="388"/>
      <c r="O30" s="388"/>
      <c r="P30" s="389"/>
      <c r="Q30" s="88" t="s">
        <v>198</v>
      </c>
      <c r="R30" s="364" t="s">
        <v>310</v>
      </c>
      <c r="S30" s="364"/>
      <c r="T30" s="364"/>
      <c r="U30" s="364"/>
      <c r="V30" s="364"/>
      <c r="W30" s="364"/>
      <c r="X30" s="364"/>
      <c r="Y30" s="365"/>
      <c r="Z30" s="396"/>
      <c r="AA30" s="401"/>
      <c r="AB30" s="298"/>
      <c r="AC30" s="298"/>
      <c r="AD30" s="298"/>
      <c r="AE30" s="298"/>
      <c r="AF30" s="298"/>
      <c r="AG30" s="298"/>
      <c r="AH30" s="402"/>
      <c r="AI30" s="401"/>
      <c r="AJ30" s="298"/>
      <c r="AK30" s="298"/>
      <c r="AL30" s="298"/>
      <c r="AM30" s="298"/>
      <c r="AN30" s="298"/>
      <c r="AO30" s="298"/>
      <c r="AP30" s="662"/>
      <c r="AQ30" s="366">
        <f>Z25*AQ26</f>
        <v>0</v>
      </c>
      <c r="AR30" s="367"/>
      <c r="AU30" s="112"/>
      <c r="AX30" s="111"/>
      <c r="AY30" s="111"/>
      <c r="AZ30" s="111"/>
      <c r="BA30" s="111"/>
      <c r="BB30" s="111"/>
      <c r="BC30" s="111"/>
      <c r="BD30" s="111"/>
      <c r="BE30" s="111"/>
      <c r="BF30" s="111"/>
      <c r="BG30" s="111"/>
      <c r="BH30" s="111"/>
      <c r="BI30" s="111"/>
      <c r="BJ30" s="111"/>
      <c r="BK30" s="111"/>
      <c r="BL30" s="111"/>
      <c r="BM30" s="111"/>
      <c r="BN30" s="111"/>
      <c r="BO30" s="111"/>
      <c r="BP30" s="101"/>
    </row>
    <row r="31" spans="1:68" ht="20.100000000000001" customHeight="1">
      <c r="A31" s="280"/>
      <c r="B31" s="358"/>
      <c r="C31" s="359"/>
      <c r="D31" s="359"/>
      <c r="E31" s="359"/>
      <c r="F31" s="359"/>
      <c r="G31" s="360"/>
      <c r="H31" s="387"/>
      <c r="I31" s="388"/>
      <c r="J31" s="388"/>
      <c r="K31" s="388"/>
      <c r="L31" s="388"/>
      <c r="M31" s="388"/>
      <c r="N31" s="388"/>
      <c r="O31" s="388"/>
      <c r="P31" s="389"/>
      <c r="Q31" s="200"/>
      <c r="R31" s="359"/>
      <c r="S31" s="359"/>
      <c r="T31" s="359"/>
      <c r="U31" s="359"/>
      <c r="V31" s="359"/>
      <c r="W31" s="359"/>
      <c r="X31" s="359"/>
      <c r="Y31" s="360"/>
      <c r="Z31" s="396"/>
      <c r="AA31" s="401"/>
      <c r="AB31" s="298"/>
      <c r="AC31" s="298"/>
      <c r="AD31" s="298"/>
      <c r="AE31" s="298"/>
      <c r="AF31" s="298"/>
      <c r="AG31" s="298"/>
      <c r="AH31" s="402"/>
      <c r="AI31" s="401"/>
      <c r="AJ31" s="298"/>
      <c r="AK31" s="298"/>
      <c r="AL31" s="298"/>
      <c r="AM31" s="298"/>
      <c r="AN31" s="298"/>
      <c r="AO31" s="298"/>
      <c r="AP31" s="662"/>
      <c r="AQ31" s="368"/>
      <c r="AR31" s="369"/>
      <c r="AU31" s="112"/>
      <c r="AW31" s="113" t="s">
        <v>311</v>
      </c>
      <c r="AX31" s="111"/>
      <c r="AY31" s="111"/>
      <c r="AZ31" s="111"/>
      <c r="BA31" s="111"/>
      <c r="BB31" s="111"/>
      <c r="BC31" s="111"/>
      <c r="BD31" s="111"/>
      <c r="BE31" s="111"/>
      <c r="BF31" s="111"/>
      <c r="BG31" s="111"/>
      <c r="BH31" s="111"/>
      <c r="BI31" s="111"/>
      <c r="BJ31" s="111"/>
      <c r="BK31" s="111"/>
      <c r="BL31" s="111"/>
      <c r="BM31" s="111"/>
      <c r="BN31" s="111"/>
      <c r="BO31" s="111"/>
      <c r="BP31" s="101"/>
    </row>
    <row r="32" spans="1:68" ht="20.100000000000001" customHeight="1" thickBot="1">
      <c r="A32" s="303"/>
      <c r="B32" s="361"/>
      <c r="C32" s="362"/>
      <c r="D32" s="362"/>
      <c r="E32" s="362"/>
      <c r="F32" s="362"/>
      <c r="G32" s="363"/>
      <c r="H32" s="390"/>
      <c r="I32" s="391"/>
      <c r="J32" s="391"/>
      <c r="K32" s="391"/>
      <c r="L32" s="391"/>
      <c r="M32" s="391"/>
      <c r="N32" s="391"/>
      <c r="O32" s="391"/>
      <c r="P32" s="392"/>
      <c r="Q32" s="89"/>
      <c r="R32" s="362"/>
      <c r="S32" s="362"/>
      <c r="T32" s="362"/>
      <c r="U32" s="362"/>
      <c r="V32" s="362"/>
      <c r="W32" s="362"/>
      <c r="X32" s="362"/>
      <c r="Y32" s="363"/>
      <c r="Z32" s="397"/>
      <c r="AA32" s="403"/>
      <c r="AB32" s="308"/>
      <c r="AC32" s="308"/>
      <c r="AD32" s="308"/>
      <c r="AE32" s="308"/>
      <c r="AF32" s="308"/>
      <c r="AG32" s="308"/>
      <c r="AH32" s="404"/>
      <c r="AI32" s="403"/>
      <c r="AJ32" s="308"/>
      <c r="AK32" s="308"/>
      <c r="AL32" s="308"/>
      <c r="AM32" s="308"/>
      <c r="AN32" s="308"/>
      <c r="AO32" s="308"/>
      <c r="AP32" s="666"/>
      <c r="AQ32" s="370"/>
      <c r="AR32" s="371"/>
      <c r="AU32" s="112"/>
      <c r="AW32" s="113" t="s">
        <v>312</v>
      </c>
      <c r="AX32" s="111"/>
      <c r="AY32" s="111"/>
      <c r="AZ32" s="111"/>
      <c r="BA32" s="111"/>
      <c r="BB32" s="111"/>
      <c r="BC32" s="111"/>
      <c r="BD32" s="111"/>
      <c r="BE32" s="111"/>
      <c r="BF32" s="111"/>
      <c r="BG32" s="111"/>
      <c r="BH32" s="111"/>
      <c r="BI32" s="111"/>
      <c r="BJ32" s="111"/>
      <c r="BK32" s="111"/>
      <c r="BL32" s="111"/>
      <c r="BM32" s="111"/>
      <c r="BN32" s="111"/>
      <c r="BO32" s="111"/>
      <c r="BP32" s="102"/>
    </row>
    <row r="33" spans="1:70" ht="20.100000000000001" customHeight="1">
      <c r="A33" s="279">
        <v>4</v>
      </c>
      <c r="B33" s="381" t="s">
        <v>212</v>
      </c>
      <c r="C33" s="382"/>
      <c r="D33" s="382"/>
      <c r="E33" s="382"/>
      <c r="F33" s="382"/>
      <c r="G33" s="383"/>
      <c r="H33" s="384" t="s">
        <v>313</v>
      </c>
      <c r="I33" s="385"/>
      <c r="J33" s="385"/>
      <c r="K33" s="385"/>
      <c r="L33" s="385"/>
      <c r="M33" s="385"/>
      <c r="N33" s="385"/>
      <c r="O33" s="385"/>
      <c r="P33" s="386"/>
      <c r="Q33" s="87" t="s">
        <v>190</v>
      </c>
      <c r="R33" s="393" t="s">
        <v>314</v>
      </c>
      <c r="S33" s="393"/>
      <c r="T33" s="393"/>
      <c r="U33" s="393"/>
      <c r="V33" s="393"/>
      <c r="W33" s="393"/>
      <c r="X33" s="393"/>
      <c r="Y33" s="394"/>
      <c r="Z33" s="395">
        <v>2</v>
      </c>
      <c r="AA33" s="398"/>
      <c r="AB33" s="399"/>
      <c r="AC33" s="399"/>
      <c r="AD33" s="399"/>
      <c r="AE33" s="399"/>
      <c r="AF33" s="399"/>
      <c r="AG33" s="399"/>
      <c r="AH33" s="400"/>
      <c r="AI33" s="398"/>
      <c r="AJ33" s="399"/>
      <c r="AK33" s="399"/>
      <c r="AL33" s="399"/>
      <c r="AM33" s="399"/>
      <c r="AN33" s="399"/>
      <c r="AO33" s="399"/>
      <c r="AP33" s="661"/>
      <c r="AQ33" s="372" t="s">
        <v>191</v>
      </c>
      <c r="AR33" s="373"/>
      <c r="AU33" s="112"/>
      <c r="AV33" s="111"/>
      <c r="AW33" s="111"/>
      <c r="AX33" s="111"/>
      <c r="AY33" s="111"/>
      <c r="AZ33" s="111"/>
      <c r="BA33" s="111"/>
      <c r="BB33" s="111"/>
      <c r="BC33" s="111"/>
      <c r="BD33" s="111"/>
      <c r="BE33" s="111"/>
      <c r="BF33" s="111"/>
      <c r="BG33" s="111"/>
      <c r="BH33" s="111"/>
      <c r="BI33" s="111"/>
      <c r="BJ33" s="111"/>
      <c r="BK33" s="111"/>
      <c r="BL33" s="111"/>
      <c r="BM33" s="111"/>
      <c r="BN33" s="111"/>
      <c r="BO33" s="111"/>
      <c r="BP33" s="101"/>
    </row>
    <row r="34" spans="1:70" ht="20.100000000000001" customHeight="1">
      <c r="A34" s="280"/>
      <c r="B34" s="358"/>
      <c r="C34" s="359"/>
      <c r="D34" s="359"/>
      <c r="E34" s="359"/>
      <c r="F34" s="359"/>
      <c r="G34" s="360"/>
      <c r="H34" s="387"/>
      <c r="I34" s="388"/>
      <c r="J34" s="388"/>
      <c r="K34" s="388"/>
      <c r="L34" s="388"/>
      <c r="M34" s="388"/>
      <c r="N34" s="388"/>
      <c r="O34" s="388"/>
      <c r="P34" s="389"/>
      <c r="Q34" s="88" t="s">
        <v>192</v>
      </c>
      <c r="R34" s="359" t="s">
        <v>315</v>
      </c>
      <c r="S34" s="359"/>
      <c r="T34" s="359"/>
      <c r="U34" s="359"/>
      <c r="V34" s="359"/>
      <c r="W34" s="359"/>
      <c r="X34" s="359"/>
      <c r="Y34" s="360"/>
      <c r="Z34" s="396"/>
      <c r="AA34" s="401"/>
      <c r="AB34" s="298"/>
      <c r="AC34" s="298"/>
      <c r="AD34" s="298"/>
      <c r="AE34" s="298"/>
      <c r="AF34" s="298"/>
      <c r="AG34" s="298"/>
      <c r="AH34" s="402"/>
      <c r="AI34" s="401"/>
      <c r="AJ34" s="298"/>
      <c r="AK34" s="298"/>
      <c r="AL34" s="298"/>
      <c r="AM34" s="298"/>
      <c r="AN34" s="298"/>
      <c r="AO34" s="298"/>
      <c r="AP34" s="662"/>
      <c r="AQ34" s="377"/>
      <c r="AR34" s="378"/>
      <c r="AU34" s="114"/>
      <c r="AV34" s="117" t="s">
        <v>316</v>
      </c>
      <c r="AW34" s="111"/>
      <c r="AX34" s="111"/>
      <c r="AY34" s="111"/>
      <c r="AZ34" s="111"/>
      <c r="BA34" s="111"/>
      <c r="BB34" s="111"/>
      <c r="BC34" s="111"/>
      <c r="BD34" s="111"/>
      <c r="BE34" s="111"/>
      <c r="BF34" s="111"/>
      <c r="BG34" s="111"/>
      <c r="BH34" s="111"/>
      <c r="BI34" s="111"/>
      <c r="BJ34" s="111"/>
      <c r="BK34" s="111"/>
      <c r="BL34" s="111"/>
      <c r="BM34" s="111"/>
      <c r="BN34" s="111"/>
      <c r="BO34" s="111"/>
      <c r="BP34" s="101"/>
    </row>
    <row r="35" spans="1:70" ht="20.100000000000001" customHeight="1">
      <c r="A35" s="280"/>
      <c r="B35" s="358"/>
      <c r="C35" s="359"/>
      <c r="D35" s="359"/>
      <c r="E35" s="359"/>
      <c r="F35" s="359"/>
      <c r="G35" s="360"/>
      <c r="H35" s="387"/>
      <c r="I35" s="388"/>
      <c r="J35" s="388"/>
      <c r="K35" s="388"/>
      <c r="L35" s="388"/>
      <c r="M35" s="388"/>
      <c r="N35" s="388"/>
      <c r="O35" s="388"/>
      <c r="P35" s="389"/>
      <c r="Q35" s="88" t="s">
        <v>193</v>
      </c>
      <c r="R35" s="359" t="s">
        <v>317</v>
      </c>
      <c r="S35" s="359"/>
      <c r="T35" s="359"/>
      <c r="U35" s="359"/>
      <c r="V35" s="359"/>
      <c r="W35" s="359"/>
      <c r="X35" s="359"/>
      <c r="Y35" s="360"/>
      <c r="Z35" s="396"/>
      <c r="AA35" s="401"/>
      <c r="AB35" s="298"/>
      <c r="AC35" s="298"/>
      <c r="AD35" s="298"/>
      <c r="AE35" s="298"/>
      <c r="AF35" s="298"/>
      <c r="AG35" s="298"/>
      <c r="AH35" s="402"/>
      <c r="AI35" s="401"/>
      <c r="AJ35" s="298"/>
      <c r="AK35" s="298"/>
      <c r="AL35" s="298"/>
      <c r="AM35" s="298"/>
      <c r="AN35" s="298"/>
      <c r="AO35" s="298"/>
      <c r="AP35" s="662"/>
      <c r="AQ35" s="379"/>
      <c r="AR35" s="380"/>
      <c r="AU35" s="112"/>
      <c r="AW35" s="113" t="s">
        <v>318</v>
      </c>
      <c r="AX35" s="111"/>
      <c r="AY35" s="111"/>
      <c r="AZ35" s="111"/>
      <c r="BA35" s="111"/>
      <c r="BB35" s="111"/>
      <c r="BC35" s="111"/>
      <c r="BD35" s="111"/>
      <c r="BE35" s="111"/>
      <c r="BF35" s="111"/>
      <c r="BG35" s="111"/>
      <c r="BH35" s="111"/>
      <c r="BI35" s="111"/>
      <c r="BJ35" s="111"/>
      <c r="BK35" s="111"/>
      <c r="BL35" s="111"/>
      <c r="BM35" s="111"/>
      <c r="BN35" s="111"/>
      <c r="BO35" s="111"/>
      <c r="BP35" s="101"/>
      <c r="BQ35" s="92"/>
      <c r="BR35" s="92"/>
    </row>
    <row r="36" spans="1:70" ht="20.100000000000001" customHeight="1">
      <c r="A36" s="280"/>
      <c r="B36" s="374"/>
      <c r="C36" s="375"/>
      <c r="D36" s="375"/>
      <c r="E36" s="375"/>
      <c r="F36" s="375"/>
      <c r="G36" s="376"/>
      <c r="H36" s="387"/>
      <c r="I36" s="388"/>
      <c r="J36" s="388"/>
      <c r="K36" s="388"/>
      <c r="L36" s="388"/>
      <c r="M36" s="388"/>
      <c r="N36" s="388"/>
      <c r="O36" s="388"/>
      <c r="P36" s="389"/>
      <c r="Q36" s="88" t="s">
        <v>194</v>
      </c>
      <c r="R36" s="359" t="s">
        <v>319</v>
      </c>
      <c r="S36" s="359"/>
      <c r="T36" s="359"/>
      <c r="U36" s="359"/>
      <c r="V36" s="359"/>
      <c r="W36" s="359"/>
      <c r="X36" s="359"/>
      <c r="Y36" s="360"/>
      <c r="Z36" s="396"/>
      <c r="AA36" s="401"/>
      <c r="AB36" s="298"/>
      <c r="AC36" s="298"/>
      <c r="AD36" s="298"/>
      <c r="AE36" s="298"/>
      <c r="AF36" s="298"/>
      <c r="AG36" s="298"/>
      <c r="AH36" s="402"/>
      <c r="AI36" s="401"/>
      <c r="AJ36" s="298"/>
      <c r="AK36" s="298"/>
      <c r="AL36" s="298"/>
      <c r="AM36" s="298"/>
      <c r="AN36" s="298"/>
      <c r="AO36" s="298"/>
      <c r="AP36" s="662"/>
      <c r="AQ36" s="379"/>
      <c r="AR36" s="380"/>
      <c r="AU36" s="112"/>
      <c r="AW36" s="113" t="s">
        <v>275</v>
      </c>
      <c r="AX36" s="111"/>
      <c r="AY36" s="111"/>
      <c r="AZ36" s="111"/>
      <c r="BA36" s="111"/>
      <c r="BB36" s="111"/>
      <c r="BC36" s="111"/>
      <c r="BD36" s="111"/>
      <c r="BE36" s="111"/>
      <c r="BF36" s="111"/>
      <c r="BG36" s="111"/>
      <c r="BH36" s="111"/>
      <c r="BI36" s="111"/>
      <c r="BJ36" s="111"/>
      <c r="BK36" s="111"/>
      <c r="BL36" s="111"/>
      <c r="BM36" s="111"/>
      <c r="BN36" s="111"/>
      <c r="BO36" s="111"/>
      <c r="BP36" s="101"/>
      <c r="BQ36" s="92"/>
      <c r="BR36" s="85"/>
    </row>
    <row r="37" spans="1:70" ht="20.100000000000001" customHeight="1">
      <c r="A37" s="280"/>
      <c r="B37" s="406" t="s">
        <v>195</v>
      </c>
      <c r="C37" s="407"/>
      <c r="D37" s="407"/>
      <c r="E37" s="407"/>
      <c r="F37" s="407"/>
      <c r="G37" s="408"/>
      <c r="H37" s="387"/>
      <c r="I37" s="388"/>
      <c r="J37" s="388"/>
      <c r="K37" s="388"/>
      <c r="L37" s="388"/>
      <c r="M37" s="388"/>
      <c r="N37" s="388"/>
      <c r="O37" s="388"/>
      <c r="P37" s="389"/>
      <c r="Q37" s="88" t="s">
        <v>196</v>
      </c>
      <c r="R37" s="359" t="s">
        <v>320</v>
      </c>
      <c r="S37" s="359"/>
      <c r="T37" s="359"/>
      <c r="U37" s="359"/>
      <c r="V37" s="359"/>
      <c r="W37" s="359"/>
      <c r="X37" s="359"/>
      <c r="Y37" s="360"/>
      <c r="Z37" s="396"/>
      <c r="AA37" s="401"/>
      <c r="AB37" s="298"/>
      <c r="AC37" s="298"/>
      <c r="AD37" s="298"/>
      <c r="AE37" s="298"/>
      <c r="AF37" s="298"/>
      <c r="AG37" s="298"/>
      <c r="AH37" s="402"/>
      <c r="AI37" s="401"/>
      <c r="AJ37" s="298"/>
      <c r="AK37" s="298"/>
      <c r="AL37" s="298"/>
      <c r="AM37" s="298"/>
      <c r="AN37" s="298"/>
      <c r="AO37" s="298"/>
      <c r="AP37" s="662"/>
      <c r="AQ37" s="409" t="s">
        <v>197</v>
      </c>
      <c r="AR37" s="410"/>
      <c r="AU37" s="112"/>
      <c r="AV37" s="111"/>
      <c r="AW37" s="111"/>
      <c r="AX37" s="111"/>
      <c r="AY37" s="111"/>
      <c r="AZ37" s="111"/>
      <c r="BA37" s="111"/>
      <c r="BB37" s="111"/>
      <c r="BC37" s="111"/>
      <c r="BD37" s="111"/>
      <c r="BE37" s="111"/>
      <c r="BF37" s="111"/>
      <c r="BG37" s="111"/>
      <c r="BH37" s="111"/>
      <c r="BI37" s="111"/>
      <c r="BJ37" s="111"/>
      <c r="BK37" s="111"/>
      <c r="BL37" s="111"/>
      <c r="BM37" s="111"/>
      <c r="BN37" s="111"/>
      <c r="BO37" s="111"/>
      <c r="BP37" s="101"/>
      <c r="BQ37" s="92"/>
    </row>
    <row r="38" spans="1:70" ht="20.100000000000001" customHeight="1">
      <c r="A38" s="280"/>
      <c r="B38" s="358" t="s">
        <v>321</v>
      </c>
      <c r="C38" s="359"/>
      <c r="D38" s="359"/>
      <c r="E38" s="359"/>
      <c r="F38" s="359"/>
      <c r="G38" s="360"/>
      <c r="H38" s="387"/>
      <c r="I38" s="388"/>
      <c r="J38" s="388"/>
      <c r="K38" s="388"/>
      <c r="L38" s="388"/>
      <c r="M38" s="388"/>
      <c r="N38" s="388"/>
      <c r="O38" s="388"/>
      <c r="P38" s="389"/>
      <c r="Q38" s="88" t="s">
        <v>198</v>
      </c>
      <c r="R38" s="364" t="s">
        <v>310</v>
      </c>
      <c r="S38" s="364"/>
      <c r="T38" s="364"/>
      <c r="U38" s="364"/>
      <c r="V38" s="364"/>
      <c r="W38" s="364"/>
      <c r="X38" s="364"/>
      <c r="Y38" s="365"/>
      <c r="Z38" s="396"/>
      <c r="AA38" s="401"/>
      <c r="AB38" s="298"/>
      <c r="AC38" s="298"/>
      <c r="AD38" s="298"/>
      <c r="AE38" s="298"/>
      <c r="AF38" s="298"/>
      <c r="AG38" s="298"/>
      <c r="AH38" s="402"/>
      <c r="AI38" s="401"/>
      <c r="AJ38" s="298"/>
      <c r="AK38" s="298"/>
      <c r="AL38" s="298"/>
      <c r="AM38" s="298"/>
      <c r="AN38" s="298"/>
      <c r="AO38" s="298"/>
      <c r="AP38" s="662"/>
      <c r="AQ38" s="366">
        <f>Z33*AQ34</f>
        <v>0</v>
      </c>
      <c r="AR38" s="367"/>
      <c r="AU38" s="112"/>
      <c r="AV38" s="193" t="s">
        <v>322</v>
      </c>
      <c r="AW38" s="93"/>
      <c r="AX38" s="93"/>
      <c r="AY38" s="93"/>
      <c r="AZ38" s="93"/>
      <c r="BA38" s="93"/>
      <c r="BB38" s="93"/>
      <c r="BC38" s="93"/>
      <c r="BD38" s="93"/>
      <c r="BE38" s="94"/>
      <c r="BF38" s="94"/>
      <c r="BG38" s="94"/>
      <c r="BH38" s="94"/>
      <c r="BI38" s="111"/>
      <c r="BJ38" s="111"/>
      <c r="BK38" s="111"/>
      <c r="BL38" s="111"/>
      <c r="BM38" s="111"/>
      <c r="BN38" s="111"/>
      <c r="BO38" s="111"/>
      <c r="BP38" s="101"/>
      <c r="BQ38" s="85"/>
    </row>
    <row r="39" spans="1:70" ht="20.100000000000001" customHeight="1">
      <c r="A39" s="280"/>
      <c r="B39" s="358"/>
      <c r="C39" s="359"/>
      <c r="D39" s="359"/>
      <c r="E39" s="359"/>
      <c r="F39" s="359"/>
      <c r="G39" s="360"/>
      <c r="H39" s="387"/>
      <c r="I39" s="388"/>
      <c r="J39" s="388"/>
      <c r="K39" s="388"/>
      <c r="L39" s="388"/>
      <c r="M39" s="388"/>
      <c r="N39" s="388"/>
      <c r="O39" s="388"/>
      <c r="P39" s="389"/>
      <c r="Q39" s="200"/>
      <c r="R39" s="359"/>
      <c r="S39" s="359"/>
      <c r="T39" s="359"/>
      <c r="U39" s="359"/>
      <c r="V39" s="359"/>
      <c r="W39" s="359"/>
      <c r="X39" s="359"/>
      <c r="Y39" s="360"/>
      <c r="Z39" s="396"/>
      <c r="AA39" s="401"/>
      <c r="AB39" s="298"/>
      <c r="AC39" s="298"/>
      <c r="AD39" s="298"/>
      <c r="AE39" s="298"/>
      <c r="AF39" s="298"/>
      <c r="AG39" s="298"/>
      <c r="AH39" s="402"/>
      <c r="AI39" s="401"/>
      <c r="AJ39" s="298"/>
      <c r="AK39" s="298"/>
      <c r="AL39" s="298"/>
      <c r="AM39" s="298"/>
      <c r="AN39" s="298"/>
      <c r="AO39" s="298"/>
      <c r="AP39" s="662"/>
      <c r="AQ39" s="368"/>
      <c r="AR39" s="369"/>
      <c r="AU39" s="118"/>
      <c r="AV39" s="95"/>
      <c r="AW39" s="116" t="s">
        <v>323</v>
      </c>
      <c r="AX39" s="95"/>
      <c r="AY39" s="96"/>
      <c r="AZ39" s="96"/>
      <c r="BA39" s="96"/>
      <c r="BB39" s="96"/>
      <c r="BC39" s="96"/>
      <c r="BD39" s="96"/>
      <c r="BE39" s="96"/>
      <c r="BF39" s="96"/>
      <c r="BG39" s="96"/>
      <c r="BH39" s="96"/>
      <c r="BI39" s="94"/>
      <c r="BJ39" s="94"/>
      <c r="BK39" s="92"/>
      <c r="BL39" s="92"/>
      <c r="BM39" s="92"/>
      <c r="BN39" s="92"/>
      <c r="BP39" s="101"/>
    </row>
    <row r="40" spans="1:70" ht="20.100000000000001" customHeight="1" thickBot="1">
      <c r="A40" s="303"/>
      <c r="B40" s="361"/>
      <c r="C40" s="362"/>
      <c r="D40" s="362"/>
      <c r="E40" s="362"/>
      <c r="F40" s="362"/>
      <c r="G40" s="363"/>
      <c r="H40" s="390"/>
      <c r="I40" s="391"/>
      <c r="J40" s="391"/>
      <c r="K40" s="391"/>
      <c r="L40" s="391"/>
      <c r="M40" s="391"/>
      <c r="N40" s="391"/>
      <c r="O40" s="391"/>
      <c r="P40" s="392"/>
      <c r="Q40" s="89"/>
      <c r="R40" s="362"/>
      <c r="S40" s="362"/>
      <c r="T40" s="362"/>
      <c r="U40" s="362"/>
      <c r="V40" s="362"/>
      <c r="W40" s="362"/>
      <c r="X40" s="362"/>
      <c r="Y40" s="363"/>
      <c r="Z40" s="397"/>
      <c r="AA40" s="403"/>
      <c r="AB40" s="308"/>
      <c r="AC40" s="308"/>
      <c r="AD40" s="308"/>
      <c r="AE40" s="308"/>
      <c r="AF40" s="308"/>
      <c r="AG40" s="308"/>
      <c r="AH40" s="404"/>
      <c r="AI40" s="403"/>
      <c r="AJ40" s="308"/>
      <c r="AK40" s="308"/>
      <c r="AL40" s="308"/>
      <c r="AM40" s="308"/>
      <c r="AN40" s="308"/>
      <c r="AO40" s="308"/>
      <c r="AP40" s="666"/>
      <c r="AQ40" s="370"/>
      <c r="AR40" s="371"/>
      <c r="AU40" s="100"/>
      <c r="AV40" s="85"/>
      <c r="AW40" s="85"/>
      <c r="AX40" s="1" t="s">
        <v>324</v>
      </c>
      <c r="AY40" s="96"/>
      <c r="AZ40" s="96"/>
      <c r="BA40" s="96"/>
      <c r="BB40" s="96"/>
      <c r="BC40" s="96"/>
      <c r="BD40" s="96"/>
      <c r="BE40" s="96"/>
      <c r="BF40" s="96"/>
      <c r="BG40" s="96"/>
      <c r="BH40" s="96"/>
      <c r="BI40" s="96"/>
      <c r="BJ40" s="96"/>
      <c r="BK40" s="96"/>
      <c r="BL40" s="96"/>
      <c r="BM40" s="96"/>
      <c r="BN40" s="96"/>
      <c r="BO40" s="96"/>
      <c r="BP40" s="101"/>
    </row>
    <row r="41" spans="1:70" ht="20.100000000000001" customHeight="1">
      <c r="Z41" s="90">
        <f>SUM(Z9:Z40)</f>
        <v>12</v>
      </c>
      <c r="AA41" s="201"/>
      <c r="AB41" s="201"/>
      <c r="AC41" s="201"/>
      <c r="AD41" s="201"/>
      <c r="AE41" s="201"/>
      <c r="AF41" s="201"/>
      <c r="AG41" s="201"/>
      <c r="AH41" s="201"/>
      <c r="AQ41" s="344">
        <f>AQ14+AQ22+AQ38+AQ30</f>
        <v>0</v>
      </c>
      <c r="AR41" s="344"/>
      <c r="AU41" s="122"/>
      <c r="AW41" s="116" t="s">
        <v>325</v>
      </c>
      <c r="AX41" s="1"/>
      <c r="AY41" s="96"/>
      <c r="AZ41" s="96"/>
      <c r="BA41" s="96"/>
      <c r="BB41" s="96"/>
      <c r="BC41" s="96"/>
      <c r="BD41" s="96"/>
      <c r="BE41" s="96"/>
      <c r="BF41" s="96"/>
      <c r="BG41" s="96"/>
      <c r="BH41" s="96"/>
      <c r="BI41" s="96"/>
      <c r="BJ41" s="96"/>
      <c r="BK41" s="96"/>
      <c r="BL41" s="96"/>
      <c r="BM41" s="96"/>
      <c r="BN41" s="96"/>
      <c r="BO41" s="96"/>
      <c r="BP41" s="101"/>
    </row>
    <row r="42" spans="1:70" ht="42.75" customHeight="1" thickBot="1">
      <c r="AU42" s="100"/>
      <c r="AX42" s="85" t="s">
        <v>280</v>
      </c>
      <c r="BI42" s="96"/>
      <c r="BJ42" s="96"/>
      <c r="BK42" s="96"/>
      <c r="BL42" s="96"/>
      <c r="BM42" s="96"/>
      <c r="BN42" s="96"/>
      <c r="BO42" s="96"/>
      <c r="BP42" s="101"/>
    </row>
    <row r="43" spans="1:70" s="92" customFormat="1" ht="27.75" customHeight="1" thickBot="1">
      <c r="A43" s="345" t="s">
        <v>199</v>
      </c>
      <c r="B43" s="345"/>
      <c r="C43" s="345"/>
      <c r="D43" s="345"/>
      <c r="E43" s="345"/>
      <c r="F43" s="345" t="s">
        <v>200</v>
      </c>
      <c r="G43" s="345"/>
      <c r="H43" s="345"/>
      <c r="I43" s="345"/>
      <c r="J43" s="345"/>
      <c r="K43" s="345"/>
      <c r="L43" s="346"/>
      <c r="M43" s="347"/>
      <c r="N43" s="347"/>
      <c r="O43" s="347"/>
      <c r="P43" s="347"/>
      <c r="Q43" s="347"/>
      <c r="R43" s="347"/>
      <c r="S43" s="347"/>
      <c r="T43" s="347"/>
      <c r="U43" s="347"/>
      <c r="V43" s="347"/>
      <c r="W43" s="347"/>
      <c r="X43" s="347"/>
      <c r="Y43" s="347"/>
      <c r="Z43" s="347"/>
      <c r="AA43" s="347"/>
      <c r="AB43" s="347"/>
      <c r="AC43" s="347"/>
      <c r="AD43" s="347"/>
      <c r="AE43" s="347"/>
      <c r="AF43" s="347"/>
      <c r="AG43" s="348"/>
      <c r="AU43" s="104"/>
      <c r="AV43" s="105"/>
      <c r="AW43" s="105"/>
      <c r="AX43" s="105"/>
      <c r="AY43" s="115"/>
      <c r="AZ43" s="115"/>
      <c r="BA43" s="115"/>
      <c r="BB43" s="115"/>
      <c r="BC43" s="115"/>
      <c r="BD43" s="115"/>
      <c r="BE43" s="115"/>
      <c r="BF43" s="115"/>
      <c r="BG43" s="115"/>
      <c r="BH43" s="115"/>
      <c r="BI43" s="115"/>
      <c r="BJ43" s="115"/>
      <c r="BK43" s="115"/>
      <c r="BL43" s="115"/>
      <c r="BM43" s="115"/>
      <c r="BN43" s="115"/>
      <c r="BO43" s="115"/>
      <c r="BP43" s="106"/>
      <c r="BQ43" s="84"/>
      <c r="BR43" s="84"/>
    </row>
    <row r="44" spans="1:70" s="92" customFormat="1" ht="15" customHeight="1" thickBot="1">
      <c r="A44" s="202"/>
      <c r="B44" s="202"/>
      <c r="C44" s="202"/>
      <c r="D44" s="202"/>
      <c r="E44" s="202"/>
      <c r="F44" s="202"/>
      <c r="G44" s="202"/>
      <c r="H44" s="202"/>
      <c r="I44" s="202"/>
      <c r="J44" s="202"/>
      <c r="K44" s="202"/>
      <c r="L44" s="203"/>
      <c r="M44" s="203"/>
      <c r="N44" s="203"/>
      <c r="O44" s="203"/>
      <c r="P44" s="203"/>
      <c r="Q44" s="203"/>
      <c r="R44" s="203"/>
      <c r="S44" s="203"/>
      <c r="T44" s="203"/>
      <c r="U44" s="203"/>
      <c r="V44" s="203"/>
      <c r="W44" s="203"/>
      <c r="X44" s="203"/>
      <c r="Y44" s="203"/>
      <c r="Z44" s="203"/>
      <c r="AA44" s="203"/>
      <c r="AB44" s="203"/>
      <c r="AC44" s="203"/>
      <c r="AD44" s="203"/>
      <c r="AE44" s="203"/>
      <c r="AF44" s="203"/>
      <c r="AG44" s="203"/>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row>
    <row r="45" spans="1:70" s="85" customFormat="1" ht="24" customHeight="1">
      <c r="A45" s="349" t="s">
        <v>173</v>
      </c>
      <c r="B45" s="350"/>
      <c r="C45" s="350"/>
      <c r="D45" s="350"/>
      <c r="E45" s="350"/>
      <c r="F45" s="350"/>
      <c r="G45" s="350"/>
      <c r="H45" s="350"/>
      <c r="I45" s="350"/>
      <c r="J45" s="350"/>
      <c r="K45" s="350"/>
      <c r="L45" s="350"/>
      <c r="M45" s="350"/>
      <c r="N45" s="350"/>
      <c r="O45" s="350"/>
      <c r="P45" s="350"/>
      <c r="Q45" s="350"/>
      <c r="R45" s="350"/>
      <c r="S45" s="350"/>
      <c r="T45" s="350"/>
      <c r="U45" s="350"/>
      <c r="V45" s="350"/>
      <c r="W45" s="350"/>
      <c r="X45" s="351"/>
      <c r="Y45" s="352" t="s">
        <v>201</v>
      </c>
      <c r="Z45" s="353"/>
      <c r="AA45" s="353"/>
      <c r="AB45" s="353"/>
      <c r="AC45" s="353"/>
      <c r="AD45" s="353"/>
      <c r="AE45" s="353"/>
      <c r="AF45" s="353"/>
      <c r="AG45" s="354"/>
      <c r="AH45" s="355" t="s">
        <v>202</v>
      </c>
      <c r="AI45" s="356"/>
      <c r="AJ45" s="356"/>
      <c r="AK45" s="356"/>
      <c r="AL45" s="356"/>
      <c r="AM45" s="356"/>
      <c r="AN45" s="356"/>
      <c r="AO45" s="356"/>
      <c r="AP45" s="356"/>
      <c r="AQ45" s="356"/>
      <c r="AR45" s="357"/>
      <c r="AU45" s="2"/>
      <c r="AV45" s="84"/>
      <c r="AW45" s="84"/>
      <c r="AX45" s="84"/>
      <c r="AY45" s="96"/>
      <c r="AZ45" s="96"/>
      <c r="BA45" s="96"/>
      <c r="BB45" s="96"/>
      <c r="BC45" s="96"/>
      <c r="BD45" s="96"/>
      <c r="BE45" s="96"/>
      <c r="BF45" s="96"/>
      <c r="BG45" s="96"/>
      <c r="BH45" s="96"/>
      <c r="BI45" s="96"/>
      <c r="BJ45" s="96"/>
      <c r="BK45" s="96"/>
      <c r="BL45" s="96"/>
      <c r="BM45" s="96"/>
      <c r="BN45" s="96"/>
      <c r="BO45" s="96"/>
      <c r="BP45" s="84"/>
      <c r="BQ45" s="84"/>
      <c r="BR45" s="84"/>
    </row>
    <row r="46" spans="1:70" ht="15.6" customHeight="1">
      <c r="A46" s="279" t="s">
        <v>177</v>
      </c>
      <c r="B46" s="310" t="s">
        <v>203</v>
      </c>
      <c r="C46" s="311"/>
      <c r="D46" s="311"/>
      <c r="E46" s="311"/>
      <c r="F46" s="311"/>
      <c r="G46" s="311"/>
      <c r="H46" s="311"/>
      <c r="I46" s="311"/>
      <c r="J46" s="311"/>
      <c r="K46" s="312"/>
      <c r="L46" s="310" t="s">
        <v>179</v>
      </c>
      <c r="M46" s="311"/>
      <c r="N46" s="311"/>
      <c r="O46" s="311"/>
      <c r="P46" s="311"/>
      <c r="Q46" s="311"/>
      <c r="R46" s="311"/>
      <c r="S46" s="311"/>
      <c r="T46" s="311"/>
      <c r="U46" s="311"/>
      <c r="V46" s="311"/>
      <c r="W46" s="311"/>
      <c r="X46" s="319"/>
      <c r="Y46" s="320" t="s">
        <v>182</v>
      </c>
      <c r="Z46" s="321"/>
      <c r="AA46" s="321"/>
      <c r="AB46" s="321"/>
      <c r="AC46" s="321"/>
      <c r="AD46" s="321"/>
      <c r="AE46" s="321"/>
      <c r="AF46" s="321"/>
      <c r="AG46" s="322"/>
      <c r="AH46" s="323" t="s">
        <v>204</v>
      </c>
      <c r="AI46" s="324"/>
      <c r="AJ46" s="324"/>
      <c r="AK46" s="324"/>
      <c r="AL46" s="324"/>
      <c r="AM46" s="324"/>
      <c r="AN46" s="324"/>
      <c r="AO46" s="324"/>
      <c r="AP46" s="324"/>
      <c r="AQ46" s="324"/>
      <c r="AR46" s="325"/>
      <c r="AV46" s="1"/>
      <c r="AW46" s="1"/>
      <c r="AX46" s="1"/>
    </row>
    <row r="47" spans="1:70" ht="15.6" customHeight="1">
      <c r="A47" s="280"/>
      <c r="B47" s="313"/>
      <c r="C47" s="314"/>
      <c r="D47" s="314"/>
      <c r="E47" s="314"/>
      <c r="F47" s="314"/>
      <c r="G47" s="314"/>
      <c r="H47" s="314"/>
      <c r="I47" s="314"/>
      <c r="J47" s="314"/>
      <c r="K47" s="315"/>
      <c r="L47" s="326" t="s">
        <v>205</v>
      </c>
      <c r="M47" s="327"/>
      <c r="N47" s="327"/>
      <c r="O47" s="327"/>
      <c r="P47" s="327"/>
      <c r="Q47" s="327"/>
      <c r="R47" s="327"/>
      <c r="S47" s="327"/>
      <c r="T47" s="327"/>
      <c r="U47" s="327"/>
      <c r="V47" s="327"/>
      <c r="W47" s="327"/>
      <c r="X47" s="328"/>
      <c r="Y47" s="332" t="s">
        <v>206</v>
      </c>
      <c r="Z47" s="333"/>
      <c r="AA47" s="333"/>
      <c r="AB47" s="333"/>
      <c r="AC47" s="333"/>
      <c r="AD47" s="333"/>
      <c r="AE47" s="333"/>
      <c r="AF47" s="333"/>
      <c r="AG47" s="334"/>
      <c r="AH47" s="338" t="s">
        <v>207</v>
      </c>
      <c r="AI47" s="339"/>
      <c r="AJ47" s="339"/>
      <c r="AK47" s="339"/>
      <c r="AL47" s="339"/>
      <c r="AM47" s="339"/>
      <c r="AN47" s="339"/>
      <c r="AO47" s="339"/>
      <c r="AP47" s="339"/>
      <c r="AQ47" s="339"/>
      <c r="AR47" s="340"/>
    </row>
    <row r="48" spans="1:70">
      <c r="A48" s="281"/>
      <c r="B48" s="316"/>
      <c r="C48" s="317"/>
      <c r="D48" s="317"/>
      <c r="E48" s="317"/>
      <c r="F48" s="317"/>
      <c r="G48" s="317"/>
      <c r="H48" s="317"/>
      <c r="I48" s="317"/>
      <c r="J48" s="317"/>
      <c r="K48" s="318"/>
      <c r="L48" s="329"/>
      <c r="M48" s="330"/>
      <c r="N48" s="330"/>
      <c r="O48" s="330"/>
      <c r="P48" s="330"/>
      <c r="Q48" s="330"/>
      <c r="R48" s="330"/>
      <c r="S48" s="330"/>
      <c r="T48" s="330"/>
      <c r="U48" s="330"/>
      <c r="V48" s="330"/>
      <c r="W48" s="330"/>
      <c r="X48" s="331"/>
      <c r="Y48" s="335"/>
      <c r="Z48" s="336"/>
      <c r="AA48" s="336"/>
      <c r="AB48" s="336"/>
      <c r="AC48" s="336"/>
      <c r="AD48" s="336"/>
      <c r="AE48" s="336"/>
      <c r="AF48" s="336"/>
      <c r="AG48" s="337"/>
      <c r="AH48" s="341"/>
      <c r="AI48" s="342"/>
      <c r="AJ48" s="342"/>
      <c r="AK48" s="342"/>
      <c r="AL48" s="342"/>
      <c r="AM48" s="342"/>
      <c r="AN48" s="342"/>
      <c r="AO48" s="342"/>
      <c r="AP48" s="342"/>
      <c r="AQ48" s="342"/>
      <c r="AR48" s="343"/>
    </row>
    <row r="49" spans="1:44" ht="20.100000000000001" customHeight="1">
      <c r="A49" s="279">
        <v>1</v>
      </c>
      <c r="B49" s="282" t="s">
        <v>208</v>
      </c>
      <c r="C49" s="283"/>
      <c r="D49" s="283"/>
      <c r="E49" s="283"/>
      <c r="F49" s="283"/>
      <c r="G49" s="283"/>
      <c r="H49" s="283"/>
      <c r="I49" s="283"/>
      <c r="J49" s="283"/>
      <c r="K49" s="284"/>
      <c r="L49" s="285"/>
      <c r="M49" s="286"/>
      <c r="N49" s="286"/>
      <c r="O49" s="286"/>
      <c r="P49" s="286"/>
      <c r="Q49" s="286"/>
      <c r="R49" s="286"/>
      <c r="S49" s="286"/>
      <c r="T49" s="286"/>
      <c r="U49" s="286"/>
      <c r="V49" s="286"/>
      <c r="W49" s="286"/>
      <c r="X49" s="287"/>
      <c r="Y49" s="195"/>
      <c r="Z49" s="195"/>
      <c r="AA49" s="195"/>
      <c r="AB49" s="195"/>
      <c r="AC49" s="195"/>
      <c r="AD49" s="195"/>
      <c r="AE49" s="195"/>
      <c r="AF49" s="195"/>
      <c r="AG49" s="195"/>
      <c r="AH49" s="204"/>
      <c r="AI49" s="205"/>
      <c r="AJ49" s="205"/>
      <c r="AK49" s="205"/>
      <c r="AL49" s="205"/>
      <c r="AM49" s="205"/>
      <c r="AN49" s="205"/>
      <c r="AO49" s="205"/>
      <c r="AP49" s="205"/>
      <c r="AQ49" s="205"/>
      <c r="AR49" s="206"/>
    </row>
    <row r="50" spans="1:44" ht="20.100000000000001" customHeight="1">
      <c r="A50" s="280"/>
      <c r="B50" s="294"/>
      <c r="C50" s="295"/>
      <c r="D50" s="295"/>
      <c r="E50" s="295"/>
      <c r="F50" s="295"/>
      <c r="G50" s="295"/>
      <c r="H50" s="295"/>
      <c r="I50" s="295"/>
      <c r="J50" s="295"/>
      <c r="K50" s="296"/>
      <c r="L50" s="288"/>
      <c r="M50" s="289"/>
      <c r="N50" s="289"/>
      <c r="O50" s="289"/>
      <c r="P50" s="289"/>
      <c r="Q50" s="289"/>
      <c r="R50" s="289"/>
      <c r="S50" s="289"/>
      <c r="T50" s="289"/>
      <c r="U50" s="289"/>
      <c r="V50" s="289"/>
      <c r="W50" s="289"/>
      <c r="X50" s="290"/>
      <c r="Y50" s="196"/>
      <c r="Z50" s="196"/>
      <c r="AA50" s="196"/>
      <c r="AB50" s="196"/>
      <c r="AC50" s="196"/>
      <c r="AD50" s="196"/>
      <c r="AE50" s="196"/>
      <c r="AF50" s="196"/>
      <c r="AG50" s="196"/>
      <c r="AH50" s="207"/>
      <c r="AI50" s="83"/>
      <c r="AJ50" s="83"/>
      <c r="AK50" s="83"/>
      <c r="AL50" s="83"/>
      <c r="AM50" s="83"/>
      <c r="AN50" s="83"/>
      <c r="AO50" s="83"/>
      <c r="AP50" s="83"/>
      <c r="AQ50" s="83"/>
      <c r="AR50" s="208"/>
    </row>
    <row r="51" spans="1:44" ht="20.100000000000001" customHeight="1">
      <c r="A51" s="280"/>
      <c r="B51" s="297"/>
      <c r="C51" s="298"/>
      <c r="D51" s="298"/>
      <c r="E51" s="298"/>
      <c r="F51" s="298"/>
      <c r="G51" s="298"/>
      <c r="H51" s="298"/>
      <c r="I51" s="298"/>
      <c r="J51" s="298"/>
      <c r="K51" s="299"/>
      <c r="L51" s="288"/>
      <c r="M51" s="289"/>
      <c r="N51" s="289"/>
      <c r="O51" s="289"/>
      <c r="P51" s="289"/>
      <c r="Q51" s="289"/>
      <c r="R51" s="289"/>
      <c r="S51" s="289"/>
      <c r="T51" s="289"/>
      <c r="U51" s="289"/>
      <c r="V51" s="289"/>
      <c r="W51" s="289"/>
      <c r="X51" s="290"/>
      <c r="Y51" s="196"/>
      <c r="Z51" s="196"/>
      <c r="AA51" s="196"/>
      <c r="AB51" s="196"/>
      <c r="AC51" s="196"/>
      <c r="AD51" s="196"/>
      <c r="AE51" s="196"/>
      <c r="AF51" s="196"/>
      <c r="AG51" s="196"/>
      <c r="AH51" s="207"/>
      <c r="AI51" s="83"/>
      <c r="AJ51" s="83"/>
      <c r="AK51" s="83"/>
      <c r="AL51" s="83"/>
      <c r="AM51" s="83"/>
      <c r="AN51" s="83"/>
      <c r="AO51" s="83"/>
      <c r="AP51" s="83"/>
      <c r="AQ51" s="83"/>
      <c r="AR51" s="208"/>
    </row>
    <row r="52" spans="1:44" ht="20.100000000000001" customHeight="1">
      <c r="A52" s="280"/>
      <c r="B52" s="297"/>
      <c r="C52" s="298"/>
      <c r="D52" s="298"/>
      <c r="E52" s="298"/>
      <c r="F52" s="298"/>
      <c r="G52" s="298"/>
      <c r="H52" s="298"/>
      <c r="I52" s="298"/>
      <c r="J52" s="298"/>
      <c r="K52" s="299"/>
      <c r="L52" s="288"/>
      <c r="M52" s="289"/>
      <c r="N52" s="289"/>
      <c r="O52" s="289"/>
      <c r="P52" s="289"/>
      <c r="Q52" s="289"/>
      <c r="R52" s="289"/>
      <c r="S52" s="289"/>
      <c r="T52" s="289"/>
      <c r="U52" s="289"/>
      <c r="V52" s="289"/>
      <c r="W52" s="289"/>
      <c r="X52" s="290"/>
      <c r="Y52" s="196"/>
      <c r="Z52" s="196"/>
      <c r="AA52" s="196"/>
      <c r="AB52" s="196"/>
      <c r="AC52" s="196"/>
      <c r="AD52" s="196"/>
      <c r="AE52" s="196"/>
      <c r="AF52" s="196"/>
      <c r="AG52" s="196"/>
      <c r="AH52" s="207"/>
      <c r="AI52" s="83"/>
      <c r="AJ52" s="83"/>
      <c r="AK52" s="83"/>
      <c r="AL52" s="83"/>
      <c r="AM52" s="83"/>
      <c r="AN52" s="83"/>
      <c r="AO52" s="83"/>
      <c r="AP52" s="83"/>
      <c r="AQ52" s="83"/>
      <c r="AR52" s="208"/>
    </row>
    <row r="53" spans="1:44" ht="20.100000000000001" customHeight="1">
      <c r="A53" s="280"/>
      <c r="B53" s="297"/>
      <c r="C53" s="298"/>
      <c r="D53" s="298"/>
      <c r="E53" s="298"/>
      <c r="F53" s="298"/>
      <c r="G53" s="298"/>
      <c r="H53" s="298"/>
      <c r="I53" s="298"/>
      <c r="J53" s="298"/>
      <c r="K53" s="299"/>
      <c r="L53" s="288"/>
      <c r="M53" s="289"/>
      <c r="N53" s="289"/>
      <c r="O53" s="289"/>
      <c r="P53" s="289"/>
      <c r="Q53" s="289"/>
      <c r="R53" s="289"/>
      <c r="S53" s="289"/>
      <c r="T53" s="289"/>
      <c r="U53" s="289"/>
      <c r="V53" s="289"/>
      <c r="W53" s="289"/>
      <c r="X53" s="290"/>
      <c r="Y53" s="196"/>
      <c r="Z53" s="196"/>
      <c r="AA53" s="196"/>
      <c r="AB53" s="196"/>
      <c r="AC53" s="196"/>
      <c r="AD53" s="196"/>
      <c r="AE53" s="196"/>
      <c r="AF53" s="196"/>
      <c r="AG53" s="196"/>
      <c r="AH53" s="207"/>
      <c r="AI53" s="83"/>
      <c r="AJ53" s="83"/>
      <c r="AK53" s="83"/>
      <c r="AL53" s="83"/>
      <c r="AM53" s="83"/>
      <c r="AN53" s="83"/>
      <c r="AO53" s="83"/>
      <c r="AP53" s="83"/>
      <c r="AQ53" s="83"/>
      <c r="AR53" s="208"/>
    </row>
    <row r="54" spans="1:44" ht="20.100000000000001" customHeight="1">
      <c r="A54" s="280"/>
      <c r="B54" s="297"/>
      <c r="C54" s="298"/>
      <c r="D54" s="298"/>
      <c r="E54" s="298"/>
      <c r="F54" s="298"/>
      <c r="G54" s="298"/>
      <c r="H54" s="298"/>
      <c r="I54" s="298"/>
      <c r="J54" s="298"/>
      <c r="K54" s="299"/>
      <c r="L54" s="288"/>
      <c r="M54" s="289"/>
      <c r="N54" s="289"/>
      <c r="O54" s="289"/>
      <c r="P54" s="289"/>
      <c r="Q54" s="289"/>
      <c r="R54" s="289"/>
      <c r="S54" s="289"/>
      <c r="T54" s="289"/>
      <c r="U54" s="289"/>
      <c r="V54" s="289"/>
      <c r="W54" s="289"/>
      <c r="X54" s="290"/>
      <c r="Y54" s="196"/>
      <c r="Z54" s="196"/>
      <c r="AA54" s="196"/>
      <c r="AB54" s="196"/>
      <c r="AC54" s="196"/>
      <c r="AD54" s="196"/>
      <c r="AE54" s="196"/>
      <c r="AF54" s="196"/>
      <c r="AG54" s="196"/>
      <c r="AH54" s="207"/>
      <c r="AI54" s="83"/>
      <c r="AJ54" s="83"/>
      <c r="AK54" s="83"/>
      <c r="AL54" s="83"/>
      <c r="AM54" s="83"/>
      <c r="AN54" s="83"/>
      <c r="AO54" s="83"/>
      <c r="AP54" s="83"/>
      <c r="AQ54" s="83"/>
      <c r="AR54" s="208"/>
    </row>
    <row r="55" spans="1:44" ht="20.100000000000001" customHeight="1">
      <c r="A55" s="281"/>
      <c r="B55" s="300"/>
      <c r="C55" s="301"/>
      <c r="D55" s="301"/>
      <c r="E55" s="301"/>
      <c r="F55" s="301"/>
      <c r="G55" s="301"/>
      <c r="H55" s="301"/>
      <c r="I55" s="301"/>
      <c r="J55" s="301"/>
      <c r="K55" s="302"/>
      <c r="L55" s="291"/>
      <c r="M55" s="292"/>
      <c r="N55" s="292"/>
      <c r="O55" s="292"/>
      <c r="P55" s="292"/>
      <c r="Q55" s="292"/>
      <c r="R55" s="292"/>
      <c r="S55" s="292"/>
      <c r="T55" s="292"/>
      <c r="U55" s="292"/>
      <c r="V55" s="292"/>
      <c r="W55" s="292"/>
      <c r="X55" s="293"/>
      <c r="Y55" s="198"/>
      <c r="Z55" s="198"/>
      <c r="AA55" s="198"/>
      <c r="AB55" s="198"/>
      <c r="AC55" s="198"/>
      <c r="AD55" s="198"/>
      <c r="AE55" s="198"/>
      <c r="AF55" s="198"/>
      <c r="AG55" s="198"/>
      <c r="AH55" s="209"/>
      <c r="AI55" s="210"/>
      <c r="AJ55" s="210"/>
      <c r="AK55" s="210"/>
      <c r="AL55" s="210"/>
      <c r="AM55" s="210"/>
      <c r="AN55" s="210"/>
      <c r="AO55" s="210"/>
      <c r="AP55" s="210"/>
      <c r="AQ55" s="210"/>
      <c r="AR55" s="211"/>
    </row>
    <row r="56" spans="1:44" ht="20.100000000000001" customHeight="1">
      <c r="A56" s="279">
        <v>2</v>
      </c>
      <c r="B56" s="282" t="s">
        <v>209</v>
      </c>
      <c r="C56" s="283"/>
      <c r="D56" s="283"/>
      <c r="E56" s="283"/>
      <c r="F56" s="283"/>
      <c r="G56" s="283"/>
      <c r="H56" s="283"/>
      <c r="I56" s="283"/>
      <c r="J56" s="283"/>
      <c r="K56" s="284"/>
      <c r="L56" s="285"/>
      <c r="M56" s="286"/>
      <c r="N56" s="286"/>
      <c r="O56" s="286"/>
      <c r="P56" s="286"/>
      <c r="Q56" s="286"/>
      <c r="R56" s="286"/>
      <c r="S56" s="286"/>
      <c r="T56" s="286"/>
      <c r="U56" s="286"/>
      <c r="V56" s="286"/>
      <c r="W56" s="286"/>
      <c r="X56" s="287"/>
      <c r="Y56" s="195"/>
      <c r="Z56" s="195"/>
      <c r="AA56" s="195"/>
      <c r="AB56" s="195"/>
      <c r="AC56" s="195"/>
      <c r="AD56" s="195"/>
      <c r="AE56" s="195"/>
      <c r="AF56" s="195"/>
      <c r="AG56" s="195"/>
      <c r="AH56" s="204"/>
      <c r="AI56" s="205"/>
      <c r="AJ56" s="205"/>
      <c r="AK56" s="205"/>
      <c r="AL56" s="205"/>
      <c r="AM56" s="205"/>
      <c r="AN56" s="205"/>
      <c r="AO56" s="205"/>
      <c r="AP56" s="205"/>
      <c r="AQ56" s="205"/>
      <c r="AR56" s="206"/>
    </row>
    <row r="57" spans="1:44" ht="20.100000000000001" customHeight="1">
      <c r="A57" s="280"/>
      <c r="B57" s="294"/>
      <c r="C57" s="295"/>
      <c r="D57" s="295"/>
      <c r="E57" s="295"/>
      <c r="F57" s="295"/>
      <c r="G57" s="295"/>
      <c r="H57" s="295"/>
      <c r="I57" s="295"/>
      <c r="J57" s="295"/>
      <c r="K57" s="296"/>
      <c r="L57" s="288"/>
      <c r="M57" s="289"/>
      <c r="N57" s="289"/>
      <c r="O57" s="289"/>
      <c r="P57" s="289"/>
      <c r="Q57" s="289"/>
      <c r="R57" s="289"/>
      <c r="S57" s="289"/>
      <c r="T57" s="289"/>
      <c r="U57" s="289"/>
      <c r="V57" s="289"/>
      <c r="W57" s="289"/>
      <c r="X57" s="290"/>
      <c r="Y57" s="196"/>
      <c r="Z57" s="196"/>
      <c r="AA57" s="196"/>
      <c r="AB57" s="196"/>
      <c r="AC57" s="196"/>
      <c r="AD57" s="196"/>
      <c r="AE57" s="196"/>
      <c r="AF57" s="196"/>
      <c r="AG57" s="196"/>
      <c r="AH57" s="207"/>
      <c r="AI57" s="83"/>
      <c r="AJ57" s="83"/>
      <c r="AK57" s="83"/>
      <c r="AL57" s="83"/>
      <c r="AM57" s="83"/>
      <c r="AN57" s="83"/>
      <c r="AO57" s="83"/>
      <c r="AP57" s="83"/>
      <c r="AQ57" s="83"/>
      <c r="AR57" s="208"/>
    </row>
    <row r="58" spans="1:44" ht="20.100000000000001" customHeight="1">
      <c r="A58" s="280"/>
      <c r="B58" s="297"/>
      <c r="C58" s="298"/>
      <c r="D58" s="298"/>
      <c r="E58" s="298"/>
      <c r="F58" s="298"/>
      <c r="G58" s="298"/>
      <c r="H58" s="298"/>
      <c r="I58" s="298"/>
      <c r="J58" s="298"/>
      <c r="K58" s="299"/>
      <c r="L58" s="288"/>
      <c r="M58" s="289"/>
      <c r="N58" s="289"/>
      <c r="O58" s="289"/>
      <c r="P58" s="289"/>
      <c r="Q58" s="289"/>
      <c r="R58" s="289"/>
      <c r="S58" s="289"/>
      <c r="T58" s="289"/>
      <c r="U58" s="289"/>
      <c r="V58" s="289"/>
      <c r="W58" s="289"/>
      <c r="X58" s="290"/>
      <c r="Y58" s="196"/>
      <c r="Z58" s="196"/>
      <c r="AA58" s="196"/>
      <c r="AB58" s="196"/>
      <c r="AC58" s="196"/>
      <c r="AD58" s="196"/>
      <c r="AE58" s="196"/>
      <c r="AF58" s="196"/>
      <c r="AG58" s="196"/>
      <c r="AH58" s="207"/>
      <c r="AI58" s="83"/>
      <c r="AJ58" s="83"/>
      <c r="AK58" s="83"/>
      <c r="AL58" s="83"/>
      <c r="AM58" s="83"/>
      <c r="AN58" s="83"/>
      <c r="AO58" s="83"/>
      <c r="AP58" s="83"/>
      <c r="AQ58" s="83"/>
      <c r="AR58" s="208"/>
    </row>
    <row r="59" spans="1:44" ht="20.100000000000001" customHeight="1">
      <c r="A59" s="280"/>
      <c r="B59" s="297"/>
      <c r="C59" s="298"/>
      <c r="D59" s="298"/>
      <c r="E59" s="298"/>
      <c r="F59" s="298"/>
      <c r="G59" s="298"/>
      <c r="H59" s="298"/>
      <c r="I59" s="298"/>
      <c r="J59" s="298"/>
      <c r="K59" s="299"/>
      <c r="L59" s="288"/>
      <c r="M59" s="289"/>
      <c r="N59" s="289"/>
      <c r="O59" s="289"/>
      <c r="P59" s="289"/>
      <c r="Q59" s="289"/>
      <c r="R59" s="289"/>
      <c r="S59" s="289"/>
      <c r="T59" s="289"/>
      <c r="U59" s="289"/>
      <c r="V59" s="289"/>
      <c r="W59" s="289"/>
      <c r="X59" s="290"/>
      <c r="Y59" s="196"/>
      <c r="Z59" s="196"/>
      <c r="AA59" s="196"/>
      <c r="AB59" s="196"/>
      <c r="AC59" s="196"/>
      <c r="AD59" s="196"/>
      <c r="AE59" s="196"/>
      <c r="AF59" s="196"/>
      <c r="AG59" s="196"/>
      <c r="AH59" s="207"/>
      <c r="AI59" s="83"/>
      <c r="AJ59" s="83"/>
      <c r="AK59" s="83"/>
      <c r="AL59" s="83"/>
      <c r="AM59" s="83"/>
      <c r="AN59" s="83"/>
      <c r="AO59" s="83"/>
      <c r="AP59" s="83"/>
      <c r="AQ59" s="83"/>
      <c r="AR59" s="208"/>
    </row>
    <row r="60" spans="1:44" ht="20.100000000000001" customHeight="1">
      <c r="A60" s="280"/>
      <c r="B60" s="297"/>
      <c r="C60" s="298"/>
      <c r="D60" s="298"/>
      <c r="E60" s="298"/>
      <c r="F60" s="298"/>
      <c r="G60" s="298"/>
      <c r="H60" s="298"/>
      <c r="I60" s="298"/>
      <c r="J60" s="298"/>
      <c r="K60" s="299"/>
      <c r="L60" s="288"/>
      <c r="M60" s="289"/>
      <c r="N60" s="289"/>
      <c r="O60" s="289"/>
      <c r="P60" s="289"/>
      <c r="Q60" s="289"/>
      <c r="R60" s="289"/>
      <c r="S60" s="289"/>
      <c r="T60" s="289"/>
      <c r="U60" s="289"/>
      <c r="V60" s="289"/>
      <c r="W60" s="289"/>
      <c r="X60" s="290"/>
      <c r="Y60" s="196"/>
      <c r="Z60" s="196"/>
      <c r="AA60" s="196"/>
      <c r="AB60" s="196"/>
      <c r="AC60" s="196"/>
      <c r="AD60" s="196"/>
      <c r="AE60" s="196"/>
      <c r="AF60" s="196"/>
      <c r="AG60" s="196"/>
      <c r="AH60" s="207"/>
      <c r="AI60" s="83"/>
      <c r="AJ60" s="83"/>
      <c r="AK60" s="83"/>
      <c r="AL60" s="83"/>
      <c r="AM60" s="83"/>
      <c r="AN60" s="83"/>
      <c r="AO60" s="83"/>
      <c r="AP60" s="83"/>
      <c r="AQ60" s="83"/>
      <c r="AR60" s="208"/>
    </row>
    <row r="61" spans="1:44" ht="20.100000000000001" customHeight="1">
      <c r="A61" s="280"/>
      <c r="B61" s="297"/>
      <c r="C61" s="298"/>
      <c r="D61" s="298"/>
      <c r="E61" s="298"/>
      <c r="F61" s="298"/>
      <c r="G61" s="298"/>
      <c r="H61" s="298"/>
      <c r="I61" s="298"/>
      <c r="J61" s="298"/>
      <c r="K61" s="299"/>
      <c r="L61" s="288"/>
      <c r="M61" s="289"/>
      <c r="N61" s="289"/>
      <c r="O61" s="289"/>
      <c r="P61" s="289"/>
      <c r="Q61" s="289"/>
      <c r="R61" s="289"/>
      <c r="S61" s="289"/>
      <c r="T61" s="289"/>
      <c r="U61" s="289"/>
      <c r="V61" s="289"/>
      <c r="W61" s="289"/>
      <c r="X61" s="290"/>
      <c r="Y61" s="196"/>
      <c r="Z61" s="196"/>
      <c r="AA61" s="196"/>
      <c r="AB61" s="196"/>
      <c r="AC61" s="196"/>
      <c r="AD61" s="196"/>
      <c r="AE61" s="196"/>
      <c r="AF61" s="196"/>
      <c r="AG61" s="196"/>
      <c r="AH61" s="207"/>
      <c r="AI61" s="83"/>
      <c r="AJ61" s="83"/>
      <c r="AK61" s="83"/>
      <c r="AL61" s="83"/>
      <c r="AM61" s="83"/>
      <c r="AN61" s="83"/>
      <c r="AO61" s="83"/>
      <c r="AP61" s="83"/>
      <c r="AQ61" s="83"/>
      <c r="AR61" s="208"/>
    </row>
    <row r="62" spans="1:44" ht="20.100000000000001" customHeight="1" thickBot="1">
      <c r="A62" s="303"/>
      <c r="B62" s="307"/>
      <c r="C62" s="308"/>
      <c r="D62" s="308"/>
      <c r="E62" s="308"/>
      <c r="F62" s="308"/>
      <c r="G62" s="308"/>
      <c r="H62" s="308"/>
      <c r="I62" s="308"/>
      <c r="J62" s="308"/>
      <c r="K62" s="309"/>
      <c r="L62" s="304"/>
      <c r="M62" s="305"/>
      <c r="N62" s="305"/>
      <c r="O62" s="305"/>
      <c r="P62" s="305"/>
      <c r="Q62" s="305"/>
      <c r="R62" s="305"/>
      <c r="S62" s="305"/>
      <c r="T62" s="305"/>
      <c r="U62" s="305"/>
      <c r="V62" s="305"/>
      <c r="W62" s="305"/>
      <c r="X62" s="306"/>
      <c r="Y62" s="197"/>
      <c r="Z62" s="197"/>
      <c r="AA62" s="197"/>
      <c r="AB62" s="197"/>
      <c r="AC62" s="197"/>
      <c r="AD62" s="197"/>
      <c r="AE62" s="197"/>
      <c r="AF62" s="197"/>
      <c r="AG62" s="197"/>
      <c r="AH62" s="212"/>
      <c r="AI62" s="213"/>
      <c r="AJ62" s="213"/>
      <c r="AK62" s="213"/>
      <c r="AL62" s="213"/>
      <c r="AM62" s="213"/>
      <c r="AN62" s="213"/>
      <c r="AO62" s="213"/>
      <c r="AP62" s="213"/>
      <c r="AQ62" s="213"/>
      <c r="AR62" s="214"/>
    </row>
    <row r="63" spans="1:44" ht="20.100000000000001" customHeight="1"/>
  </sheetData>
  <mergeCells count="176">
    <mergeCell ref="A1:O2"/>
    <mergeCell ref="Y1:AA1"/>
    <mergeCell ref="AB1:AI1"/>
    <mergeCell ref="AJ1:AL1"/>
    <mergeCell ref="AM1:AR1"/>
    <mergeCell ref="Y2:AA2"/>
    <mergeCell ref="AB2:AI2"/>
    <mergeCell ref="AJ2:AL2"/>
    <mergeCell ref="AM2:AR2"/>
    <mergeCell ref="Y3:AD3"/>
    <mergeCell ref="AE3:AI3"/>
    <mergeCell ref="AJ3:AL3"/>
    <mergeCell ref="AM3:AR3"/>
    <mergeCell ref="A4:E4"/>
    <mergeCell ref="A5:Z5"/>
    <mergeCell ref="AA5:AH5"/>
    <mergeCell ref="AI5:AP5"/>
    <mergeCell ref="AQ5:AR8"/>
    <mergeCell ref="Q7:Y8"/>
    <mergeCell ref="AU5:BC6"/>
    <mergeCell ref="A6:A8"/>
    <mergeCell ref="B6:G6"/>
    <mergeCell ref="H6:P6"/>
    <mergeCell ref="Q6:Y6"/>
    <mergeCell ref="Z6:Z8"/>
    <mergeCell ref="AA6:AH6"/>
    <mergeCell ref="AI6:AP6"/>
    <mergeCell ref="B7:G8"/>
    <mergeCell ref="H7:P8"/>
    <mergeCell ref="AA7:AH8"/>
    <mergeCell ref="AI7:AP8"/>
    <mergeCell ref="BF8:BK8"/>
    <mergeCell ref="A9:A16"/>
    <mergeCell ref="B9:G9"/>
    <mergeCell ref="H9:P16"/>
    <mergeCell ref="R9:Y9"/>
    <mergeCell ref="Z9:Z16"/>
    <mergeCell ref="AA9:AH16"/>
    <mergeCell ref="AI9:AP16"/>
    <mergeCell ref="BH10:BI10"/>
    <mergeCell ref="BJ10:BK10"/>
    <mergeCell ref="R11:Y11"/>
    <mergeCell ref="AW11:BE11"/>
    <mergeCell ref="BF11:BG11"/>
    <mergeCell ref="BH11:BI11"/>
    <mergeCell ref="BJ11:BK11"/>
    <mergeCell ref="AQ9:AR9"/>
    <mergeCell ref="AW9:BE9"/>
    <mergeCell ref="BF9:BG9"/>
    <mergeCell ref="BH9:BI9"/>
    <mergeCell ref="BJ9:BK9"/>
    <mergeCell ref="R10:Y10"/>
    <mergeCell ref="AQ10:AR12"/>
    <mergeCell ref="AW10:BE10"/>
    <mergeCell ref="BF10:BG10"/>
    <mergeCell ref="R12:Y12"/>
    <mergeCell ref="AW12:BE12"/>
    <mergeCell ref="BF12:BG12"/>
    <mergeCell ref="BH12:BI12"/>
    <mergeCell ref="BJ12:BK12"/>
    <mergeCell ref="B13:G13"/>
    <mergeCell ref="R13:Y13"/>
    <mergeCell ref="AQ13:AR13"/>
    <mergeCell ref="AW13:BE13"/>
    <mergeCell ref="BF13:BG13"/>
    <mergeCell ref="B10:G12"/>
    <mergeCell ref="BH13:BI13"/>
    <mergeCell ref="BJ13:BK13"/>
    <mergeCell ref="B14:G16"/>
    <mergeCell ref="R14:Y14"/>
    <mergeCell ref="AQ14:AR16"/>
    <mergeCell ref="AW14:BE14"/>
    <mergeCell ref="BF14:BG14"/>
    <mergeCell ref="BH14:BI14"/>
    <mergeCell ref="BJ14:BK14"/>
    <mergeCell ref="R15:Y15"/>
    <mergeCell ref="AW15:BE15"/>
    <mergeCell ref="BF15:BG15"/>
    <mergeCell ref="BH15:BI15"/>
    <mergeCell ref="BJ15:BK15"/>
    <mergeCell ref="R16:Y16"/>
    <mergeCell ref="R20:Y20"/>
    <mergeCell ref="AA17:AH24"/>
    <mergeCell ref="AI17:AP24"/>
    <mergeCell ref="AQ17:AR17"/>
    <mergeCell ref="A17:A24"/>
    <mergeCell ref="B17:G17"/>
    <mergeCell ref="H17:P24"/>
    <mergeCell ref="R17:Y17"/>
    <mergeCell ref="Z17:Z24"/>
    <mergeCell ref="B18:G20"/>
    <mergeCell ref="R18:Y18"/>
    <mergeCell ref="AQ18:AR20"/>
    <mergeCell ref="B21:G21"/>
    <mergeCell ref="R21:Y21"/>
    <mergeCell ref="AQ21:AR21"/>
    <mergeCell ref="AV21:AX22"/>
    <mergeCell ref="AY21:BG22"/>
    <mergeCell ref="BH21:BO22"/>
    <mergeCell ref="B22:G24"/>
    <mergeCell ref="R22:Y22"/>
    <mergeCell ref="AQ22:AR24"/>
    <mergeCell ref="R23:Y23"/>
    <mergeCell ref="R24:Y24"/>
    <mergeCell ref="AQ30:AR32"/>
    <mergeCell ref="R31:Y31"/>
    <mergeCell ref="R32:Y32"/>
    <mergeCell ref="AV18:AX18"/>
    <mergeCell ref="AY18:BG18"/>
    <mergeCell ref="BH18:BO18"/>
    <mergeCell ref="R19:Y19"/>
    <mergeCell ref="AV19:AX20"/>
    <mergeCell ref="AY19:BG20"/>
    <mergeCell ref="BH19:BO20"/>
    <mergeCell ref="A33:A40"/>
    <mergeCell ref="B33:G33"/>
    <mergeCell ref="H33:P40"/>
    <mergeCell ref="R33:Y33"/>
    <mergeCell ref="Z33:Z40"/>
    <mergeCell ref="AA33:AH40"/>
    <mergeCell ref="AI33:AP40"/>
    <mergeCell ref="AI25:AP32"/>
    <mergeCell ref="AQ25:AR25"/>
    <mergeCell ref="B26:G28"/>
    <mergeCell ref="R26:Y26"/>
    <mergeCell ref="AQ26:AR28"/>
    <mergeCell ref="R27:Y27"/>
    <mergeCell ref="R28:Y28"/>
    <mergeCell ref="B29:G29"/>
    <mergeCell ref="R29:Y29"/>
    <mergeCell ref="AQ29:AR29"/>
    <mergeCell ref="A25:A32"/>
    <mergeCell ref="B25:G25"/>
    <mergeCell ref="H25:P32"/>
    <mergeCell ref="R25:Y25"/>
    <mergeCell ref="B37:G37"/>
    <mergeCell ref="R37:Y37"/>
    <mergeCell ref="AQ37:AR37"/>
    <mergeCell ref="B38:G40"/>
    <mergeCell ref="R38:Y38"/>
    <mergeCell ref="AQ38:AR40"/>
    <mergeCell ref="R39:Y39"/>
    <mergeCell ref="R40:Y40"/>
    <mergeCell ref="AQ33:AR33"/>
    <mergeCell ref="B34:G36"/>
    <mergeCell ref="R34:Y34"/>
    <mergeCell ref="AQ34:AR36"/>
    <mergeCell ref="R35:Y35"/>
    <mergeCell ref="R36:Y36"/>
    <mergeCell ref="Z25:Z32"/>
    <mergeCell ref="AA25:AH32"/>
    <mergeCell ref="B30:G32"/>
    <mergeCell ref="R30:Y30"/>
    <mergeCell ref="Y46:AG46"/>
    <mergeCell ref="AH46:AR46"/>
    <mergeCell ref="L47:X48"/>
    <mergeCell ref="Y47:AG48"/>
    <mergeCell ref="AH47:AR48"/>
    <mergeCell ref="AQ41:AR41"/>
    <mergeCell ref="A43:E43"/>
    <mergeCell ref="F43:K43"/>
    <mergeCell ref="L43:AG43"/>
    <mergeCell ref="A45:X45"/>
    <mergeCell ref="Y45:AG45"/>
    <mergeCell ref="AH45:AR45"/>
    <mergeCell ref="A49:A55"/>
    <mergeCell ref="B49:K49"/>
    <mergeCell ref="L49:X55"/>
    <mergeCell ref="B50:K55"/>
    <mergeCell ref="A56:A62"/>
    <mergeCell ref="B56:K56"/>
    <mergeCell ref="L56:X62"/>
    <mergeCell ref="B57:K62"/>
    <mergeCell ref="A46:A48"/>
    <mergeCell ref="B46:K48"/>
    <mergeCell ref="L46:X46"/>
  </mergeCells>
  <phoneticPr fontId="2"/>
  <dataValidations count="2">
    <dataValidation type="list" allowBlank="1" showInputMessage="1" showErrorMessage="1" sqref="AB1:AI1" xr:uid="{2842C0F3-DD13-4838-A714-CF00068B05AD}">
      <formula1>"Ｓ４（上席スペシャリスト）,Ｓ３（シニアスペシャリスト）,Ｓ２（スペシャリスト）,Ｓ１（ジュニアスペシャリスト）"</formula1>
    </dataValidation>
    <dataValidation type="list" allowBlank="1" showInputMessage="1" showErrorMessage="1" sqref="WIF983052 FG1:FN1 PC1:PJ1 YY1:ZF1 AIU1:AJB1 ASQ1:ASX1 BCM1:BCT1 BMI1:BMP1 BWE1:BWL1 CGA1:CGH1 CPW1:CQD1 CZS1:CZZ1 DJO1:DJV1 DTK1:DTR1 EDG1:EDN1 ENC1:ENJ1 EWY1:EXF1 FGU1:FHB1 FQQ1:FQX1 GAM1:GAT1 GKI1:GKP1 GUE1:GUL1 HEA1:HEH1 HNW1:HOD1 HXS1:HXZ1 IHO1:IHV1 IRK1:IRR1 JBG1:JBN1 JLC1:JLJ1 JUY1:JVF1 KEU1:KFB1 KOQ1:KOX1 KYM1:KYT1 LII1:LIP1 LSE1:LSL1 MCA1:MCH1 MLW1:MMD1 MVS1:MVZ1 NFO1:NFV1 NPK1:NPR1 NZG1:NZN1 OJC1:OJJ1 OSY1:OTF1 PCU1:PDB1 PMQ1:PMX1 PWM1:PWT1 QGI1:QGP1 QQE1:QQL1 RAA1:RAH1 RJW1:RKD1 RTS1:RTZ1 SDO1:SDV1 SNK1:SNR1 SXG1:SXN1 THC1:THJ1 TQY1:TRF1 UAU1:UBB1 UKQ1:UKX1 UUM1:UUT1 VEI1:VEP1 VOE1:VOL1 VYA1:VYH1 WHW1:WID1 WRS1:WRZ1 FG65548:FN65548 PC65548:PJ65548 YY65548:ZF65548 AIU65548:AJB65548 ASQ65548:ASX65548 BCM65548:BCT65548 BMI65548:BMP65548 BWE65548:BWL65548 CGA65548:CGH65548 CPW65548:CQD65548 CZS65548:CZZ65548 DJO65548:DJV65548 DTK65548:DTR65548 EDG65548:EDN65548 ENC65548:ENJ65548 EWY65548:EXF65548 FGU65548:FHB65548 FQQ65548:FQX65548 GAM65548:GAT65548 GKI65548:GKP65548 GUE65548:GUL65548 HEA65548:HEH65548 HNW65548:HOD65548 HXS65548:HXZ65548 IHO65548:IHV65548 IRK65548:IRR65548 JBG65548:JBN65548 JLC65548:JLJ65548 JUY65548:JVF65548 KEU65548:KFB65548 KOQ65548:KOX65548 KYM65548:KYT65548 LII65548:LIP65548 LSE65548:LSL65548 MCA65548:MCH65548 MLW65548:MMD65548 MVS65548:MVZ65548 NFO65548:NFV65548 NPK65548:NPR65548 NZG65548:NZN65548 OJC65548:OJJ65548 OSY65548:OTF65548 PCU65548:PDB65548 PMQ65548:PMX65548 PWM65548:PWT65548 QGI65548:QGP65548 QQE65548:QQL65548 RAA65548:RAH65548 RJW65548:RKD65548 RTS65548:RTZ65548 SDO65548:SDV65548 SNK65548:SNR65548 SXG65548:SXN65548 THC65548:THJ65548 TQY65548:TRF65548 UAU65548:UBB65548 UKQ65548:UKX65548 UUM65548:UUT65548 VEI65548:VEP65548 VOE65548:VOL65548 VYA65548:VYH65548 WHW65548:WID65548 WRS65548:WRZ65548 FG131084:FN131084 PC131084:PJ131084 YY131084:ZF131084 AIU131084:AJB131084 ASQ131084:ASX131084 BCM131084:BCT131084 BMI131084:BMP131084 BWE131084:BWL131084 CGA131084:CGH131084 CPW131084:CQD131084 CZS131084:CZZ131084 DJO131084:DJV131084 DTK131084:DTR131084 EDG131084:EDN131084 ENC131084:ENJ131084 EWY131084:EXF131084 FGU131084:FHB131084 FQQ131084:FQX131084 GAM131084:GAT131084 GKI131084:GKP131084 GUE131084:GUL131084 HEA131084:HEH131084 HNW131084:HOD131084 HXS131084:HXZ131084 IHO131084:IHV131084 IRK131084:IRR131084 JBG131084:JBN131084 JLC131084:JLJ131084 JUY131084:JVF131084 KEU131084:KFB131084 KOQ131084:KOX131084 KYM131084:KYT131084 LII131084:LIP131084 LSE131084:LSL131084 MCA131084:MCH131084 MLW131084:MMD131084 MVS131084:MVZ131084 NFO131084:NFV131084 NPK131084:NPR131084 NZG131084:NZN131084 OJC131084:OJJ131084 OSY131084:OTF131084 PCU131084:PDB131084 PMQ131084:PMX131084 PWM131084:PWT131084 QGI131084:QGP131084 QQE131084:QQL131084 RAA131084:RAH131084 RJW131084:RKD131084 RTS131084:RTZ131084 SDO131084:SDV131084 SNK131084:SNR131084 SXG131084:SXN131084 THC131084:THJ131084 TQY131084:TRF131084 UAU131084:UBB131084 UKQ131084:UKX131084 UUM131084:UUT131084 VEI131084:VEP131084 VOE131084:VOL131084 VYA131084:VYH131084 WHW131084:WID131084 WRS131084:WRZ131084 FG196620:FN196620 PC196620:PJ196620 YY196620:ZF196620 AIU196620:AJB196620 ASQ196620:ASX196620 BCM196620:BCT196620 BMI196620:BMP196620 BWE196620:BWL196620 CGA196620:CGH196620 CPW196620:CQD196620 CZS196620:CZZ196620 DJO196620:DJV196620 DTK196620:DTR196620 EDG196620:EDN196620 ENC196620:ENJ196620 EWY196620:EXF196620 FGU196620:FHB196620 FQQ196620:FQX196620 GAM196620:GAT196620 GKI196620:GKP196620 GUE196620:GUL196620 HEA196620:HEH196620 HNW196620:HOD196620 HXS196620:HXZ196620 IHO196620:IHV196620 IRK196620:IRR196620 JBG196620:JBN196620 JLC196620:JLJ196620 JUY196620:JVF196620 KEU196620:KFB196620 KOQ196620:KOX196620 KYM196620:KYT196620 LII196620:LIP196620 LSE196620:LSL196620 MCA196620:MCH196620 MLW196620:MMD196620 MVS196620:MVZ196620 NFO196620:NFV196620 NPK196620:NPR196620 NZG196620:NZN196620 OJC196620:OJJ196620 OSY196620:OTF196620 PCU196620:PDB196620 PMQ196620:PMX196620 PWM196620:PWT196620 QGI196620:QGP196620 QQE196620:QQL196620 RAA196620:RAH196620 RJW196620:RKD196620 RTS196620:RTZ196620 SDO196620:SDV196620 SNK196620:SNR196620 SXG196620:SXN196620 THC196620:THJ196620 TQY196620:TRF196620 UAU196620:UBB196620 UKQ196620:UKX196620 UUM196620:UUT196620 VEI196620:VEP196620 VOE196620:VOL196620 VYA196620:VYH196620 WHW196620:WID196620 WRS196620:WRZ196620 FG262156:FN262156 PC262156:PJ262156 YY262156:ZF262156 AIU262156:AJB262156 ASQ262156:ASX262156 BCM262156:BCT262156 BMI262156:BMP262156 BWE262156:BWL262156 CGA262156:CGH262156 CPW262156:CQD262156 CZS262156:CZZ262156 DJO262156:DJV262156 DTK262156:DTR262156 EDG262156:EDN262156 ENC262156:ENJ262156 EWY262156:EXF262156 FGU262156:FHB262156 FQQ262156:FQX262156 GAM262156:GAT262156 GKI262156:GKP262156 GUE262156:GUL262156 HEA262156:HEH262156 HNW262156:HOD262156 HXS262156:HXZ262156 IHO262156:IHV262156 IRK262156:IRR262156 JBG262156:JBN262156 JLC262156:JLJ262156 JUY262156:JVF262156 KEU262156:KFB262156 KOQ262156:KOX262156 KYM262156:KYT262156 LII262156:LIP262156 LSE262156:LSL262156 MCA262156:MCH262156 MLW262156:MMD262156 MVS262156:MVZ262156 NFO262156:NFV262156 NPK262156:NPR262156 NZG262156:NZN262156 OJC262156:OJJ262156 OSY262156:OTF262156 PCU262156:PDB262156 PMQ262156:PMX262156 PWM262156:PWT262156 QGI262156:QGP262156 QQE262156:QQL262156 RAA262156:RAH262156 RJW262156:RKD262156 RTS262156:RTZ262156 SDO262156:SDV262156 SNK262156:SNR262156 SXG262156:SXN262156 THC262156:THJ262156 TQY262156:TRF262156 UAU262156:UBB262156 UKQ262156:UKX262156 UUM262156:UUT262156 VEI262156:VEP262156 VOE262156:VOL262156 VYA262156:VYH262156 WHW262156:WID262156 WRS262156:WRZ262156 FG327692:FN327692 PC327692:PJ327692 YY327692:ZF327692 AIU327692:AJB327692 ASQ327692:ASX327692 BCM327692:BCT327692 BMI327692:BMP327692 BWE327692:BWL327692 CGA327692:CGH327692 CPW327692:CQD327692 CZS327692:CZZ327692 DJO327692:DJV327692 DTK327692:DTR327692 EDG327692:EDN327692 ENC327692:ENJ327692 EWY327692:EXF327692 FGU327692:FHB327692 FQQ327692:FQX327692 GAM327692:GAT327692 GKI327692:GKP327692 GUE327692:GUL327692 HEA327692:HEH327692 HNW327692:HOD327692 HXS327692:HXZ327692 IHO327692:IHV327692 IRK327692:IRR327692 JBG327692:JBN327692 JLC327692:JLJ327692 JUY327692:JVF327692 KEU327692:KFB327692 KOQ327692:KOX327692 KYM327692:KYT327692 LII327692:LIP327692 LSE327692:LSL327692 MCA327692:MCH327692 MLW327692:MMD327692 MVS327692:MVZ327692 NFO327692:NFV327692 NPK327692:NPR327692 NZG327692:NZN327692 OJC327692:OJJ327692 OSY327692:OTF327692 PCU327692:PDB327692 PMQ327692:PMX327692 PWM327692:PWT327692 QGI327692:QGP327692 QQE327692:QQL327692 RAA327692:RAH327692 RJW327692:RKD327692 RTS327692:RTZ327692 SDO327692:SDV327692 SNK327692:SNR327692 SXG327692:SXN327692 THC327692:THJ327692 TQY327692:TRF327692 UAU327692:UBB327692 UKQ327692:UKX327692 UUM327692:UUT327692 VEI327692:VEP327692 VOE327692:VOL327692 VYA327692:VYH327692 WHW327692:WID327692 WRS327692:WRZ327692 FG393228:FN393228 PC393228:PJ393228 YY393228:ZF393228 AIU393228:AJB393228 ASQ393228:ASX393228 BCM393228:BCT393228 BMI393228:BMP393228 BWE393228:BWL393228 CGA393228:CGH393228 CPW393228:CQD393228 CZS393228:CZZ393228 DJO393228:DJV393228 DTK393228:DTR393228 EDG393228:EDN393228 ENC393228:ENJ393228 EWY393228:EXF393228 FGU393228:FHB393228 FQQ393228:FQX393228 GAM393228:GAT393228 GKI393228:GKP393228 GUE393228:GUL393228 HEA393228:HEH393228 HNW393228:HOD393228 HXS393228:HXZ393228 IHO393228:IHV393228 IRK393228:IRR393228 JBG393228:JBN393228 JLC393228:JLJ393228 JUY393228:JVF393228 KEU393228:KFB393228 KOQ393228:KOX393228 KYM393228:KYT393228 LII393228:LIP393228 LSE393228:LSL393228 MCA393228:MCH393228 MLW393228:MMD393228 MVS393228:MVZ393228 NFO393228:NFV393228 NPK393228:NPR393228 NZG393228:NZN393228 OJC393228:OJJ393228 OSY393228:OTF393228 PCU393228:PDB393228 PMQ393228:PMX393228 PWM393228:PWT393228 QGI393228:QGP393228 QQE393228:QQL393228 RAA393228:RAH393228 RJW393228:RKD393228 RTS393228:RTZ393228 SDO393228:SDV393228 SNK393228:SNR393228 SXG393228:SXN393228 THC393228:THJ393228 TQY393228:TRF393228 UAU393228:UBB393228 UKQ393228:UKX393228 UUM393228:UUT393228 VEI393228:VEP393228 VOE393228:VOL393228 VYA393228:VYH393228 WHW393228:WID393228 WRS393228:WRZ393228 FG458764:FN458764 PC458764:PJ458764 YY458764:ZF458764 AIU458764:AJB458764 ASQ458764:ASX458764 BCM458764:BCT458764 BMI458764:BMP458764 BWE458764:BWL458764 CGA458764:CGH458764 CPW458764:CQD458764 CZS458764:CZZ458764 DJO458764:DJV458764 DTK458764:DTR458764 EDG458764:EDN458764 ENC458764:ENJ458764 EWY458764:EXF458764 FGU458764:FHB458764 FQQ458764:FQX458764 GAM458764:GAT458764 GKI458764:GKP458764 GUE458764:GUL458764 HEA458764:HEH458764 HNW458764:HOD458764 HXS458764:HXZ458764 IHO458764:IHV458764 IRK458764:IRR458764 JBG458764:JBN458764 JLC458764:JLJ458764 JUY458764:JVF458764 KEU458764:KFB458764 KOQ458764:KOX458764 KYM458764:KYT458764 LII458764:LIP458764 LSE458764:LSL458764 MCA458764:MCH458764 MLW458764:MMD458764 MVS458764:MVZ458764 NFO458764:NFV458764 NPK458764:NPR458764 NZG458764:NZN458764 OJC458764:OJJ458764 OSY458764:OTF458764 PCU458764:PDB458764 PMQ458764:PMX458764 PWM458764:PWT458764 QGI458764:QGP458764 QQE458764:QQL458764 RAA458764:RAH458764 RJW458764:RKD458764 RTS458764:RTZ458764 SDO458764:SDV458764 SNK458764:SNR458764 SXG458764:SXN458764 THC458764:THJ458764 TQY458764:TRF458764 UAU458764:UBB458764 UKQ458764:UKX458764 UUM458764:UUT458764 VEI458764:VEP458764 VOE458764:VOL458764 VYA458764:VYH458764 WHW458764:WID458764 WRS458764:WRZ458764 FG524300:FN524300 PC524300:PJ524300 YY524300:ZF524300 AIU524300:AJB524300 ASQ524300:ASX524300 BCM524300:BCT524300 BMI524300:BMP524300 BWE524300:BWL524300 CGA524300:CGH524300 CPW524300:CQD524300 CZS524300:CZZ524300 DJO524300:DJV524300 DTK524300:DTR524300 EDG524300:EDN524300 ENC524300:ENJ524300 EWY524300:EXF524300 FGU524300:FHB524300 FQQ524300:FQX524300 GAM524300:GAT524300 GKI524300:GKP524300 GUE524300:GUL524300 HEA524300:HEH524300 HNW524300:HOD524300 HXS524300:HXZ524300 IHO524300:IHV524300 IRK524300:IRR524300 JBG524300:JBN524300 JLC524300:JLJ524300 JUY524300:JVF524300 KEU524300:KFB524300 KOQ524300:KOX524300 KYM524300:KYT524300 LII524300:LIP524300 LSE524300:LSL524300 MCA524300:MCH524300 MLW524300:MMD524300 MVS524300:MVZ524300 NFO524300:NFV524300 NPK524300:NPR524300 NZG524300:NZN524300 OJC524300:OJJ524300 OSY524300:OTF524300 PCU524300:PDB524300 PMQ524300:PMX524300 PWM524300:PWT524300 QGI524300:QGP524300 QQE524300:QQL524300 RAA524300:RAH524300 RJW524300:RKD524300 RTS524300:RTZ524300 SDO524300:SDV524300 SNK524300:SNR524300 SXG524300:SXN524300 THC524300:THJ524300 TQY524300:TRF524300 UAU524300:UBB524300 UKQ524300:UKX524300 UUM524300:UUT524300 VEI524300:VEP524300 VOE524300:VOL524300 VYA524300:VYH524300 WHW524300:WID524300 WRS524300:WRZ524300 FG589836:FN589836 PC589836:PJ589836 YY589836:ZF589836 AIU589836:AJB589836 ASQ589836:ASX589836 BCM589836:BCT589836 BMI589836:BMP589836 BWE589836:BWL589836 CGA589836:CGH589836 CPW589836:CQD589836 CZS589836:CZZ589836 DJO589836:DJV589836 DTK589836:DTR589836 EDG589836:EDN589836 ENC589836:ENJ589836 EWY589836:EXF589836 FGU589836:FHB589836 FQQ589836:FQX589836 GAM589836:GAT589836 GKI589836:GKP589836 GUE589836:GUL589836 HEA589836:HEH589836 HNW589836:HOD589836 HXS589836:HXZ589836 IHO589836:IHV589836 IRK589836:IRR589836 JBG589836:JBN589836 JLC589836:JLJ589836 JUY589836:JVF589836 KEU589836:KFB589836 KOQ589836:KOX589836 KYM589836:KYT589836 LII589836:LIP589836 LSE589836:LSL589836 MCA589836:MCH589836 MLW589836:MMD589836 MVS589836:MVZ589836 NFO589836:NFV589836 NPK589836:NPR589836 NZG589836:NZN589836 OJC589836:OJJ589836 OSY589836:OTF589836 PCU589836:PDB589836 PMQ589836:PMX589836 PWM589836:PWT589836 QGI589836:QGP589836 QQE589836:QQL589836 RAA589836:RAH589836 RJW589836:RKD589836 RTS589836:RTZ589836 SDO589836:SDV589836 SNK589836:SNR589836 SXG589836:SXN589836 THC589836:THJ589836 TQY589836:TRF589836 UAU589836:UBB589836 UKQ589836:UKX589836 UUM589836:UUT589836 VEI589836:VEP589836 VOE589836:VOL589836 VYA589836:VYH589836 WHW589836:WID589836 WRS589836:WRZ589836 FG655372:FN655372 PC655372:PJ655372 YY655372:ZF655372 AIU655372:AJB655372 ASQ655372:ASX655372 BCM655372:BCT655372 BMI655372:BMP655372 BWE655372:BWL655372 CGA655372:CGH655372 CPW655372:CQD655372 CZS655372:CZZ655372 DJO655372:DJV655372 DTK655372:DTR655372 EDG655372:EDN655372 ENC655372:ENJ655372 EWY655372:EXF655372 FGU655372:FHB655372 FQQ655372:FQX655372 GAM655372:GAT655372 GKI655372:GKP655372 GUE655372:GUL655372 HEA655372:HEH655372 HNW655372:HOD655372 HXS655372:HXZ655372 IHO655372:IHV655372 IRK655372:IRR655372 JBG655372:JBN655372 JLC655372:JLJ655372 JUY655372:JVF655372 KEU655372:KFB655372 KOQ655372:KOX655372 KYM655372:KYT655372 LII655372:LIP655372 LSE655372:LSL655372 MCA655372:MCH655372 MLW655372:MMD655372 MVS655372:MVZ655372 NFO655372:NFV655372 NPK655372:NPR655372 NZG655372:NZN655372 OJC655372:OJJ655372 OSY655372:OTF655372 PCU655372:PDB655372 PMQ655372:PMX655372 PWM655372:PWT655372 QGI655372:QGP655372 QQE655372:QQL655372 RAA655372:RAH655372 RJW655372:RKD655372 RTS655372:RTZ655372 SDO655372:SDV655372 SNK655372:SNR655372 SXG655372:SXN655372 THC655372:THJ655372 TQY655372:TRF655372 UAU655372:UBB655372 UKQ655372:UKX655372 UUM655372:UUT655372 VEI655372:VEP655372 VOE655372:VOL655372 VYA655372:VYH655372 WHW655372:WID655372 WRS655372:WRZ655372 FG720908:FN720908 PC720908:PJ720908 YY720908:ZF720908 AIU720908:AJB720908 ASQ720908:ASX720908 BCM720908:BCT720908 BMI720908:BMP720908 BWE720908:BWL720908 CGA720908:CGH720908 CPW720908:CQD720908 CZS720908:CZZ720908 DJO720908:DJV720908 DTK720908:DTR720908 EDG720908:EDN720908 ENC720908:ENJ720908 EWY720908:EXF720908 FGU720908:FHB720908 FQQ720908:FQX720908 GAM720908:GAT720908 GKI720908:GKP720908 GUE720908:GUL720908 HEA720908:HEH720908 HNW720908:HOD720908 HXS720908:HXZ720908 IHO720908:IHV720908 IRK720908:IRR720908 JBG720908:JBN720908 JLC720908:JLJ720908 JUY720908:JVF720908 KEU720908:KFB720908 KOQ720908:KOX720908 KYM720908:KYT720908 LII720908:LIP720908 LSE720908:LSL720908 MCA720908:MCH720908 MLW720908:MMD720908 MVS720908:MVZ720908 NFO720908:NFV720908 NPK720908:NPR720908 NZG720908:NZN720908 OJC720908:OJJ720908 OSY720908:OTF720908 PCU720908:PDB720908 PMQ720908:PMX720908 PWM720908:PWT720908 QGI720908:QGP720908 QQE720908:QQL720908 RAA720908:RAH720908 RJW720908:RKD720908 RTS720908:RTZ720908 SDO720908:SDV720908 SNK720908:SNR720908 SXG720908:SXN720908 THC720908:THJ720908 TQY720908:TRF720908 UAU720908:UBB720908 UKQ720908:UKX720908 UUM720908:UUT720908 VEI720908:VEP720908 VOE720908:VOL720908 VYA720908:VYH720908 WHW720908:WID720908 WRS720908:WRZ720908 FG786444:FN786444 PC786444:PJ786444 YY786444:ZF786444 AIU786444:AJB786444 ASQ786444:ASX786444 BCM786444:BCT786444 BMI786444:BMP786444 BWE786444:BWL786444 CGA786444:CGH786444 CPW786444:CQD786444 CZS786444:CZZ786444 DJO786444:DJV786444 DTK786444:DTR786444 EDG786444:EDN786444 ENC786444:ENJ786444 EWY786444:EXF786444 FGU786444:FHB786444 FQQ786444:FQX786444 GAM786444:GAT786444 GKI786444:GKP786444 GUE786444:GUL786444 HEA786444:HEH786444 HNW786444:HOD786444 HXS786444:HXZ786444 IHO786444:IHV786444 IRK786444:IRR786444 JBG786444:JBN786444 JLC786444:JLJ786444 JUY786444:JVF786444 KEU786444:KFB786444 KOQ786444:KOX786444 KYM786444:KYT786444 LII786444:LIP786444 LSE786444:LSL786444 MCA786444:MCH786444 MLW786444:MMD786444 MVS786444:MVZ786444 NFO786444:NFV786444 NPK786444:NPR786444 NZG786444:NZN786444 OJC786444:OJJ786444 OSY786444:OTF786444 PCU786444:PDB786444 PMQ786444:PMX786444 PWM786444:PWT786444 QGI786444:QGP786444 QQE786444:QQL786444 RAA786444:RAH786444 RJW786444:RKD786444 RTS786444:RTZ786444 SDO786444:SDV786444 SNK786444:SNR786444 SXG786444:SXN786444 THC786444:THJ786444 TQY786444:TRF786444 UAU786444:UBB786444 UKQ786444:UKX786444 UUM786444:UUT786444 VEI786444:VEP786444 VOE786444:VOL786444 VYA786444:VYH786444 WHW786444:WID786444 WRS786444:WRZ786444 FG851980:FN851980 PC851980:PJ851980 YY851980:ZF851980 AIU851980:AJB851980 ASQ851980:ASX851980 BCM851980:BCT851980 BMI851980:BMP851980 BWE851980:BWL851980 CGA851980:CGH851980 CPW851980:CQD851980 CZS851980:CZZ851980 DJO851980:DJV851980 DTK851980:DTR851980 EDG851980:EDN851980 ENC851980:ENJ851980 EWY851980:EXF851980 FGU851980:FHB851980 FQQ851980:FQX851980 GAM851980:GAT851980 GKI851980:GKP851980 GUE851980:GUL851980 HEA851980:HEH851980 HNW851980:HOD851980 HXS851980:HXZ851980 IHO851980:IHV851980 IRK851980:IRR851980 JBG851980:JBN851980 JLC851980:JLJ851980 JUY851980:JVF851980 KEU851980:KFB851980 KOQ851980:KOX851980 KYM851980:KYT851980 LII851980:LIP851980 LSE851980:LSL851980 MCA851980:MCH851980 MLW851980:MMD851980 MVS851980:MVZ851980 NFO851980:NFV851980 NPK851980:NPR851980 NZG851980:NZN851980 OJC851980:OJJ851980 OSY851980:OTF851980 PCU851980:PDB851980 PMQ851980:PMX851980 PWM851980:PWT851980 QGI851980:QGP851980 QQE851980:QQL851980 RAA851980:RAH851980 RJW851980:RKD851980 RTS851980:RTZ851980 SDO851980:SDV851980 SNK851980:SNR851980 SXG851980:SXN851980 THC851980:THJ851980 TQY851980:TRF851980 UAU851980:UBB851980 UKQ851980:UKX851980 UUM851980:UUT851980 VEI851980:VEP851980 VOE851980:VOL851980 VYA851980:VYH851980 WHW851980:WID851980 WRS851980:WRZ851980 FG917516:FN917516 PC917516:PJ917516 YY917516:ZF917516 AIU917516:AJB917516 ASQ917516:ASX917516 BCM917516:BCT917516 BMI917516:BMP917516 BWE917516:BWL917516 CGA917516:CGH917516 CPW917516:CQD917516 CZS917516:CZZ917516 DJO917516:DJV917516 DTK917516:DTR917516 EDG917516:EDN917516 ENC917516:ENJ917516 EWY917516:EXF917516 FGU917516:FHB917516 FQQ917516:FQX917516 GAM917516:GAT917516 GKI917516:GKP917516 GUE917516:GUL917516 HEA917516:HEH917516 HNW917516:HOD917516 HXS917516:HXZ917516 IHO917516:IHV917516 IRK917516:IRR917516 JBG917516:JBN917516 JLC917516:JLJ917516 JUY917516:JVF917516 KEU917516:KFB917516 KOQ917516:KOX917516 KYM917516:KYT917516 LII917516:LIP917516 LSE917516:LSL917516 MCA917516:MCH917516 MLW917516:MMD917516 MVS917516:MVZ917516 NFO917516:NFV917516 NPK917516:NPR917516 NZG917516:NZN917516 OJC917516:OJJ917516 OSY917516:OTF917516 PCU917516:PDB917516 PMQ917516:PMX917516 PWM917516:PWT917516 QGI917516:QGP917516 QQE917516:QQL917516 RAA917516:RAH917516 RJW917516:RKD917516 RTS917516:RTZ917516 SDO917516:SDV917516 SNK917516:SNR917516 SXG917516:SXN917516 THC917516:THJ917516 TQY917516:TRF917516 UAU917516:UBB917516 UKQ917516:UKX917516 UUM917516:UUT917516 VEI917516:VEP917516 VOE917516:VOL917516 VYA917516:VYH917516 WHW917516:WID917516 WRS917516:WRZ917516 FG983052:FN983052 PC983052:PJ983052 YY983052:ZF983052 AIU983052:AJB983052 ASQ983052:ASX983052 BCM983052:BCT983052 BMI983052:BMP983052 BWE983052:BWL983052 CGA983052:CGH983052 CPW983052:CQD983052 CZS983052:CZZ983052 DJO983052:DJV983052 DTK983052:DTR983052 EDG983052:EDN983052 ENC983052:ENJ983052 EWY983052:EXF983052 FGU983052:FHB983052 FQQ983052:FQX983052 GAM983052:GAT983052 GKI983052:GKP983052 GUE983052:GUL983052 HEA983052:HEH983052 HNW983052:HOD983052 HXS983052:HXZ983052 IHO983052:IHV983052 IRK983052:IRR983052 JBG983052:JBN983052 JLC983052:JLJ983052 JUY983052:JVF983052 KEU983052:KFB983052 KOQ983052:KOX983052 KYM983052:KYT983052 LII983052:LIP983052 LSE983052:LSL983052 MCA983052:MCH983052 MLW983052:MMD983052 MVS983052:MVZ983052 NFO983052:NFV983052 NPK983052:NPR983052 NZG983052:NZN983052 OJC983052:OJJ983052 OSY983052:OTF983052 PCU983052:PDB983052 PMQ983052:PMX983052 PWM983052:PWT983052 QGI983052:QGP983052 QQE983052:QQL983052 RAA983052:RAH983052 RJW983052:RKD983052 RTS983052:RTZ983052 SDO983052:SDV983052 SNK983052:SNR983052 SXG983052:SXN983052 THC983052:THJ983052 TQY983052:TRF983052 UAU983052:UBB983052 UKQ983052:UKX983052 UUM983052:UUT983052 VEI983052:VEP983052 VOE983052:VOL983052 VYA983052:VYH983052 WHW983052:WID983052 WRS983052:WRZ983052 WSB983052 FP1 PL1 ZH1 AJD1 ASZ1 BCV1 BMR1 BWN1 CGJ1 CQF1 DAB1 DJX1 DTT1 EDP1 ENL1 EXH1 FHD1 FQZ1 GAV1 GKR1 GUN1 HEJ1 HOF1 HYB1 IHX1 IRT1 JBP1 JLL1 JVH1 KFD1 KOZ1 KYV1 LIR1 LSN1 MCJ1 MMF1 MWB1 NFX1 NPT1 NZP1 OJL1 OTH1 PDD1 PMZ1 PWV1 QGR1 QQN1 RAJ1 RKF1 RUB1 SDX1 SNT1 SXP1 THL1 TRH1 UBD1 UKZ1 UUV1 VER1 VON1 VYJ1 WIF1 WSB1 AA65548 FP65548 PL65548 ZH65548 AJD65548 ASZ65548 BCV65548 BMR65548 BWN65548 CGJ65548 CQF65548 DAB65548 DJX65548 DTT65548 EDP65548 ENL65548 EXH65548 FHD65548 FQZ65548 GAV65548 GKR65548 GUN65548 HEJ65548 HOF65548 HYB65548 IHX65548 IRT65548 JBP65548 JLL65548 JVH65548 KFD65548 KOZ65548 KYV65548 LIR65548 LSN65548 MCJ65548 MMF65548 MWB65548 NFX65548 NPT65548 NZP65548 OJL65548 OTH65548 PDD65548 PMZ65548 PWV65548 QGR65548 QQN65548 RAJ65548 RKF65548 RUB65548 SDX65548 SNT65548 SXP65548 THL65548 TRH65548 UBD65548 UKZ65548 UUV65548 VER65548 VON65548 VYJ65548 WIF65548 WSB65548 AA131084 FP131084 PL131084 ZH131084 AJD131084 ASZ131084 BCV131084 BMR131084 BWN131084 CGJ131084 CQF131084 DAB131084 DJX131084 DTT131084 EDP131084 ENL131084 EXH131084 FHD131084 FQZ131084 GAV131084 GKR131084 GUN131084 HEJ131084 HOF131084 HYB131084 IHX131084 IRT131084 JBP131084 JLL131084 JVH131084 KFD131084 KOZ131084 KYV131084 LIR131084 LSN131084 MCJ131084 MMF131084 MWB131084 NFX131084 NPT131084 NZP131084 OJL131084 OTH131084 PDD131084 PMZ131084 PWV131084 QGR131084 QQN131084 RAJ131084 RKF131084 RUB131084 SDX131084 SNT131084 SXP131084 THL131084 TRH131084 UBD131084 UKZ131084 UUV131084 VER131084 VON131084 VYJ131084 WIF131084 WSB131084 AA196620 FP196620 PL196620 ZH196620 AJD196620 ASZ196620 BCV196620 BMR196620 BWN196620 CGJ196620 CQF196620 DAB196620 DJX196620 DTT196620 EDP196620 ENL196620 EXH196620 FHD196620 FQZ196620 GAV196620 GKR196620 GUN196620 HEJ196620 HOF196620 HYB196620 IHX196620 IRT196620 JBP196620 JLL196620 JVH196620 KFD196620 KOZ196620 KYV196620 LIR196620 LSN196620 MCJ196620 MMF196620 MWB196620 NFX196620 NPT196620 NZP196620 OJL196620 OTH196620 PDD196620 PMZ196620 PWV196620 QGR196620 QQN196620 RAJ196620 RKF196620 RUB196620 SDX196620 SNT196620 SXP196620 THL196620 TRH196620 UBD196620 UKZ196620 UUV196620 VER196620 VON196620 VYJ196620 WIF196620 WSB196620 AA262156 FP262156 PL262156 ZH262156 AJD262156 ASZ262156 BCV262156 BMR262156 BWN262156 CGJ262156 CQF262156 DAB262156 DJX262156 DTT262156 EDP262156 ENL262156 EXH262156 FHD262156 FQZ262156 GAV262156 GKR262156 GUN262156 HEJ262156 HOF262156 HYB262156 IHX262156 IRT262156 JBP262156 JLL262156 JVH262156 KFD262156 KOZ262156 KYV262156 LIR262156 LSN262156 MCJ262156 MMF262156 MWB262156 NFX262156 NPT262156 NZP262156 OJL262156 OTH262156 PDD262156 PMZ262156 PWV262156 QGR262156 QQN262156 RAJ262156 RKF262156 RUB262156 SDX262156 SNT262156 SXP262156 THL262156 TRH262156 UBD262156 UKZ262156 UUV262156 VER262156 VON262156 VYJ262156 WIF262156 WSB262156 AA327692 FP327692 PL327692 ZH327692 AJD327692 ASZ327692 BCV327692 BMR327692 BWN327692 CGJ327692 CQF327692 DAB327692 DJX327692 DTT327692 EDP327692 ENL327692 EXH327692 FHD327692 FQZ327692 GAV327692 GKR327692 GUN327692 HEJ327692 HOF327692 HYB327692 IHX327692 IRT327692 JBP327692 JLL327692 JVH327692 KFD327692 KOZ327692 KYV327692 LIR327692 LSN327692 MCJ327692 MMF327692 MWB327692 NFX327692 NPT327692 NZP327692 OJL327692 OTH327692 PDD327692 PMZ327692 PWV327692 QGR327692 QQN327692 RAJ327692 RKF327692 RUB327692 SDX327692 SNT327692 SXP327692 THL327692 TRH327692 UBD327692 UKZ327692 UUV327692 VER327692 VON327692 VYJ327692 WIF327692 WSB327692 AA393228 FP393228 PL393228 ZH393228 AJD393228 ASZ393228 BCV393228 BMR393228 BWN393228 CGJ393228 CQF393228 DAB393228 DJX393228 DTT393228 EDP393228 ENL393228 EXH393228 FHD393228 FQZ393228 GAV393228 GKR393228 GUN393228 HEJ393228 HOF393228 HYB393228 IHX393228 IRT393228 JBP393228 JLL393228 JVH393228 KFD393228 KOZ393228 KYV393228 LIR393228 LSN393228 MCJ393228 MMF393228 MWB393228 NFX393228 NPT393228 NZP393228 OJL393228 OTH393228 PDD393228 PMZ393228 PWV393228 QGR393228 QQN393228 RAJ393228 RKF393228 RUB393228 SDX393228 SNT393228 SXP393228 THL393228 TRH393228 UBD393228 UKZ393228 UUV393228 VER393228 VON393228 VYJ393228 WIF393228 WSB393228 AA458764 FP458764 PL458764 ZH458764 AJD458764 ASZ458764 BCV458764 BMR458764 BWN458764 CGJ458764 CQF458764 DAB458764 DJX458764 DTT458764 EDP458764 ENL458764 EXH458764 FHD458764 FQZ458764 GAV458764 GKR458764 GUN458764 HEJ458764 HOF458764 HYB458764 IHX458764 IRT458764 JBP458764 JLL458764 JVH458764 KFD458764 KOZ458764 KYV458764 LIR458764 LSN458764 MCJ458764 MMF458764 MWB458764 NFX458764 NPT458764 NZP458764 OJL458764 OTH458764 PDD458764 PMZ458764 PWV458764 QGR458764 QQN458764 RAJ458764 RKF458764 RUB458764 SDX458764 SNT458764 SXP458764 THL458764 TRH458764 UBD458764 UKZ458764 UUV458764 VER458764 VON458764 VYJ458764 WIF458764 WSB458764 AA524300 FP524300 PL524300 ZH524300 AJD524300 ASZ524300 BCV524300 BMR524300 BWN524300 CGJ524300 CQF524300 DAB524300 DJX524300 DTT524300 EDP524300 ENL524300 EXH524300 FHD524300 FQZ524300 GAV524300 GKR524300 GUN524300 HEJ524300 HOF524300 HYB524300 IHX524300 IRT524300 JBP524300 JLL524300 JVH524300 KFD524300 KOZ524300 KYV524300 LIR524300 LSN524300 MCJ524300 MMF524300 MWB524300 NFX524300 NPT524300 NZP524300 OJL524300 OTH524300 PDD524300 PMZ524300 PWV524300 QGR524300 QQN524300 RAJ524300 RKF524300 RUB524300 SDX524300 SNT524300 SXP524300 THL524300 TRH524300 UBD524300 UKZ524300 UUV524300 VER524300 VON524300 VYJ524300 WIF524300 WSB524300 AA589836 FP589836 PL589836 ZH589836 AJD589836 ASZ589836 BCV589836 BMR589836 BWN589836 CGJ589836 CQF589836 DAB589836 DJX589836 DTT589836 EDP589836 ENL589836 EXH589836 FHD589836 FQZ589836 GAV589836 GKR589836 GUN589836 HEJ589836 HOF589836 HYB589836 IHX589836 IRT589836 JBP589836 JLL589836 JVH589836 KFD589836 KOZ589836 KYV589836 LIR589836 LSN589836 MCJ589836 MMF589836 MWB589836 NFX589836 NPT589836 NZP589836 OJL589836 OTH589836 PDD589836 PMZ589836 PWV589836 QGR589836 QQN589836 RAJ589836 RKF589836 RUB589836 SDX589836 SNT589836 SXP589836 THL589836 TRH589836 UBD589836 UKZ589836 UUV589836 VER589836 VON589836 VYJ589836 WIF589836 WSB589836 AA655372 FP655372 PL655372 ZH655372 AJD655372 ASZ655372 BCV655372 BMR655372 BWN655372 CGJ655372 CQF655372 DAB655372 DJX655372 DTT655372 EDP655372 ENL655372 EXH655372 FHD655372 FQZ655372 GAV655372 GKR655372 GUN655372 HEJ655372 HOF655372 HYB655372 IHX655372 IRT655372 JBP655372 JLL655372 JVH655372 KFD655372 KOZ655372 KYV655372 LIR655372 LSN655372 MCJ655372 MMF655372 MWB655372 NFX655372 NPT655372 NZP655372 OJL655372 OTH655372 PDD655372 PMZ655372 PWV655372 QGR655372 QQN655372 RAJ655372 RKF655372 RUB655372 SDX655372 SNT655372 SXP655372 THL655372 TRH655372 UBD655372 UKZ655372 UUV655372 VER655372 VON655372 VYJ655372 WIF655372 WSB655372 AA720908 FP720908 PL720908 ZH720908 AJD720908 ASZ720908 BCV720908 BMR720908 BWN720908 CGJ720908 CQF720908 DAB720908 DJX720908 DTT720908 EDP720908 ENL720908 EXH720908 FHD720908 FQZ720908 GAV720908 GKR720908 GUN720908 HEJ720908 HOF720908 HYB720908 IHX720908 IRT720908 JBP720908 JLL720908 JVH720908 KFD720908 KOZ720908 KYV720908 LIR720908 LSN720908 MCJ720908 MMF720908 MWB720908 NFX720908 NPT720908 NZP720908 OJL720908 OTH720908 PDD720908 PMZ720908 PWV720908 QGR720908 QQN720908 RAJ720908 RKF720908 RUB720908 SDX720908 SNT720908 SXP720908 THL720908 TRH720908 UBD720908 UKZ720908 UUV720908 VER720908 VON720908 VYJ720908 WIF720908 WSB720908 AA786444 FP786444 PL786444 ZH786444 AJD786444 ASZ786444 BCV786444 BMR786444 BWN786444 CGJ786444 CQF786444 DAB786444 DJX786444 DTT786444 EDP786444 ENL786444 EXH786444 FHD786444 FQZ786444 GAV786444 GKR786444 GUN786444 HEJ786444 HOF786444 HYB786444 IHX786444 IRT786444 JBP786444 JLL786444 JVH786444 KFD786444 KOZ786444 KYV786444 LIR786444 LSN786444 MCJ786444 MMF786444 MWB786444 NFX786444 NPT786444 NZP786444 OJL786444 OTH786444 PDD786444 PMZ786444 PWV786444 QGR786444 QQN786444 RAJ786444 RKF786444 RUB786444 SDX786444 SNT786444 SXP786444 THL786444 TRH786444 UBD786444 UKZ786444 UUV786444 VER786444 VON786444 VYJ786444 WIF786444 WSB786444 AA851980 FP851980 PL851980 ZH851980 AJD851980 ASZ851980 BCV851980 BMR851980 BWN851980 CGJ851980 CQF851980 DAB851980 DJX851980 DTT851980 EDP851980 ENL851980 EXH851980 FHD851980 FQZ851980 GAV851980 GKR851980 GUN851980 HEJ851980 HOF851980 HYB851980 IHX851980 IRT851980 JBP851980 JLL851980 JVH851980 KFD851980 KOZ851980 KYV851980 LIR851980 LSN851980 MCJ851980 MMF851980 MWB851980 NFX851980 NPT851980 NZP851980 OJL851980 OTH851980 PDD851980 PMZ851980 PWV851980 QGR851980 QQN851980 RAJ851980 RKF851980 RUB851980 SDX851980 SNT851980 SXP851980 THL851980 TRH851980 UBD851980 UKZ851980 UUV851980 VER851980 VON851980 VYJ851980 WIF851980 WSB851980 AA917516 FP917516 PL917516 ZH917516 AJD917516 ASZ917516 BCV917516 BMR917516 BWN917516 CGJ917516 CQF917516 DAB917516 DJX917516 DTT917516 EDP917516 ENL917516 EXH917516 FHD917516 FQZ917516 GAV917516 GKR917516 GUN917516 HEJ917516 HOF917516 HYB917516 IHX917516 IRT917516 JBP917516 JLL917516 JVH917516 KFD917516 KOZ917516 KYV917516 LIR917516 LSN917516 MCJ917516 MMF917516 MWB917516 NFX917516 NPT917516 NZP917516 OJL917516 OTH917516 PDD917516 PMZ917516 PWV917516 QGR917516 QQN917516 RAJ917516 RKF917516 RUB917516 SDX917516 SNT917516 SXP917516 THL917516 TRH917516 UBD917516 UKZ917516 UUV917516 VER917516 VON917516 VYJ917516 WIF917516 WSB917516 AA983052 FP983052 PL983052 ZH983052 AJD983052 ASZ983052 BCV983052 BMR983052 BWN983052 CGJ983052 CQF983052 DAB983052 DJX983052 DTT983052 EDP983052 ENL983052 EXH983052 FHD983052 FQZ983052 GAV983052 GKR983052 GUN983052 HEJ983052 HOF983052 HYB983052 IHX983052 IRT983052 JBP983052 JLL983052 JVH983052 KFD983052 KOZ983052 KYV983052 LIR983052 LSN983052 MCJ983052 MMF983052 MWB983052 NFX983052 NPT983052 NZP983052 OJL983052 OTH983052 PDD983052 PMZ983052 PWV983052 QGR983052 QQN983052 RAJ983052 RKF983052 RUB983052 SDX983052 SNT983052 SXP983052 THL983052 TRH983052 UBD983052 UKZ983052 UUV983052 VER983052 VON983052 VYJ983052 T983052:Y983052 T917516:Y917516 T851980:Y851980 T786444:Y786444 T720908:Y720908 T655372:Y655372 T589836:Y589836 T524300:Y524300 T458764:Y458764 T393228:Y393228 T327692:Y327692 T262156:Y262156 T196620:Y196620 T131084:Y131084 T65548:Y65548" xr:uid="{0F62AA46-8386-4DC4-9BD6-BD8DE895DFCA}">
      <formula1>"Ｍ３（部長）,Ｍ２（Ｍ）,Ｍ１（ＰＭ）,Ｓ２,Ｓ１,Ｒ４,Ｒ３,Ｒ２,Ｒ１"</formula1>
    </dataValidation>
  </dataValidations>
  <pageMargins left="0.70866141732283472" right="0.31496062992125984" top="0.55118110236220474" bottom="0.35433070866141736" header="0.31496062992125984" footer="0.31496062992125984"/>
  <pageSetup paperSize="9" scale="34" orientation="landscape"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83"/>
  <sheetViews>
    <sheetView showGridLines="0" zoomScale="90" zoomScaleNormal="90" workbookViewId="0">
      <selection activeCell="G31" sqref="G31:G36"/>
    </sheetView>
  </sheetViews>
  <sheetFormatPr defaultRowHeight="13.15"/>
  <cols>
    <col min="1" max="1" width="7.28515625" style="14" customWidth="1"/>
    <col min="2" max="2" width="112" style="14" bestFit="1" customWidth="1"/>
    <col min="3" max="256" width="9" style="14"/>
    <col min="257" max="257" width="7.28515625" style="14" customWidth="1"/>
    <col min="258" max="258" width="112" style="14" bestFit="1" customWidth="1"/>
    <col min="259" max="512" width="9" style="14"/>
    <col min="513" max="513" width="7.28515625" style="14" customWidth="1"/>
    <col min="514" max="514" width="112" style="14" bestFit="1" customWidth="1"/>
    <col min="515" max="768" width="9" style="14"/>
    <col min="769" max="769" width="7.28515625" style="14" customWidth="1"/>
    <col min="770" max="770" width="112" style="14" bestFit="1" customWidth="1"/>
    <col min="771" max="1024" width="9" style="14"/>
    <col min="1025" max="1025" width="7.28515625" style="14" customWidth="1"/>
    <col min="1026" max="1026" width="112" style="14" bestFit="1" customWidth="1"/>
    <col min="1027" max="1280" width="9" style="14"/>
    <col min="1281" max="1281" width="7.28515625" style="14" customWidth="1"/>
    <col min="1282" max="1282" width="112" style="14" bestFit="1" customWidth="1"/>
    <col min="1283" max="1536" width="9" style="14"/>
    <col min="1537" max="1537" width="7.28515625" style="14" customWidth="1"/>
    <col min="1538" max="1538" width="112" style="14" bestFit="1" customWidth="1"/>
    <col min="1539" max="1792" width="9" style="14"/>
    <col min="1793" max="1793" width="7.28515625" style="14" customWidth="1"/>
    <col min="1794" max="1794" width="112" style="14" bestFit="1" customWidth="1"/>
    <col min="1795" max="2048" width="9" style="14"/>
    <col min="2049" max="2049" width="7.28515625" style="14" customWidth="1"/>
    <col min="2050" max="2050" width="112" style="14" bestFit="1" customWidth="1"/>
    <col min="2051" max="2304" width="9" style="14"/>
    <col min="2305" max="2305" width="7.28515625" style="14" customWidth="1"/>
    <col min="2306" max="2306" width="112" style="14" bestFit="1" customWidth="1"/>
    <col min="2307" max="2560" width="9" style="14"/>
    <col min="2561" max="2561" width="7.28515625" style="14" customWidth="1"/>
    <col min="2562" max="2562" width="112" style="14" bestFit="1" customWidth="1"/>
    <col min="2563" max="2816" width="9" style="14"/>
    <col min="2817" max="2817" width="7.28515625" style="14" customWidth="1"/>
    <col min="2818" max="2818" width="112" style="14" bestFit="1" customWidth="1"/>
    <col min="2819" max="3072" width="9" style="14"/>
    <col min="3073" max="3073" width="7.28515625" style="14" customWidth="1"/>
    <col min="3074" max="3074" width="112" style="14" bestFit="1" customWidth="1"/>
    <col min="3075" max="3328" width="9" style="14"/>
    <col min="3329" max="3329" width="7.28515625" style="14" customWidth="1"/>
    <col min="3330" max="3330" width="112" style="14" bestFit="1" customWidth="1"/>
    <col min="3331" max="3584" width="9" style="14"/>
    <col min="3585" max="3585" width="7.28515625" style="14" customWidth="1"/>
    <col min="3586" max="3586" width="112" style="14" bestFit="1" customWidth="1"/>
    <col min="3587" max="3840" width="9" style="14"/>
    <col min="3841" max="3841" width="7.28515625" style="14" customWidth="1"/>
    <col min="3842" max="3842" width="112" style="14" bestFit="1" customWidth="1"/>
    <col min="3843" max="4096" width="9" style="14"/>
    <col min="4097" max="4097" width="7.28515625" style="14" customWidth="1"/>
    <col min="4098" max="4098" width="112" style="14" bestFit="1" customWidth="1"/>
    <col min="4099" max="4352" width="9" style="14"/>
    <col min="4353" max="4353" width="7.28515625" style="14" customWidth="1"/>
    <col min="4354" max="4354" width="112" style="14" bestFit="1" customWidth="1"/>
    <col min="4355" max="4608" width="9" style="14"/>
    <col min="4609" max="4609" width="7.28515625" style="14" customWidth="1"/>
    <col min="4610" max="4610" width="112" style="14" bestFit="1" customWidth="1"/>
    <col min="4611" max="4864" width="9" style="14"/>
    <col min="4865" max="4865" width="7.28515625" style="14" customWidth="1"/>
    <col min="4866" max="4866" width="112" style="14" bestFit="1" customWidth="1"/>
    <col min="4867" max="5120" width="9" style="14"/>
    <col min="5121" max="5121" width="7.28515625" style="14" customWidth="1"/>
    <col min="5122" max="5122" width="112" style="14" bestFit="1" customWidth="1"/>
    <col min="5123" max="5376" width="9" style="14"/>
    <col min="5377" max="5377" width="7.28515625" style="14" customWidth="1"/>
    <col min="5378" max="5378" width="112" style="14" bestFit="1" customWidth="1"/>
    <col min="5379" max="5632" width="9" style="14"/>
    <col min="5633" max="5633" width="7.28515625" style="14" customWidth="1"/>
    <col min="5634" max="5634" width="112" style="14" bestFit="1" customWidth="1"/>
    <col min="5635" max="5888" width="9" style="14"/>
    <col min="5889" max="5889" width="7.28515625" style="14" customWidth="1"/>
    <col min="5890" max="5890" width="112" style="14" bestFit="1" customWidth="1"/>
    <col min="5891" max="6144" width="9" style="14"/>
    <col min="6145" max="6145" width="7.28515625" style="14" customWidth="1"/>
    <col min="6146" max="6146" width="112" style="14" bestFit="1" customWidth="1"/>
    <col min="6147" max="6400" width="9" style="14"/>
    <col min="6401" max="6401" width="7.28515625" style="14" customWidth="1"/>
    <col min="6402" max="6402" width="112" style="14" bestFit="1" customWidth="1"/>
    <col min="6403" max="6656" width="9" style="14"/>
    <col min="6657" max="6657" width="7.28515625" style="14" customWidth="1"/>
    <col min="6658" max="6658" width="112" style="14" bestFit="1" customWidth="1"/>
    <col min="6659" max="6912" width="9" style="14"/>
    <col min="6913" max="6913" width="7.28515625" style="14" customWidth="1"/>
    <col min="6914" max="6914" width="112" style="14" bestFit="1" customWidth="1"/>
    <col min="6915" max="7168" width="9" style="14"/>
    <col min="7169" max="7169" width="7.28515625" style="14" customWidth="1"/>
    <col min="7170" max="7170" width="112" style="14" bestFit="1" customWidth="1"/>
    <col min="7171" max="7424" width="9" style="14"/>
    <col min="7425" max="7425" width="7.28515625" style="14" customWidth="1"/>
    <col min="7426" max="7426" width="112" style="14" bestFit="1" customWidth="1"/>
    <col min="7427" max="7680" width="9" style="14"/>
    <col min="7681" max="7681" width="7.28515625" style="14" customWidth="1"/>
    <col min="7682" max="7682" width="112" style="14" bestFit="1" customWidth="1"/>
    <col min="7683" max="7936" width="9" style="14"/>
    <col min="7937" max="7937" width="7.28515625" style="14" customWidth="1"/>
    <col min="7938" max="7938" width="112" style="14" bestFit="1" customWidth="1"/>
    <col min="7939" max="8192" width="9" style="14"/>
    <col min="8193" max="8193" width="7.28515625" style="14" customWidth="1"/>
    <col min="8194" max="8194" width="112" style="14" bestFit="1" customWidth="1"/>
    <col min="8195" max="8448" width="9" style="14"/>
    <col min="8449" max="8449" width="7.28515625" style="14" customWidth="1"/>
    <col min="8450" max="8450" width="112" style="14" bestFit="1" customWidth="1"/>
    <col min="8451" max="8704" width="9" style="14"/>
    <col min="8705" max="8705" width="7.28515625" style="14" customWidth="1"/>
    <col min="8706" max="8706" width="112" style="14" bestFit="1" customWidth="1"/>
    <col min="8707" max="8960" width="9" style="14"/>
    <col min="8961" max="8961" width="7.28515625" style="14" customWidth="1"/>
    <col min="8962" max="8962" width="112" style="14" bestFit="1" customWidth="1"/>
    <col min="8963" max="9216" width="9" style="14"/>
    <col min="9217" max="9217" width="7.28515625" style="14" customWidth="1"/>
    <col min="9218" max="9218" width="112" style="14" bestFit="1" customWidth="1"/>
    <col min="9219" max="9472" width="9" style="14"/>
    <col min="9473" max="9473" width="7.28515625" style="14" customWidth="1"/>
    <col min="9474" max="9474" width="112" style="14" bestFit="1" customWidth="1"/>
    <col min="9475" max="9728" width="9" style="14"/>
    <col min="9729" max="9729" width="7.28515625" style="14" customWidth="1"/>
    <col min="9730" max="9730" width="112" style="14" bestFit="1" customWidth="1"/>
    <col min="9731" max="9984" width="9" style="14"/>
    <col min="9985" max="9985" width="7.28515625" style="14" customWidth="1"/>
    <col min="9986" max="9986" width="112" style="14" bestFit="1" customWidth="1"/>
    <col min="9987" max="10240" width="9" style="14"/>
    <col min="10241" max="10241" width="7.28515625" style="14" customWidth="1"/>
    <col min="10242" max="10242" width="112" style="14" bestFit="1" customWidth="1"/>
    <col min="10243" max="10496" width="9" style="14"/>
    <col min="10497" max="10497" width="7.28515625" style="14" customWidth="1"/>
    <col min="10498" max="10498" width="112" style="14" bestFit="1" customWidth="1"/>
    <col min="10499" max="10752" width="9" style="14"/>
    <col min="10753" max="10753" width="7.28515625" style="14" customWidth="1"/>
    <col min="10754" max="10754" width="112" style="14" bestFit="1" customWidth="1"/>
    <col min="10755" max="11008" width="9" style="14"/>
    <col min="11009" max="11009" width="7.28515625" style="14" customWidth="1"/>
    <col min="11010" max="11010" width="112" style="14" bestFit="1" customWidth="1"/>
    <col min="11011" max="11264" width="9" style="14"/>
    <col min="11265" max="11265" width="7.28515625" style="14" customWidth="1"/>
    <col min="11266" max="11266" width="112" style="14" bestFit="1" customWidth="1"/>
    <col min="11267" max="11520" width="9" style="14"/>
    <col min="11521" max="11521" width="7.28515625" style="14" customWidth="1"/>
    <col min="11522" max="11522" width="112" style="14" bestFit="1" customWidth="1"/>
    <col min="11523" max="11776" width="9" style="14"/>
    <col min="11777" max="11777" width="7.28515625" style="14" customWidth="1"/>
    <col min="11778" max="11778" width="112" style="14" bestFit="1" customWidth="1"/>
    <col min="11779" max="12032" width="9" style="14"/>
    <col min="12033" max="12033" width="7.28515625" style="14" customWidth="1"/>
    <col min="12034" max="12034" width="112" style="14" bestFit="1" customWidth="1"/>
    <col min="12035" max="12288" width="9" style="14"/>
    <col min="12289" max="12289" width="7.28515625" style="14" customWidth="1"/>
    <col min="12290" max="12290" width="112" style="14" bestFit="1" customWidth="1"/>
    <col min="12291" max="12544" width="9" style="14"/>
    <col min="12545" max="12545" width="7.28515625" style="14" customWidth="1"/>
    <col min="12546" max="12546" width="112" style="14" bestFit="1" customWidth="1"/>
    <col min="12547" max="12800" width="9" style="14"/>
    <col min="12801" max="12801" width="7.28515625" style="14" customWidth="1"/>
    <col min="12802" max="12802" width="112" style="14" bestFit="1" customWidth="1"/>
    <col min="12803" max="13056" width="9" style="14"/>
    <col min="13057" max="13057" width="7.28515625" style="14" customWidth="1"/>
    <col min="13058" max="13058" width="112" style="14" bestFit="1" customWidth="1"/>
    <col min="13059" max="13312" width="9" style="14"/>
    <col min="13313" max="13313" width="7.28515625" style="14" customWidth="1"/>
    <col min="13314" max="13314" width="112" style="14" bestFit="1" customWidth="1"/>
    <col min="13315" max="13568" width="9" style="14"/>
    <col min="13569" max="13569" width="7.28515625" style="14" customWidth="1"/>
    <col min="13570" max="13570" width="112" style="14" bestFit="1" customWidth="1"/>
    <col min="13571" max="13824" width="9" style="14"/>
    <col min="13825" max="13825" width="7.28515625" style="14" customWidth="1"/>
    <col min="13826" max="13826" width="112" style="14" bestFit="1" customWidth="1"/>
    <col min="13827" max="14080" width="9" style="14"/>
    <col min="14081" max="14081" width="7.28515625" style="14" customWidth="1"/>
    <col min="14082" max="14082" width="112" style="14" bestFit="1" customWidth="1"/>
    <col min="14083" max="14336" width="9" style="14"/>
    <col min="14337" max="14337" width="7.28515625" style="14" customWidth="1"/>
    <col min="14338" max="14338" width="112" style="14" bestFit="1" customWidth="1"/>
    <col min="14339" max="14592" width="9" style="14"/>
    <col min="14593" max="14593" width="7.28515625" style="14" customWidth="1"/>
    <col min="14594" max="14594" width="112" style="14" bestFit="1" customWidth="1"/>
    <col min="14595" max="14848" width="9" style="14"/>
    <col min="14849" max="14849" width="7.28515625" style="14" customWidth="1"/>
    <col min="14850" max="14850" width="112" style="14" bestFit="1" customWidth="1"/>
    <col min="14851" max="15104" width="9" style="14"/>
    <col min="15105" max="15105" width="7.28515625" style="14" customWidth="1"/>
    <col min="15106" max="15106" width="112" style="14" bestFit="1" customWidth="1"/>
    <col min="15107" max="15360" width="9" style="14"/>
    <col min="15361" max="15361" width="7.28515625" style="14" customWidth="1"/>
    <col min="15362" max="15362" width="112" style="14" bestFit="1" customWidth="1"/>
    <col min="15363" max="15616" width="9" style="14"/>
    <col min="15617" max="15617" width="7.28515625" style="14" customWidth="1"/>
    <col min="15618" max="15618" width="112" style="14" bestFit="1" customWidth="1"/>
    <col min="15619" max="15872" width="9" style="14"/>
    <col min="15873" max="15873" width="7.28515625" style="14" customWidth="1"/>
    <col min="15874" max="15874" width="112" style="14" bestFit="1" customWidth="1"/>
    <col min="15875" max="16128" width="9" style="14"/>
    <col min="16129" max="16129" width="7.28515625" style="14" customWidth="1"/>
    <col min="16130" max="16130" width="112" style="14" bestFit="1" customWidth="1"/>
    <col min="16131" max="16384" width="9" style="14"/>
  </cols>
  <sheetData>
    <row r="1" spans="1:5">
      <c r="A1" s="14" t="s">
        <v>326</v>
      </c>
    </row>
    <row r="3" spans="1:5">
      <c r="E3" s="36"/>
    </row>
    <row r="4" spans="1:5" ht="14.45">
      <c r="A4" s="15"/>
      <c r="B4" s="16" t="s">
        <v>327</v>
      </c>
    </row>
    <row r="5" spans="1:5" s="5" customFormat="1" ht="60" customHeight="1">
      <c r="A5" s="18">
        <v>1</v>
      </c>
      <c r="B5" s="23" t="s">
        <v>328</v>
      </c>
    </row>
    <row r="6" spans="1:5" s="5" customFormat="1" ht="101.45" customHeight="1">
      <c r="A6" s="19">
        <v>2</v>
      </c>
      <c r="B6" s="24" t="s">
        <v>329</v>
      </c>
    </row>
    <row r="7" spans="1:5" s="5" customFormat="1" ht="102" customHeight="1">
      <c r="A7" s="19">
        <v>3</v>
      </c>
      <c r="B7" s="24" t="s">
        <v>330</v>
      </c>
    </row>
    <row r="8" spans="1:5" s="5" customFormat="1" ht="94.5" customHeight="1">
      <c r="A8" s="20">
        <v>4</v>
      </c>
      <c r="B8" s="25" t="s">
        <v>331</v>
      </c>
    </row>
    <row r="11" spans="1:5" ht="14.45">
      <c r="A11" s="15"/>
      <c r="B11" s="21" t="s">
        <v>332</v>
      </c>
    </row>
    <row r="12" spans="1:5" s="5" customFormat="1" ht="60" customHeight="1">
      <c r="A12" s="18">
        <v>1</v>
      </c>
      <c r="B12" s="23" t="s">
        <v>333</v>
      </c>
    </row>
    <row r="13" spans="1:5" s="5" customFormat="1" ht="60" customHeight="1">
      <c r="A13" s="22">
        <v>2</v>
      </c>
      <c r="B13" s="124" t="s">
        <v>334</v>
      </c>
    </row>
    <row r="14" spans="1:5" s="5" customFormat="1" ht="60" customHeight="1">
      <c r="A14" s="19">
        <v>3</v>
      </c>
      <c r="B14" s="24" t="s">
        <v>335</v>
      </c>
    </row>
    <row r="15" spans="1:5" s="5" customFormat="1" ht="60" customHeight="1">
      <c r="A15" s="19">
        <v>4</v>
      </c>
      <c r="B15" s="24" t="s">
        <v>336</v>
      </c>
    </row>
    <row r="16" spans="1:5" s="5" customFormat="1" ht="60" customHeight="1">
      <c r="A16" s="19">
        <v>5</v>
      </c>
      <c r="B16" s="24" t="s">
        <v>337</v>
      </c>
    </row>
    <row r="17" spans="1:8" s="5" customFormat="1" ht="69.75" customHeight="1">
      <c r="A17" s="20">
        <v>6</v>
      </c>
      <c r="B17" s="25" t="s">
        <v>338</v>
      </c>
    </row>
    <row r="30" spans="1:8">
      <c r="H30" s="36"/>
    </row>
    <row r="83" spans="6:6">
      <c r="F83" s="36"/>
    </row>
  </sheetData>
  <phoneticPr fontId="2"/>
  <pageMargins left="0.9055118110236221" right="0.70866141732283472" top="0.74803149606299213" bottom="0.74803149606299213" header="0.31496062992125984" footer="0.31496062992125984"/>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44"/>
    <pageSetUpPr fitToPage="1"/>
  </sheetPr>
  <dimension ref="A1:N69"/>
  <sheetViews>
    <sheetView showGridLines="0" topLeftCell="B4" zoomScale="90" zoomScaleNormal="90" zoomScaleSheetLayoutView="100" workbookViewId="0">
      <selection activeCell="E36" sqref="E36:G37"/>
    </sheetView>
  </sheetViews>
  <sheetFormatPr defaultColWidth="6.42578125" defaultRowHeight="10.9"/>
  <cols>
    <col min="1" max="2" width="4.42578125" style="36" customWidth="1"/>
    <col min="3" max="3" width="9.140625" style="49" customWidth="1"/>
    <col min="4" max="4" width="7.42578125" style="36" customWidth="1"/>
    <col min="5" max="7" width="30.7109375" style="36" customWidth="1"/>
    <col min="8" max="13" width="17.28515625" style="36" customWidth="1"/>
    <col min="14" max="256" width="6.42578125" style="36"/>
    <col min="257" max="258" width="4.42578125" style="36" customWidth="1"/>
    <col min="259" max="259" width="9.140625" style="36" customWidth="1"/>
    <col min="260" max="260" width="7.42578125" style="36" customWidth="1"/>
    <col min="261" max="263" width="30.7109375" style="36" customWidth="1"/>
    <col min="264" max="269" width="17.28515625" style="36" customWidth="1"/>
    <col min="270" max="512" width="6.42578125" style="36"/>
    <col min="513" max="514" width="4.42578125" style="36" customWidth="1"/>
    <col min="515" max="515" width="9.140625" style="36" customWidth="1"/>
    <col min="516" max="516" width="7.42578125" style="36" customWidth="1"/>
    <col min="517" max="519" width="30.7109375" style="36" customWidth="1"/>
    <col min="520" max="525" width="17.28515625" style="36" customWidth="1"/>
    <col min="526" max="768" width="6.42578125" style="36"/>
    <col min="769" max="770" width="4.42578125" style="36" customWidth="1"/>
    <col min="771" max="771" width="9.140625" style="36" customWidth="1"/>
    <col min="772" max="772" width="7.42578125" style="36" customWidth="1"/>
    <col min="773" max="775" width="30.7109375" style="36" customWidth="1"/>
    <col min="776" max="781" width="17.28515625" style="36" customWidth="1"/>
    <col min="782" max="1024" width="6.42578125" style="36"/>
    <col min="1025" max="1026" width="4.42578125" style="36" customWidth="1"/>
    <col min="1027" max="1027" width="9.140625" style="36" customWidth="1"/>
    <col min="1028" max="1028" width="7.42578125" style="36" customWidth="1"/>
    <col min="1029" max="1031" width="30.7109375" style="36" customWidth="1"/>
    <col min="1032" max="1037" width="17.28515625" style="36" customWidth="1"/>
    <col min="1038" max="1280" width="6.42578125" style="36"/>
    <col min="1281" max="1282" width="4.42578125" style="36" customWidth="1"/>
    <col min="1283" max="1283" width="9.140625" style="36" customWidth="1"/>
    <col min="1284" max="1284" width="7.42578125" style="36" customWidth="1"/>
    <col min="1285" max="1287" width="30.7109375" style="36" customWidth="1"/>
    <col min="1288" max="1293" width="17.28515625" style="36" customWidth="1"/>
    <col min="1294" max="1536" width="6.42578125" style="36"/>
    <col min="1537" max="1538" width="4.42578125" style="36" customWidth="1"/>
    <col min="1539" max="1539" width="9.140625" style="36" customWidth="1"/>
    <col min="1540" max="1540" width="7.42578125" style="36" customWidth="1"/>
    <col min="1541" max="1543" width="30.7109375" style="36" customWidth="1"/>
    <col min="1544" max="1549" width="17.28515625" style="36" customWidth="1"/>
    <col min="1550" max="1792" width="6.42578125" style="36"/>
    <col min="1793" max="1794" width="4.42578125" style="36" customWidth="1"/>
    <col min="1795" max="1795" width="9.140625" style="36" customWidth="1"/>
    <col min="1796" max="1796" width="7.42578125" style="36" customWidth="1"/>
    <col min="1797" max="1799" width="30.7109375" style="36" customWidth="1"/>
    <col min="1800" max="1805" width="17.28515625" style="36" customWidth="1"/>
    <col min="1806" max="2048" width="6.42578125" style="36"/>
    <col min="2049" max="2050" width="4.42578125" style="36" customWidth="1"/>
    <col min="2051" max="2051" width="9.140625" style="36" customWidth="1"/>
    <col min="2052" max="2052" width="7.42578125" style="36" customWidth="1"/>
    <col min="2053" max="2055" width="30.7109375" style="36" customWidth="1"/>
    <col min="2056" max="2061" width="17.28515625" style="36" customWidth="1"/>
    <col min="2062" max="2304" width="6.42578125" style="36"/>
    <col min="2305" max="2306" width="4.42578125" style="36" customWidth="1"/>
    <col min="2307" max="2307" width="9.140625" style="36" customWidth="1"/>
    <col min="2308" max="2308" width="7.42578125" style="36" customWidth="1"/>
    <col min="2309" max="2311" width="30.7109375" style="36" customWidth="1"/>
    <col min="2312" max="2317" width="17.28515625" style="36" customWidth="1"/>
    <col min="2318" max="2560" width="6.42578125" style="36"/>
    <col min="2561" max="2562" width="4.42578125" style="36" customWidth="1"/>
    <col min="2563" max="2563" width="9.140625" style="36" customWidth="1"/>
    <col min="2564" max="2564" width="7.42578125" style="36" customWidth="1"/>
    <col min="2565" max="2567" width="30.7109375" style="36" customWidth="1"/>
    <col min="2568" max="2573" width="17.28515625" style="36" customWidth="1"/>
    <col min="2574" max="2816" width="6.42578125" style="36"/>
    <col min="2817" max="2818" width="4.42578125" style="36" customWidth="1"/>
    <col min="2819" max="2819" width="9.140625" style="36" customWidth="1"/>
    <col min="2820" max="2820" width="7.42578125" style="36" customWidth="1"/>
    <col min="2821" max="2823" width="30.7109375" style="36" customWidth="1"/>
    <col min="2824" max="2829" width="17.28515625" style="36" customWidth="1"/>
    <col min="2830" max="3072" width="6.42578125" style="36"/>
    <col min="3073" max="3074" width="4.42578125" style="36" customWidth="1"/>
    <col min="3075" max="3075" width="9.140625" style="36" customWidth="1"/>
    <col min="3076" max="3076" width="7.42578125" style="36" customWidth="1"/>
    <col min="3077" max="3079" width="30.7109375" style="36" customWidth="1"/>
    <col min="3080" max="3085" width="17.28515625" style="36" customWidth="1"/>
    <col min="3086" max="3328" width="6.42578125" style="36"/>
    <col min="3329" max="3330" width="4.42578125" style="36" customWidth="1"/>
    <col min="3331" max="3331" width="9.140625" style="36" customWidth="1"/>
    <col min="3332" max="3332" width="7.42578125" style="36" customWidth="1"/>
    <col min="3333" max="3335" width="30.7109375" style="36" customWidth="1"/>
    <col min="3336" max="3341" width="17.28515625" style="36" customWidth="1"/>
    <col min="3342" max="3584" width="6.42578125" style="36"/>
    <col min="3585" max="3586" width="4.42578125" style="36" customWidth="1"/>
    <col min="3587" max="3587" width="9.140625" style="36" customWidth="1"/>
    <col min="3588" max="3588" width="7.42578125" style="36" customWidth="1"/>
    <col min="3589" max="3591" width="30.7109375" style="36" customWidth="1"/>
    <col min="3592" max="3597" width="17.28515625" style="36" customWidth="1"/>
    <col min="3598" max="3840" width="6.42578125" style="36"/>
    <col min="3841" max="3842" width="4.42578125" style="36" customWidth="1"/>
    <col min="3843" max="3843" width="9.140625" style="36" customWidth="1"/>
    <col min="3844" max="3844" width="7.42578125" style="36" customWidth="1"/>
    <col min="3845" max="3847" width="30.7109375" style="36" customWidth="1"/>
    <col min="3848" max="3853" width="17.28515625" style="36" customWidth="1"/>
    <col min="3854" max="4096" width="6.42578125" style="36"/>
    <col min="4097" max="4098" width="4.42578125" style="36" customWidth="1"/>
    <col min="4099" max="4099" width="9.140625" style="36" customWidth="1"/>
    <col min="4100" max="4100" width="7.42578125" style="36" customWidth="1"/>
    <col min="4101" max="4103" width="30.7109375" style="36" customWidth="1"/>
    <col min="4104" max="4109" width="17.28515625" style="36" customWidth="1"/>
    <col min="4110" max="4352" width="6.42578125" style="36"/>
    <col min="4353" max="4354" width="4.42578125" style="36" customWidth="1"/>
    <col min="4355" max="4355" width="9.140625" style="36" customWidth="1"/>
    <col min="4356" max="4356" width="7.42578125" style="36" customWidth="1"/>
    <col min="4357" max="4359" width="30.7109375" style="36" customWidth="1"/>
    <col min="4360" max="4365" width="17.28515625" style="36" customWidth="1"/>
    <col min="4366" max="4608" width="6.42578125" style="36"/>
    <col min="4609" max="4610" width="4.42578125" style="36" customWidth="1"/>
    <col min="4611" max="4611" width="9.140625" style="36" customWidth="1"/>
    <col min="4612" max="4612" width="7.42578125" style="36" customWidth="1"/>
    <col min="4613" max="4615" width="30.7109375" style="36" customWidth="1"/>
    <col min="4616" max="4621" width="17.28515625" style="36" customWidth="1"/>
    <col min="4622" max="4864" width="6.42578125" style="36"/>
    <col min="4865" max="4866" width="4.42578125" style="36" customWidth="1"/>
    <col min="4867" max="4867" width="9.140625" style="36" customWidth="1"/>
    <col min="4868" max="4868" width="7.42578125" style="36" customWidth="1"/>
    <col min="4869" max="4871" width="30.7109375" style="36" customWidth="1"/>
    <col min="4872" max="4877" width="17.28515625" style="36" customWidth="1"/>
    <col min="4878" max="5120" width="6.42578125" style="36"/>
    <col min="5121" max="5122" width="4.42578125" style="36" customWidth="1"/>
    <col min="5123" max="5123" width="9.140625" style="36" customWidth="1"/>
    <col min="5124" max="5124" width="7.42578125" style="36" customWidth="1"/>
    <col min="5125" max="5127" width="30.7109375" style="36" customWidth="1"/>
    <col min="5128" max="5133" width="17.28515625" style="36" customWidth="1"/>
    <col min="5134" max="5376" width="6.42578125" style="36"/>
    <col min="5377" max="5378" width="4.42578125" style="36" customWidth="1"/>
    <col min="5379" max="5379" width="9.140625" style="36" customWidth="1"/>
    <col min="5380" max="5380" width="7.42578125" style="36" customWidth="1"/>
    <col min="5381" max="5383" width="30.7109375" style="36" customWidth="1"/>
    <col min="5384" max="5389" width="17.28515625" style="36" customWidth="1"/>
    <col min="5390" max="5632" width="6.42578125" style="36"/>
    <col min="5633" max="5634" width="4.42578125" style="36" customWidth="1"/>
    <col min="5635" max="5635" width="9.140625" style="36" customWidth="1"/>
    <col min="5636" max="5636" width="7.42578125" style="36" customWidth="1"/>
    <col min="5637" max="5639" width="30.7109375" style="36" customWidth="1"/>
    <col min="5640" max="5645" width="17.28515625" style="36" customWidth="1"/>
    <col min="5646" max="5888" width="6.42578125" style="36"/>
    <col min="5889" max="5890" width="4.42578125" style="36" customWidth="1"/>
    <col min="5891" max="5891" width="9.140625" style="36" customWidth="1"/>
    <col min="5892" max="5892" width="7.42578125" style="36" customWidth="1"/>
    <col min="5893" max="5895" width="30.7109375" style="36" customWidth="1"/>
    <col min="5896" max="5901" width="17.28515625" style="36" customWidth="1"/>
    <col min="5902" max="6144" width="6.42578125" style="36"/>
    <col min="6145" max="6146" width="4.42578125" style="36" customWidth="1"/>
    <col min="6147" max="6147" width="9.140625" style="36" customWidth="1"/>
    <col min="6148" max="6148" width="7.42578125" style="36" customWidth="1"/>
    <col min="6149" max="6151" width="30.7109375" style="36" customWidth="1"/>
    <col min="6152" max="6157" width="17.28515625" style="36" customWidth="1"/>
    <col min="6158" max="6400" width="6.42578125" style="36"/>
    <col min="6401" max="6402" width="4.42578125" style="36" customWidth="1"/>
    <col min="6403" max="6403" width="9.140625" style="36" customWidth="1"/>
    <col min="6404" max="6404" width="7.42578125" style="36" customWidth="1"/>
    <col min="6405" max="6407" width="30.7109375" style="36" customWidth="1"/>
    <col min="6408" max="6413" width="17.28515625" style="36" customWidth="1"/>
    <col min="6414" max="6656" width="6.42578125" style="36"/>
    <col min="6657" max="6658" width="4.42578125" style="36" customWidth="1"/>
    <col min="6659" max="6659" width="9.140625" style="36" customWidth="1"/>
    <col min="6660" max="6660" width="7.42578125" style="36" customWidth="1"/>
    <col min="6661" max="6663" width="30.7109375" style="36" customWidth="1"/>
    <col min="6664" max="6669" width="17.28515625" style="36" customWidth="1"/>
    <col min="6670" max="6912" width="6.42578125" style="36"/>
    <col min="6913" max="6914" width="4.42578125" style="36" customWidth="1"/>
    <col min="6915" max="6915" width="9.140625" style="36" customWidth="1"/>
    <col min="6916" max="6916" width="7.42578125" style="36" customWidth="1"/>
    <col min="6917" max="6919" width="30.7109375" style="36" customWidth="1"/>
    <col min="6920" max="6925" width="17.28515625" style="36" customWidth="1"/>
    <col min="6926" max="7168" width="6.42578125" style="36"/>
    <col min="7169" max="7170" width="4.42578125" style="36" customWidth="1"/>
    <col min="7171" max="7171" width="9.140625" style="36" customWidth="1"/>
    <col min="7172" max="7172" width="7.42578125" style="36" customWidth="1"/>
    <col min="7173" max="7175" width="30.7109375" style="36" customWidth="1"/>
    <col min="7176" max="7181" width="17.28515625" style="36" customWidth="1"/>
    <col min="7182" max="7424" width="6.42578125" style="36"/>
    <col min="7425" max="7426" width="4.42578125" style="36" customWidth="1"/>
    <col min="7427" max="7427" width="9.140625" style="36" customWidth="1"/>
    <col min="7428" max="7428" width="7.42578125" style="36" customWidth="1"/>
    <col min="7429" max="7431" width="30.7109375" style="36" customWidth="1"/>
    <col min="7432" max="7437" width="17.28515625" style="36" customWidth="1"/>
    <col min="7438" max="7680" width="6.42578125" style="36"/>
    <col min="7681" max="7682" width="4.42578125" style="36" customWidth="1"/>
    <col min="7683" max="7683" width="9.140625" style="36" customWidth="1"/>
    <col min="7684" max="7684" width="7.42578125" style="36" customWidth="1"/>
    <col min="7685" max="7687" width="30.7109375" style="36" customWidth="1"/>
    <col min="7688" max="7693" width="17.28515625" style="36" customWidth="1"/>
    <col min="7694" max="7936" width="6.42578125" style="36"/>
    <col min="7937" max="7938" width="4.42578125" style="36" customWidth="1"/>
    <col min="7939" max="7939" width="9.140625" style="36" customWidth="1"/>
    <col min="7940" max="7940" width="7.42578125" style="36" customWidth="1"/>
    <col min="7941" max="7943" width="30.7109375" style="36" customWidth="1"/>
    <col min="7944" max="7949" width="17.28515625" style="36" customWidth="1"/>
    <col min="7950" max="8192" width="6.42578125" style="36"/>
    <col min="8193" max="8194" width="4.42578125" style="36" customWidth="1"/>
    <col min="8195" max="8195" width="9.140625" style="36" customWidth="1"/>
    <col min="8196" max="8196" width="7.42578125" style="36" customWidth="1"/>
    <col min="8197" max="8199" width="30.7109375" style="36" customWidth="1"/>
    <col min="8200" max="8205" width="17.28515625" style="36" customWidth="1"/>
    <col min="8206" max="8448" width="6.42578125" style="36"/>
    <col min="8449" max="8450" width="4.42578125" style="36" customWidth="1"/>
    <col min="8451" max="8451" width="9.140625" style="36" customWidth="1"/>
    <col min="8452" max="8452" width="7.42578125" style="36" customWidth="1"/>
    <col min="8453" max="8455" width="30.7109375" style="36" customWidth="1"/>
    <col min="8456" max="8461" width="17.28515625" style="36" customWidth="1"/>
    <col min="8462" max="8704" width="6.42578125" style="36"/>
    <col min="8705" max="8706" width="4.42578125" style="36" customWidth="1"/>
    <col min="8707" max="8707" width="9.140625" style="36" customWidth="1"/>
    <col min="8708" max="8708" width="7.42578125" style="36" customWidth="1"/>
    <col min="8709" max="8711" width="30.7109375" style="36" customWidth="1"/>
    <col min="8712" max="8717" width="17.28515625" style="36" customWidth="1"/>
    <col min="8718" max="8960" width="6.42578125" style="36"/>
    <col min="8961" max="8962" width="4.42578125" style="36" customWidth="1"/>
    <col min="8963" max="8963" width="9.140625" style="36" customWidth="1"/>
    <col min="8964" max="8964" width="7.42578125" style="36" customWidth="1"/>
    <col min="8965" max="8967" width="30.7109375" style="36" customWidth="1"/>
    <col min="8968" max="8973" width="17.28515625" style="36" customWidth="1"/>
    <col min="8974" max="9216" width="6.42578125" style="36"/>
    <col min="9217" max="9218" width="4.42578125" style="36" customWidth="1"/>
    <col min="9219" max="9219" width="9.140625" style="36" customWidth="1"/>
    <col min="9220" max="9220" width="7.42578125" style="36" customWidth="1"/>
    <col min="9221" max="9223" width="30.7109375" style="36" customWidth="1"/>
    <col min="9224" max="9229" width="17.28515625" style="36" customWidth="1"/>
    <col min="9230" max="9472" width="6.42578125" style="36"/>
    <col min="9473" max="9474" width="4.42578125" style="36" customWidth="1"/>
    <col min="9475" max="9475" width="9.140625" style="36" customWidth="1"/>
    <col min="9476" max="9476" width="7.42578125" style="36" customWidth="1"/>
    <col min="9477" max="9479" width="30.7109375" style="36" customWidth="1"/>
    <col min="9480" max="9485" width="17.28515625" style="36" customWidth="1"/>
    <col min="9486" max="9728" width="6.42578125" style="36"/>
    <col min="9729" max="9730" width="4.42578125" style="36" customWidth="1"/>
    <col min="9731" max="9731" width="9.140625" style="36" customWidth="1"/>
    <col min="9732" max="9732" width="7.42578125" style="36" customWidth="1"/>
    <col min="9733" max="9735" width="30.7109375" style="36" customWidth="1"/>
    <col min="9736" max="9741" width="17.28515625" style="36" customWidth="1"/>
    <col min="9742" max="9984" width="6.42578125" style="36"/>
    <col min="9985" max="9986" width="4.42578125" style="36" customWidth="1"/>
    <col min="9987" max="9987" width="9.140625" style="36" customWidth="1"/>
    <col min="9988" max="9988" width="7.42578125" style="36" customWidth="1"/>
    <col min="9989" max="9991" width="30.7109375" style="36" customWidth="1"/>
    <col min="9992" max="9997" width="17.28515625" style="36" customWidth="1"/>
    <col min="9998" max="10240" width="6.42578125" style="36"/>
    <col min="10241" max="10242" width="4.42578125" style="36" customWidth="1"/>
    <col min="10243" max="10243" width="9.140625" style="36" customWidth="1"/>
    <col min="10244" max="10244" width="7.42578125" style="36" customWidth="1"/>
    <col min="10245" max="10247" width="30.7109375" style="36" customWidth="1"/>
    <col min="10248" max="10253" width="17.28515625" style="36" customWidth="1"/>
    <col min="10254" max="10496" width="6.42578125" style="36"/>
    <col min="10497" max="10498" width="4.42578125" style="36" customWidth="1"/>
    <col min="10499" max="10499" width="9.140625" style="36" customWidth="1"/>
    <col min="10500" max="10500" width="7.42578125" style="36" customWidth="1"/>
    <col min="10501" max="10503" width="30.7109375" style="36" customWidth="1"/>
    <col min="10504" max="10509" width="17.28515625" style="36" customWidth="1"/>
    <col min="10510" max="10752" width="6.42578125" style="36"/>
    <col min="10753" max="10754" width="4.42578125" style="36" customWidth="1"/>
    <col min="10755" max="10755" width="9.140625" style="36" customWidth="1"/>
    <col min="10756" max="10756" width="7.42578125" style="36" customWidth="1"/>
    <col min="10757" max="10759" width="30.7109375" style="36" customWidth="1"/>
    <col min="10760" max="10765" width="17.28515625" style="36" customWidth="1"/>
    <col min="10766" max="11008" width="6.42578125" style="36"/>
    <col min="11009" max="11010" width="4.42578125" style="36" customWidth="1"/>
    <col min="11011" max="11011" width="9.140625" style="36" customWidth="1"/>
    <col min="11012" max="11012" width="7.42578125" style="36" customWidth="1"/>
    <col min="11013" max="11015" width="30.7109375" style="36" customWidth="1"/>
    <col min="11016" max="11021" width="17.28515625" style="36" customWidth="1"/>
    <col min="11022" max="11264" width="6.42578125" style="36"/>
    <col min="11265" max="11266" width="4.42578125" style="36" customWidth="1"/>
    <col min="11267" max="11267" width="9.140625" style="36" customWidth="1"/>
    <col min="11268" max="11268" width="7.42578125" style="36" customWidth="1"/>
    <col min="11269" max="11271" width="30.7109375" style="36" customWidth="1"/>
    <col min="11272" max="11277" width="17.28515625" style="36" customWidth="1"/>
    <col min="11278" max="11520" width="6.42578125" style="36"/>
    <col min="11521" max="11522" width="4.42578125" style="36" customWidth="1"/>
    <col min="11523" max="11523" width="9.140625" style="36" customWidth="1"/>
    <col min="11524" max="11524" width="7.42578125" style="36" customWidth="1"/>
    <col min="11525" max="11527" width="30.7109375" style="36" customWidth="1"/>
    <col min="11528" max="11533" width="17.28515625" style="36" customWidth="1"/>
    <col min="11534" max="11776" width="6.42578125" style="36"/>
    <col min="11777" max="11778" width="4.42578125" style="36" customWidth="1"/>
    <col min="11779" max="11779" width="9.140625" style="36" customWidth="1"/>
    <col min="11780" max="11780" width="7.42578125" style="36" customWidth="1"/>
    <col min="11781" max="11783" width="30.7109375" style="36" customWidth="1"/>
    <col min="11784" max="11789" width="17.28515625" style="36" customWidth="1"/>
    <col min="11790" max="12032" width="6.42578125" style="36"/>
    <col min="12033" max="12034" width="4.42578125" style="36" customWidth="1"/>
    <col min="12035" max="12035" width="9.140625" style="36" customWidth="1"/>
    <col min="12036" max="12036" width="7.42578125" style="36" customWidth="1"/>
    <col min="12037" max="12039" width="30.7109375" style="36" customWidth="1"/>
    <col min="12040" max="12045" width="17.28515625" style="36" customWidth="1"/>
    <col min="12046" max="12288" width="6.42578125" style="36"/>
    <col min="12289" max="12290" width="4.42578125" style="36" customWidth="1"/>
    <col min="12291" max="12291" width="9.140625" style="36" customWidth="1"/>
    <col min="12292" max="12292" width="7.42578125" style="36" customWidth="1"/>
    <col min="12293" max="12295" width="30.7109375" style="36" customWidth="1"/>
    <col min="12296" max="12301" width="17.28515625" style="36" customWidth="1"/>
    <col min="12302" max="12544" width="6.42578125" style="36"/>
    <col min="12545" max="12546" width="4.42578125" style="36" customWidth="1"/>
    <col min="12547" max="12547" width="9.140625" style="36" customWidth="1"/>
    <col min="12548" max="12548" width="7.42578125" style="36" customWidth="1"/>
    <col min="12549" max="12551" width="30.7109375" style="36" customWidth="1"/>
    <col min="12552" max="12557" width="17.28515625" style="36" customWidth="1"/>
    <col min="12558" max="12800" width="6.42578125" style="36"/>
    <col min="12801" max="12802" width="4.42578125" style="36" customWidth="1"/>
    <col min="12803" max="12803" width="9.140625" style="36" customWidth="1"/>
    <col min="12804" max="12804" width="7.42578125" style="36" customWidth="1"/>
    <col min="12805" max="12807" width="30.7109375" style="36" customWidth="1"/>
    <col min="12808" max="12813" width="17.28515625" style="36" customWidth="1"/>
    <col min="12814" max="13056" width="6.42578125" style="36"/>
    <col min="13057" max="13058" width="4.42578125" style="36" customWidth="1"/>
    <col min="13059" max="13059" width="9.140625" style="36" customWidth="1"/>
    <col min="13060" max="13060" width="7.42578125" style="36" customWidth="1"/>
    <col min="13061" max="13063" width="30.7109375" style="36" customWidth="1"/>
    <col min="13064" max="13069" width="17.28515625" style="36" customWidth="1"/>
    <col min="13070" max="13312" width="6.42578125" style="36"/>
    <col min="13313" max="13314" width="4.42578125" style="36" customWidth="1"/>
    <col min="13315" max="13315" width="9.140625" style="36" customWidth="1"/>
    <col min="13316" max="13316" width="7.42578125" style="36" customWidth="1"/>
    <col min="13317" max="13319" width="30.7109375" style="36" customWidth="1"/>
    <col min="13320" max="13325" width="17.28515625" style="36" customWidth="1"/>
    <col min="13326" max="13568" width="6.42578125" style="36"/>
    <col min="13569" max="13570" width="4.42578125" style="36" customWidth="1"/>
    <col min="13571" max="13571" width="9.140625" style="36" customWidth="1"/>
    <col min="13572" max="13572" width="7.42578125" style="36" customWidth="1"/>
    <col min="13573" max="13575" width="30.7109375" style="36" customWidth="1"/>
    <col min="13576" max="13581" width="17.28515625" style="36" customWidth="1"/>
    <col min="13582" max="13824" width="6.42578125" style="36"/>
    <col min="13825" max="13826" width="4.42578125" style="36" customWidth="1"/>
    <col min="13827" max="13827" width="9.140625" style="36" customWidth="1"/>
    <col min="13828" max="13828" width="7.42578125" style="36" customWidth="1"/>
    <col min="13829" max="13831" width="30.7109375" style="36" customWidth="1"/>
    <col min="13832" max="13837" width="17.28515625" style="36" customWidth="1"/>
    <col min="13838" max="14080" width="6.42578125" style="36"/>
    <col min="14081" max="14082" width="4.42578125" style="36" customWidth="1"/>
    <col min="14083" max="14083" width="9.140625" style="36" customWidth="1"/>
    <col min="14084" max="14084" width="7.42578125" style="36" customWidth="1"/>
    <col min="14085" max="14087" width="30.7109375" style="36" customWidth="1"/>
    <col min="14088" max="14093" width="17.28515625" style="36" customWidth="1"/>
    <col min="14094" max="14336" width="6.42578125" style="36"/>
    <col min="14337" max="14338" width="4.42578125" style="36" customWidth="1"/>
    <col min="14339" max="14339" width="9.140625" style="36" customWidth="1"/>
    <col min="14340" max="14340" width="7.42578125" style="36" customWidth="1"/>
    <col min="14341" max="14343" width="30.7109375" style="36" customWidth="1"/>
    <col min="14344" max="14349" width="17.28515625" style="36" customWidth="1"/>
    <col min="14350" max="14592" width="6.42578125" style="36"/>
    <col min="14593" max="14594" width="4.42578125" style="36" customWidth="1"/>
    <col min="14595" max="14595" width="9.140625" style="36" customWidth="1"/>
    <col min="14596" max="14596" width="7.42578125" style="36" customWidth="1"/>
    <col min="14597" max="14599" width="30.7109375" style="36" customWidth="1"/>
    <col min="14600" max="14605" width="17.28515625" style="36" customWidth="1"/>
    <col min="14606" max="14848" width="6.42578125" style="36"/>
    <col min="14849" max="14850" width="4.42578125" style="36" customWidth="1"/>
    <col min="14851" max="14851" width="9.140625" style="36" customWidth="1"/>
    <col min="14852" max="14852" width="7.42578125" style="36" customWidth="1"/>
    <col min="14853" max="14855" width="30.7109375" style="36" customWidth="1"/>
    <col min="14856" max="14861" width="17.28515625" style="36" customWidth="1"/>
    <col min="14862" max="15104" width="6.42578125" style="36"/>
    <col min="15105" max="15106" width="4.42578125" style="36" customWidth="1"/>
    <col min="15107" max="15107" width="9.140625" style="36" customWidth="1"/>
    <col min="15108" max="15108" width="7.42578125" style="36" customWidth="1"/>
    <col min="15109" max="15111" width="30.7109375" style="36" customWidth="1"/>
    <col min="15112" max="15117" width="17.28515625" style="36" customWidth="1"/>
    <col min="15118" max="15360" width="6.42578125" style="36"/>
    <col min="15361" max="15362" width="4.42578125" style="36" customWidth="1"/>
    <col min="15363" max="15363" width="9.140625" style="36" customWidth="1"/>
    <col min="15364" max="15364" width="7.42578125" style="36" customWidth="1"/>
    <col min="15365" max="15367" width="30.7109375" style="36" customWidth="1"/>
    <col min="15368" max="15373" width="17.28515625" style="36" customWidth="1"/>
    <col min="15374" max="15616" width="6.42578125" style="36"/>
    <col min="15617" max="15618" width="4.42578125" style="36" customWidth="1"/>
    <col min="15619" max="15619" width="9.140625" style="36" customWidth="1"/>
    <col min="15620" max="15620" width="7.42578125" style="36" customWidth="1"/>
    <col min="15621" max="15623" width="30.7109375" style="36" customWidth="1"/>
    <col min="15624" max="15629" width="17.28515625" style="36" customWidth="1"/>
    <col min="15630" max="15872" width="6.42578125" style="36"/>
    <col min="15873" max="15874" width="4.42578125" style="36" customWidth="1"/>
    <col min="15875" max="15875" width="9.140625" style="36" customWidth="1"/>
    <col min="15876" max="15876" width="7.42578125" style="36" customWidth="1"/>
    <col min="15877" max="15879" width="30.7109375" style="36" customWidth="1"/>
    <col min="15880" max="15885" width="17.28515625" style="36" customWidth="1"/>
    <col min="15886" max="16128" width="6.42578125" style="36"/>
    <col min="16129" max="16130" width="4.42578125" style="36" customWidth="1"/>
    <col min="16131" max="16131" width="9.140625" style="36" customWidth="1"/>
    <col min="16132" max="16132" width="7.42578125" style="36" customWidth="1"/>
    <col min="16133" max="16135" width="30.7109375" style="36" customWidth="1"/>
    <col min="16136" max="16141" width="17.28515625" style="36" customWidth="1"/>
    <col min="16142" max="16384" width="6.42578125" style="36"/>
  </cols>
  <sheetData>
    <row r="1" spans="1:14" ht="19.5" customHeight="1">
      <c r="A1" s="50" t="s">
        <v>339</v>
      </c>
      <c r="B1" s="34"/>
      <c r="C1" s="51"/>
      <c r="D1" s="35"/>
      <c r="E1" s="35"/>
      <c r="F1" s="35"/>
      <c r="G1" s="35"/>
      <c r="H1" s="35"/>
      <c r="I1" s="35"/>
      <c r="J1" s="35"/>
      <c r="K1" s="35"/>
      <c r="L1" s="35"/>
      <c r="M1" s="35"/>
    </row>
    <row r="2" spans="1:14" s="5" customFormat="1" ht="15" customHeight="1">
      <c r="A2" s="31" t="s">
        <v>340</v>
      </c>
      <c r="B2" s="579" t="s">
        <v>341</v>
      </c>
      <c r="C2" s="26" t="s">
        <v>342</v>
      </c>
      <c r="D2" s="27" t="s">
        <v>343</v>
      </c>
      <c r="E2" s="581" t="s">
        <v>344</v>
      </c>
      <c r="F2" s="582"/>
      <c r="G2" s="583"/>
      <c r="H2" s="581" t="s">
        <v>345</v>
      </c>
      <c r="I2" s="582"/>
      <c r="J2" s="582"/>
      <c r="K2" s="582"/>
      <c r="L2" s="582"/>
      <c r="M2" s="583"/>
    </row>
    <row r="3" spans="1:14" s="5" customFormat="1" ht="15" customHeight="1">
      <c r="A3" s="32" t="s">
        <v>346</v>
      </c>
      <c r="B3" s="580"/>
      <c r="C3" s="28" t="s">
        <v>347</v>
      </c>
      <c r="D3" s="29" t="s">
        <v>348</v>
      </c>
      <c r="E3" s="58" t="s">
        <v>349</v>
      </c>
      <c r="F3" s="32" t="s">
        <v>350</v>
      </c>
      <c r="G3" s="32" t="s">
        <v>351</v>
      </c>
      <c r="H3" s="32" t="s">
        <v>352</v>
      </c>
      <c r="I3" s="32" t="s">
        <v>353</v>
      </c>
      <c r="J3" s="32" t="s">
        <v>354</v>
      </c>
      <c r="K3" s="32" t="s">
        <v>355</v>
      </c>
      <c r="L3" s="30" t="s">
        <v>356</v>
      </c>
      <c r="M3" s="33" t="s">
        <v>357</v>
      </c>
    </row>
    <row r="4" spans="1:14" ht="12" customHeight="1">
      <c r="A4" s="560" t="s">
        <v>358</v>
      </c>
      <c r="B4" s="563" t="s">
        <v>108</v>
      </c>
      <c r="C4" s="42"/>
      <c r="D4" s="566" t="s">
        <v>359</v>
      </c>
      <c r="E4" s="569" t="s">
        <v>360</v>
      </c>
      <c r="F4" s="570"/>
      <c r="G4" s="571"/>
      <c r="H4" s="575" t="s">
        <v>361</v>
      </c>
      <c r="I4" s="575" t="s">
        <v>362</v>
      </c>
      <c r="J4" s="575" t="s">
        <v>363</v>
      </c>
      <c r="K4" s="575" t="s">
        <v>364</v>
      </c>
      <c r="L4" s="575" t="s">
        <v>365</v>
      </c>
      <c r="M4" s="578"/>
      <c r="N4" s="37"/>
    </row>
    <row r="5" spans="1:14" ht="12" customHeight="1">
      <c r="A5" s="561"/>
      <c r="B5" s="564"/>
      <c r="C5" s="42"/>
      <c r="D5" s="567"/>
      <c r="E5" s="572"/>
      <c r="F5" s="573"/>
      <c r="G5" s="574"/>
      <c r="H5" s="576"/>
      <c r="I5" s="576"/>
      <c r="J5" s="576"/>
      <c r="K5" s="576"/>
      <c r="L5" s="584"/>
      <c r="M5" s="576"/>
      <c r="N5" s="37"/>
    </row>
    <row r="6" spans="1:14" ht="15" customHeight="1">
      <c r="A6" s="561"/>
      <c r="B6" s="564"/>
      <c r="C6" s="51"/>
      <c r="D6" s="567"/>
      <c r="E6" s="575" t="s">
        <v>366</v>
      </c>
      <c r="F6" s="575" t="s">
        <v>367</v>
      </c>
      <c r="G6" s="575" t="s">
        <v>368</v>
      </c>
      <c r="H6" s="576"/>
      <c r="I6" s="576"/>
      <c r="J6" s="576"/>
      <c r="K6" s="576"/>
      <c r="L6" s="584"/>
      <c r="M6" s="576"/>
      <c r="N6" s="37"/>
    </row>
    <row r="7" spans="1:14" ht="15" customHeight="1">
      <c r="A7" s="561"/>
      <c r="B7" s="564"/>
      <c r="C7" s="42" t="s">
        <v>369</v>
      </c>
      <c r="D7" s="567"/>
      <c r="E7" s="576"/>
      <c r="F7" s="576"/>
      <c r="G7" s="576"/>
      <c r="H7" s="576"/>
      <c r="I7" s="576"/>
      <c r="J7" s="576"/>
      <c r="K7" s="576"/>
      <c r="L7" s="584"/>
      <c r="M7" s="576"/>
      <c r="N7" s="37"/>
    </row>
    <row r="8" spans="1:14" ht="15" customHeight="1">
      <c r="A8" s="561"/>
      <c r="B8" s="564"/>
      <c r="C8" s="42" t="s">
        <v>370</v>
      </c>
      <c r="D8" s="567"/>
      <c r="E8" s="576"/>
      <c r="F8" s="576"/>
      <c r="G8" s="576"/>
      <c r="H8" s="576"/>
      <c r="I8" s="576"/>
      <c r="J8" s="576"/>
      <c r="K8" s="576"/>
      <c r="L8" s="584"/>
      <c r="M8" s="576"/>
      <c r="N8" s="37"/>
    </row>
    <row r="9" spans="1:14" ht="15" customHeight="1">
      <c r="A9" s="561"/>
      <c r="B9" s="564"/>
      <c r="C9" s="42"/>
      <c r="D9" s="567"/>
      <c r="E9" s="576"/>
      <c r="F9" s="576"/>
      <c r="G9" s="576"/>
      <c r="H9" s="576"/>
      <c r="I9" s="576"/>
      <c r="J9" s="576"/>
      <c r="K9" s="576"/>
      <c r="L9" s="584"/>
      <c r="M9" s="576"/>
      <c r="N9" s="37"/>
    </row>
    <row r="10" spans="1:14" ht="15" customHeight="1">
      <c r="A10" s="561"/>
      <c r="B10" s="564"/>
      <c r="C10" s="42"/>
      <c r="D10" s="567"/>
      <c r="E10" s="576"/>
      <c r="F10" s="576"/>
      <c r="G10" s="576"/>
      <c r="H10" s="576"/>
      <c r="I10" s="576"/>
      <c r="J10" s="576"/>
      <c r="K10" s="576"/>
      <c r="L10" s="584"/>
      <c r="M10" s="576"/>
      <c r="N10" s="37"/>
    </row>
    <row r="11" spans="1:14" ht="15" customHeight="1">
      <c r="A11" s="561"/>
      <c r="B11" s="565"/>
      <c r="C11" s="43"/>
      <c r="D11" s="568"/>
      <c r="E11" s="577"/>
      <c r="F11" s="577"/>
      <c r="G11" s="577"/>
      <c r="H11" s="576"/>
      <c r="I11" s="576"/>
      <c r="J11" s="576"/>
      <c r="K11" s="576"/>
      <c r="L11" s="585"/>
      <c r="M11" s="576"/>
      <c r="N11" s="37"/>
    </row>
    <row r="12" spans="1:14" ht="12" customHeight="1">
      <c r="A12" s="561"/>
      <c r="B12" s="563" t="s">
        <v>112</v>
      </c>
      <c r="C12" s="563" t="s">
        <v>371</v>
      </c>
      <c r="D12" s="566" t="s">
        <v>372</v>
      </c>
      <c r="E12" s="569" t="s">
        <v>373</v>
      </c>
      <c r="F12" s="570"/>
      <c r="G12" s="571"/>
      <c r="H12" s="576"/>
      <c r="I12" s="576"/>
      <c r="J12" s="576"/>
      <c r="K12" s="576"/>
      <c r="L12" s="575" t="s">
        <v>374</v>
      </c>
      <c r="M12" s="576"/>
      <c r="N12" s="37"/>
    </row>
    <row r="13" spans="1:14" ht="12" customHeight="1">
      <c r="A13" s="561"/>
      <c r="B13" s="564"/>
      <c r="C13" s="564"/>
      <c r="D13" s="567"/>
      <c r="E13" s="572"/>
      <c r="F13" s="573"/>
      <c r="G13" s="574"/>
      <c r="H13" s="576"/>
      <c r="I13" s="576"/>
      <c r="J13" s="576"/>
      <c r="K13" s="576"/>
      <c r="L13" s="584"/>
      <c r="M13" s="576"/>
      <c r="N13" s="37"/>
    </row>
    <row r="14" spans="1:14" ht="15" customHeight="1">
      <c r="A14" s="561"/>
      <c r="B14" s="564"/>
      <c r="C14" s="564"/>
      <c r="D14" s="567"/>
      <c r="E14" s="575" t="s">
        <v>375</v>
      </c>
      <c r="F14" s="575" t="s">
        <v>376</v>
      </c>
      <c r="G14" s="575" t="s">
        <v>377</v>
      </c>
      <c r="H14" s="576"/>
      <c r="I14" s="576"/>
      <c r="J14" s="576"/>
      <c r="K14" s="576"/>
      <c r="L14" s="584"/>
      <c r="M14" s="576"/>
      <c r="N14" s="37"/>
    </row>
    <row r="15" spans="1:14" ht="15" customHeight="1">
      <c r="A15" s="561"/>
      <c r="B15" s="564"/>
      <c r="C15" s="564"/>
      <c r="D15" s="567"/>
      <c r="E15" s="576"/>
      <c r="F15" s="576"/>
      <c r="G15" s="576"/>
      <c r="H15" s="576"/>
      <c r="I15" s="576"/>
      <c r="J15" s="576"/>
      <c r="K15" s="576"/>
      <c r="L15" s="584"/>
      <c r="M15" s="576"/>
      <c r="N15" s="37"/>
    </row>
    <row r="16" spans="1:14" ht="15" customHeight="1">
      <c r="A16" s="561"/>
      <c r="B16" s="564"/>
      <c r="C16" s="564"/>
      <c r="D16" s="567"/>
      <c r="E16" s="576"/>
      <c r="F16" s="576"/>
      <c r="G16" s="576"/>
      <c r="H16" s="576"/>
      <c r="I16" s="576"/>
      <c r="J16" s="576"/>
      <c r="K16" s="576"/>
      <c r="L16" s="584"/>
      <c r="M16" s="576"/>
      <c r="N16" s="37"/>
    </row>
    <row r="17" spans="1:14" ht="15" customHeight="1">
      <c r="A17" s="561"/>
      <c r="B17" s="564"/>
      <c r="C17" s="564"/>
      <c r="D17" s="567"/>
      <c r="E17" s="576"/>
      <c r="F17" s="576"/>
      <c r="G17" s="576"/>
      <c r="H17" s="576"/>
      <c r="I17" s="576"/>
      <c r="J17" s="576"/>
      <c r="K17" s="576"/>
      <c r="L17" s="584"/>
      <c r="M17" s="576"/>
      <c r="N17" s="37"/>
    </row>
    <row r="18" spans="1:14" ht="15" customHeight="1">
      <c r="A18" s="561"/>
      <c r="B18" s="564"/>
      <c r="C18" s="564"/>
      <c r="D18" s="567"/>
      <c r="E18" s="576"/>
      <c r="F18" s="576"/>
      <c r="G18" s="576"/>
      <c r="H18" s="576"/>
      <c r="I18" s="576"/>
      <c r="J18" s="576"/>
      <c r="K18" s="576"/>
      <c r="L18" s="584"/>
      <c r="M18" s="576"/>
      <c r="N18" s="37"/>
    </row>
    <row r="19" spans="1:14" ht="15" customHeight="1">
      <c r="A19" s="562"/>
      <c r="B19" s="565"/>
      <c r="C19" s="565"/>
      <c r="D19" s="568"/>
      <c r="E19" s="577"/>
      <c r="F19" s="577"/>
      <c r="G19" s="577"/>
      <c r="H19" s="577"/>
      <c r="I19" s="577"/>
      <c r="J19" s="577"/>
      <c r="K19" s="577"/>
      <c r="L19" s="585"/>
      <c r="M19" s="577"/>
      <c r="N19" s="37"/>
    </row>
    <row r="20" spans="1:14" ht="12" customHeight="1">
      <c r="A20" s="560" t="s">
        <v>378</v>
      </c>
      <c r="B20" s="564" t="s">
        <v>117</v>
      </c>
      <c r="C20" s="76"/>
      <c r="D20" s="566" t="s">
        <v>379</v>
      </c>
      <c r="E20" s="588" t="s">
        <v>380</v>
      </c>
      <c r="F20" s="589"/>
      <c r="G20" s="590"/>
      <c r="H20" s="594" t="s">
        <v>381</v>
      </c>
      <c r="I20" s="594" t="s">
        <v>382</v>
      </c>
      <c r="J20" s="594" t="s">
        <v>383</v>
      </c>
      <c r="K20" s="594" t="s">
        <v>384</v>
      </c>
      <c r="L20" s="594" t="s">
        <v>385</v>
      </c>
      <c r="M20" s="575"/>
      <c r="N20" s="37"/>
    </row>
    <row r="21" spans="1:14" ht="12" customHeight="1">
      <c r="A21" s="561"/>
      <c r="B21" s="564"/>
      <c r="C21" s="38"/>
      <c r="D21" s="586"/>
      <c r="E21" s="591"/>
      <c r="F21" s="592"/>
      <c r="G21" s="593"/>
      <c r="H21" s="594"/>
      <c r="I21" s="594"/>
      <c r="J21" s="594"/>
      <c r="K21" s="594"/>
      <c r="L21" s="594"/>
      <c r="M21" s="576"/>
      <c r="N21" s="37"/>
    </row>
    <row r="22" spans="1:14" ht="18" customHeight="1">
      <c r="A22" s="561"/>
      <c r="B22" s="564"/>
      <c r="C22" s="39"/>
      <c r="D22" s="586"/>
      <c r="E22" s="575" t="s">
        <v>386</v>
      </c>
      <c r="F22" s="599" t="s">
        <v>387</v>
      </c>
      <c r="G22" s="599" t="s">
        <v>388</v>
      </c>
      <c r="H22" s="594"/>
      <c r="I22" s="594"/>
      <c r="J22" s="594"/>
      <c r="K22" s="594"/>
      <c r="L22" s="594"/>
      <c r="M22" s="576"/>
      <c r="N22" s="37"/>
    </row>
    <row r="23" spans="1:14" ht="18" customHeight="1">
      <c r="A23" s="561"/>
      <c r="B23" s="564"/>
      <c r="C23" s="38" t="s">
        <v>389</v>
      </c>
      <c r="D23" s="586"/>
      <c r="E23" s="576"/>
      <c r="F23" s="600"/>
      <c r="G23" s="600"/>
      <c r="H23" s="594"/>
      <c r="I23" s="594"/>
      <c r="J23" s="594"/>
      <c r="K23" s="594"/>
      <c r="L23" s="594"/>
      <c r="M23" s="576"/>
      <c r="N23" s="37"/>
    </row>
    <row r="24" spans="1:14" ht="18" customHeight="1">
      <c r="A24" s="561"/>
      <c r="B24" s="564"/>
      <c r="C24" s="40" t="s">
        <v>390</v>
      </c>
      <c r="D24" s="586"/>
      <c r="E24" s="576"/>
      <c r="F24" s="600"/>
      <c r="G24" s="600"/>
      <c r="H24" s="594"/>
      <c r="I24" s="594"/>
      <c r="J24" s="594"/>
      <c r="K24" s="594"/>
      <c r="L24" s="594"/>
      <c r="M24" s="576"/>
      <c r="N24" s="37"/>
    </row>
    <row r="25" spans="1:14" ht="18" customHeight="1">
      <c r="A25" s="561"/>
      <c r="B25" s="564"/>
      <c r="C25" s="40"/>
      <c r="D25" s="586"/>
      <c r="E25" s="576"/>
      <c r="F25" s="600"/>
      <c r="G25" s="600"/>
      <c r="H25" s="594"/>
      <c r="I25" s="594"/>
      <c r="J25" s="594"/>
      <c r="K25" s="594"/>
      <c r="L25" s="594"/>
      <c r="M25" s="576"/>
      <c r="N25" s="37"/>
    </row>
    <row r="26" spans="1:14" ht="18" customHeight="1">
      <c r="A26" s="561"/>
      <c r="B26" s="564"/>
      <c r="C26" s="40"/>
      <c r="D26" s="586"/>
      <c r="E26" s="576"/>
      <c r="F26" s="600"/>
      <c r="G26" s="600"/>
      <c r="H26" s="594"/>
      <c r="I26" s="594"/>
      <c r="J26" s="594"/>
      <c r="K26" s="594"/>
      <c r="L26" s="594"/>
      <c r="M26" s="576"/>
      <c r="N26" s="37"/>
    </row>
    <row r="27" spans="1:14" ht="18" customHeight="1">
      <c r="A27" s="561"/>
      <c r="B27" s="565"/>
      <c r="C27" s="41"/>
      <c r="D27" s="587"/>
      <c r="E27" s="577"/>
      <c r="F27" s="601"/>
      <c r="G27" s="601"/>
      <c r="H27" s="595"/>
      <c r="I27" s="595"/>
      <c r="J27" s="595"/>
      <c r="K27" s="595"/>
      <c r="L27" s="595"/>
      <c r="M27" s="577"/>
      <c r="N27" s="37"/>
    </row>
    <row r="28" spans="1:14" ht="12" customHeight="1">
      <c r="A28" s="561"/>
      <c r="B28" s="563" t="s">
        <v>121</v>
      </c>
      <c r="C28" s="42"/>
      <c r="D28" s="566" t="s">
        <v>391</v>
      </c>
      <c r="E28" s="569" t="s">
        <v>392</v>
      </c>
      <c r="F28" s="570"/>
      <c r="G28" s="571"/>
      <c r="H28" s="598" t="s">
        <v>393</v>
      </c>
      <c r="I28" s="598" t="s">
        <v>394</v>
      </c>
      <c r="J28" s="598" t="s">
        <v>395</v>
      </c>
      <c r="K28" s="598" t="s">
        <v>396</v>
      </c>
      <c r="L28" s="598" t="s">
        <v>397</v>
      </c>
      <c r="M28" s="575"/>
      <c r="N28" s="37"/>
    </row>
    <row r="29" spans="1:14" ht="12" customHeight="1">
      <c r="A29" s="561"/>
      <c r="B29" s="564"/>
      <c r="C29" s="42"/>
      <c r="D29" s="596"/>
      <c r="E29" s="591"/>
      <c r="F29" s="592"/>
      <c r="G29" s="593"/>
      <c r="H29" s="594"/>
      <c r="I29" s="594"/>
      <c r="J29" s="594"/>
      <c r="K29" s="594"/>
      <c r="L29" s="594"/>
      <c r="M29" s="576"/>
      <c r="N29" s="37"/>
    </row>
    <row r="30" spans="1:14" ht="18" customHeight="1">
      <c r="A30" s="561"/>
      <c r="B30" s="564"/>
      <c r="C30" s="42"/>
      <c r="D30" s="596"/>
      <c r="E30" s="575" t="s">
        <v>398</v>
      </c>
      <c r="F30" s="575" t="s">
        <v>399</v>
      </c>
      <c r="G30" s="575" t="s">
        <v>400</v>
      </c>
      <c r="H30" s="594"/>
      <c r="I30" s="594"/>
      <c r="J30" s="594"/>
      <c r="K30" s="594"/>
      <c r="L30" s="594"/>
      <c r="M30" s="576"/>
      <c r="N30" s="37"/>
    </row>
    <row r="31" spans="1:14" ht="18" customHeight="1">
      <c r="A31" s="561"/>
      <c r="B31" s="564"/>
      <c r="C31" s="42" t="s">
        <v>401</v>
      </c>
      <c r="D31" s="596"/>
      <c r="E31" s="576"/>
      <c r="F31" s="576"/>
      <c r="G31" s="584"/>
      <c r="H31" s="594"/>
      <c r="I31" s="594"/>
      <c r="J31" s="594"/>
      <c r="K31" s="594"/>
      <c r="L31" s="594"/>
      <c r="M31" s="576"/>
      <c r="N31" s="37"/>
    </row>
    <row r="32" spans="1:14" ht="18" customHeight="1">
      <c r="A32" s="561"/>
      <c r="B32" s="564"/>
      <c r="C32" s="42" t="s">
        <v>402</v>
      </c>
      <c r="D32" s="596"/>
      <c r="E32" s="576"/>
      <c r="F32" s="576"/>
      <c r="G32" s="584"/>
      <c r="H32" s="594"/>
      <c r="I32" s="594"/>
      <c r="J32" s="594"/>
      <c r="K32" s="594"/>
      <c r="L32" s="594"/>
      <c r="M32" s="576"/>
      <c r="N32" s="37"/>
    </row>
    <row r="33" spans="1:14" ht="18" customHeight="1">
      <c r="A33" s="561"/>
      <c r="B33" s="564"/>
      <c r="C33" s="42"/>
      <c r="D33" s="596"/>
      <c r="E33" s="576"/>
      <c r="F33" s="576"/>
      <c r="G33" s="584"/>
      <c r="H33" s="594"/>
      <c r="I33" s="594"/>
      <c r="J33" s="594"/>
      <c r="K33" s="594"/>
      <c r="L33" s="594"/>
      <c r="M33" s="576"/>
      <c r="N33" s="37"/>
    </row>
    <row r="34" spans="1:14" ht="18" customHeight="1">
      <c r="A34" s="561"/>
      <c r="B34" s="564"/>
      <c r="C34" s="42"/>
      <c r="D34" s="596"/>
      <c r="E34" s="576"/>
      <c r="F34" s="576"/>
      <c r="G34" s="584"/>
      <c r="H34" s="594"/>
      <c r="I34" s="594"/>
      <c r="J34" s="594"/>
      <c r="K34" s="594"/>
      <c r="L34" s="594"/>
      <c r="M34" s="576"/>
      <c r="N34" s="37"/>
    </row>
    <row r="35" spans="1:14" ht="18" customHeight="1">
      <c r="A35" s="562"/>
      <c r="B35" s="565"/>
      <c r="C35" s="43"/>
      <c r="D35" s="597"/>
      <c r="E35" s="577"/>
      <c r="F35" s="577"/>
      <c r="G35" s="585"/>
      <c r="H35" s="595"/>
      <c r="I35" s="595"/>
      <c r="J35" s="595"/>
      <c r="K35" s="595"/>
      <c r="L35" s="595"/>
      <c r="M35" s="577"/>
      <c r="N35" s="37"/>
    </row>
    <row r="36" spans="1:14" ht="12" customHeight="1">
      <c r="A36" s="560" t="s">
        <v>403</v>
      </c>
      <c r="B36" s="563" t="s">
        <v>125</v>
      </c>
      <c r="C36" s="47"/>
      <c r="D36" s="566" t="s">
        <v>404</v>
      </c>
      <c r="E36" s="569" t="s">
        <v>405</v>
      </c>
      <c r="F36" s="570"/>
      <c r="G36" s="571"/>
      <c r="H36" s="598" t="s">
        <v>406</v>
      </c>
      <c r="I36" s="598" t="s">
        <v>407</v>
      </c>
      <c r="J36" s="598" t="s">
        <v>408</v>
      </c>
      <c r="K36" s="598" t="s">
        <v>409</v>
      </c>
      <c r="L36" s="598" t="s">
        <v>410</v>
      </c>
      <c r="M36" s="575"/>
    </row>
    <row r="37" spans="1:14" ht="12" customHeight="1">
      <c r="A37" s="561"/>
      <c r="B37" s="564"/>
      <c r="C37" s="45"/>
      <c r="D37" s="596"/>
      <c r="E37" s="591"/>
      <c r="F37" s="592"/>
      <c r="G37" s="593"/>
      <c r="H37" s="594"/>
      <c r="I37" s="594"/>
      <c r="J37" s="594"/>
      <c r="K37" s="594"/>
      <c r="L37" s="594"/>
      <c r="M37" s="576"/>
    </row>
    <row r="38" spans="1:14" ht="18" customHeight="1">
      <c r="A38" s="561"/>
      <c r="B38" s="564"/>
      <c r="C38" s="45"/>
      <c r="D38" s="596"/>
      <c r="E38" s="575" t="s">
        <v>411</v>
      </c>
      <c r="F38" s="575" t="s">
        <v>412</v>
      </c>
      <c r="G38" s="575" t="s">
        <v>413</v>
      </c>
      <c r="H38" s="594"/>
      <c r="I38" s="594"/>
      <c r="J38" s="594"/>
      <c r="K38" s="594"/>
      <c r="L38" s="594"/>
      <c r="M38" s="576"/>
    </row>
    <row r="39" spans="1:14" ht="18" customHeight="1">
      <c r="A39" s="561"/>
      <c r="B39" s="564"/>
      <c r="C39" s="45" t="s">
        <v>414</v>
      </c>
      <c r="D39" s="596"/>
      <c r="E39" s="576"/>
      <c r="F39" s="576"/>
      <c r="G39" s="584"/>
      <c r="H39" s="594"/>
      <c r="I39" s="594"/>
      <c r="J39" s="594"/>
      <c r="K39" s="594"/>
      <c r="L39" s="594"/>
      <c r="M39" s="576"/>
    </row>
    <row r="40" spans="1:14" ht="18" customHeight="1">
      <c r="A40" s="561"/>
      <c r="B40" s="564"/>
      <c r="C40" s="45" t="s">
        <v>415</v>
      </c>
      <c r="D40" s="596"/>
      <c r="E40" s="576"/>
      <c r="F40" s="576"/>
      <c r="G40" s="584"/>
      <c r="H40" s="594"/>
      <c r="I40" s="594"/>
      <c r="J40" s="594"/>
      <c r="K40" s="594"/>
      <c r="L40" s="594"/>
      <c r="M40" s="576"/>
    </row>
    <row r="41" spans="1:14" ht="18" customHeight="1">
      <c r="A41" s="561"/>
      <c r="B41" s="564"/>
      <c r="C41" s="45"/>
      <c r="D41" s="596"/>
      <c r="E41" s="576"/>
      <c r="F41" s="576"/>
      <c r="G41" s="584"/>
      <c r="H41" s="594"/>
      <c r="I41" s="594"/>
      <c r="J41" s="594"/>
      <c r="K41" s="594"/>
      <c r="L41" s="594"/>
      <c r="M41" s="576"/>
    </row>
    <row r="42" spans="1:14" ht="18" customHeight="1">
      <c r="A42" s="561"/>
      <c r="B42" s="564"/>
      <c r="C42" s="45"/>
      <c r="D42" s="596"/>
      <c r="E42" s="576"/>
      <c r="F42" s="576"/>
      <c r="G42" s="584"/>
      <c r="H42" s="594"/>
      <c r="I42" s="594"/>
      <c r="J42" s="594"/>
      <c r="K42" s="594"/>
      <c r="L42" s="594"/>
      <c r="M42" s="576"/>
    </row>
    <row r="43" spans="1:14" ht="18" customHeight="1">
      <c r="A43" s="561"/>
      <c r="B43" s="565"/>
      <c r="C43" s="46"/>
      <c r="D43" s="597"/>
      <c r="E43" s="577"/>
      <c r="F43" s="577"/>
      <c r="G43" s="585"/>
      <c r="H43" s="595"/>
      <c r="I43" s="595"/>
      <c r="J43" s="595"/>
      <c r="K43" s="595"/>
      <c r="L43" s="595"/>
      <c r="M43" s="577"/>
    </row>
    <row r="44" spans="1:14" ht="12" customHeight="1">
      <c r="A44" s="561"/>
      <c r="B44" s="563" t="s">
        <v>127</v>
      </c>
      <c r="C44" s="47"/>
      <c r="D44" s="566" t="s">
        <v>416</v>
      </c>
      <c r="E44" s="569" t="s">
        <v>417</v>
      </c>
      <c r="F44" s="570"/>
      <c r="G44" s="571"/>
      <c r="H44" s="575" t="s">
        <v>418</v>
      </c>
      <c r="I44" s="575" t="s">
        <v>419</v>
      </c>
      <c r="J44" s="575" t="s">
        <v>420</v>
      </c>
      <c r="K44" s="575" t="s">
        <v>421</v>
      </c>
      <c r="L44" s="575" t="s">
        <v>422</v>
      </c>
      <c r="M44" s="575"/>
    </row>
    <row r="45" spans="1:14" ht="12" customHeight="1">
      <c r="A45" s="561"/>
      <c r="B45" s="564"/>
      <c r="C45" s="45"/>
      <c r="D45" s="596"/>
      <c r="E45" s="591"/>
      <c r="F45" s="592"/>
      <c r="G45" s="593"/>
      <c r="H45" s="584"/>
      <c r="I45" s="584"/>
      <c r="J45" s="584"/>
      <c r="K45" s="584"/>
      <c r="L45" s="584"/>
      <c r="M45" s="576"/>
    </row>
    <row r="46" spans="1:14" ht="18" customHeight="1">
      <c r="A46" s="561"/>
      <c r="B46" s="564"/>
      <c r="C46" s="45"/>
      <c r="D46" s="596"/>
      <c r="E46" s="575" t="s">
        <v>423</v>
      </c>
      <c r="F46" s="575" t="s">
        <v>424</v>
      </c>
      <c r="G46" s="575" t="s">
        <v>425</v>
      </c>
      <c r="H46" s="584"/>
      <c r="I46" s="584"/>
      <c r="J46" s="584"/>
      <c r="K46" s="584"/>
      <c r="L46" s="584"/>
      <c r="M46" s="576"/>
    </row>
    <row r="47" spans="1:14" ht="18" customHeight="1">
      <c r="A47" s="561"/>
      <c r="B47" s="564"/>
      <c r="C47" s="45" t="s">
        <v>426</v>
      </c>
      <c r="D47" s="596"/>
      <c r="E47" s="576"/>
      <c r="F47" s="576"/>
      <c r="G47" s="576"/>
      <c r="H47" s="584"/>
      <c r="I47" s="584"/>
      <c r="J47" s="584"/>
      <c r="K47" s="584"/>
      <c r="L47" s="584"/>
      <c r="M47" s="576"/>
    </row>
    <row r="48" spans="1:14" ht="18" customHeight="1">
      <c r="A48" s="561"/>
      <c r="B48" s="564"/>
      <c r="C48" s="45" t="s">
        <v>427</v>
      </c>
      <c r="D48" s="596"/>
      <c r="E48" s="576"/>
      <c r="F48" s="576"/>
      <c r="G48" s="576"/>
      <c r="H48" s="584"/>
      <c r="I48" s="584"/>
      <c r="J48" s="584"/>
      <c r="K48" s="584"/>
      <c r="L48" s="584"/>
      <c r="M48" s="576"/>
    </row>
    <row r="49" spans="1:13" ht="18" customHeight="1">
      <c r="A49" s="561"/>
      <c r="B49" s="564"/>
      <c r="C49" s="45"/>
      <c r="D49" s="596"/>
      <c r="E49" s="576"/>
      <c r="F49" s="576"/>
      <c r="G49" s="576"/>
      <c r="H49" s="584"/>
      <c r="I49" s="584"/>
      <c r="J49" s="584"/>
      <c r="K49" s="584"/>
      <c r="L49" s="584"/>
      <c r="M49" s="576"/>
    </row>
    <row r="50" spans="1:13" ht="18" customHeight="1">
      <c r="A50" s="561"/>
      <c r="B50" s="564"/>
      <c r="C50" s="45"/>
      <c r="D50" s="596"/>
      <c r="E50" s="576"/>
      <c r="F50" s="576"/>
      <c r="G50" s="576"/>
      <c r="H50" s="584"/>
      <c r="I50" s="584"/>
      <c r="J50" s="584"/>
      <c r="K50" s="584"/>
      <c r="L50" s="584"/>
      <c r="M50" s="576"/>
    </row>
    <row r="51" spans="1:13" ht="18" customHeight="1">
      <c r="A51" s="561"/>
      <c r="B51" s="565"/>
      <c r="C51" s="46"/>
      <c r="D51" s="597"/>
      <c r="E51" s="577"/>
      <c r="F51" s="577"/>
      <c r="G51" s="577"/>
      <c r="H51" s="585"/>
      <c r="I51" s="585"/>
      <c r="J51" s="585"/>
      <c r="K51" s="585"/>
      <c r="L51" s="585"/>
      <c r="M51" s="577"/>
    </row>
    <row r="52" spans="1:13" ht="12" customHeight="1">
      <c r="A52" s="561"/>
      <c r="B52" s="563" t="s">
        <v>129</v>
      </c>
      <c r="C52" s="47"/>
      <c r="D52" s="566" t="s">
        <v>428</v>
      </c>
      <c r="E52" s="569" t="s">
        <v>429</v>
      </c>
      <c r="F52" s="570"/>
      <c r="G52" s="571"/>
      <c r="H52" s="575" t="s">
        <v>430</v>
      </c>
      <c r="I52" s="575" t="s">
        <v>431</v>
      </c>
      <c r="J52" s="575" t="s">
        <v>432</v>
      </c>
      <c r="K52" s="575" t="s">
        <v>433</v>
      </c>
      <c r="L52" s="575" t="s">
        <v>434</v>
      </c>
      <c r="M52" s="575" t="s">
        <v>435</v>
      </c>
    </row>
    <row r="53" spans="1:13" ht="12" customHeight="1">
      <c r="A53" s="561"/>
      <c r="B53" s="564"/>
      <c r="C53" s="45"/>
      <c r="D53" s="596"/>
      <c r="E53" s="591"/>
      <c r="F53" s="592"/>
      <c r="G53" s="593"/>
      <c r="H53" s="584"/>
      <c r="I53" s="584"/>
      <c r="J53" s="584"/>
      <c r="K53" s="584"/>
      <c r="L53" s="584"/>
      <c r="M53" s="584"/>
    </row>
    <row r="54" spans="1:13" ht="18" customHeight="1">
      <c r="A54" s="561"/>
      <c r="B54" s="564"/>
      <c r="C54" s="45"/>
      <c r="D54" s="596"/>
      <c r="E54" s="575" t="s">
        <v>436</v>
      </c>
      <c r="F54" s="575" t="s">
        <v>437</v>
      </c>
      <c r="G54" s="575" t="s">
        <v>438</v>
      </c>
      <c r="H54" s="584"/>
      <c r="I54" s="584"/>
      <c r="J54" s="584"/>
      <c r="K54" s="584"/>
      <c r="L54" s="584"/>
      <c r="M54" s="584"/>
    </row>
    <row r="55" spans="1:13" ht="18" customHeight="1">
      <c r="A55" s="561"/>
      <c r="B55" s="564"/>
      <c r="C55" s="45" t="s">
        <v>439</v>
      </c>
      <c r="D55" s="596"/>
      <c r="E55" s="576"/>
      <c r="F55" s="576"/>
      <c r="G55" s="576"/>
      <c r="H55" s="584"/>
      <c r="I55" s="584"/>
      <c r="J55" s="584"/>
      <c r="K55" s="584"/>
      <c r="L55" s="584"/>
      <c r="M55" s="584"/>
    </row>
    <row r="56" spans="1:13" ht="18" customHeight="1">
      <c r="A56" s="561"/>
      <c r="B56" s="564"/>
      <c r="C56" s="45" t="s">
        <v>440</v>
      </c>
      <c r="D56" s="596"/>
      <c r="E56" s="576"/>
      <c r="F56" s="576"/>
      <c r="G56" s="576"/>
      <c r="H56" s="584"/>
      <c r="I56" s="584"/>
      <c r="J56" s="584"/>
      <c r="K56" s="584"/>
      <c r="L56" s="584"/>
      <c r="M56" s="584"/>
    </row>
    <row r="57" spans="1:13" ht="18" customHeight="1">
      <c r="A57" s="561"/>
      <c r="B57" s="564"/>
      <c r="C57" s="45"/>
      <c r="D57" s="596"/>
      <c r="E57" s="576"/>
      <c r="F57" s="576"/>
      <c r="G57" s="576"/>
      <c r="H57" s="584"/>
      <c r="I57" s="584"/>
      <c r="J57" s="584"/>
      <c r="K57" s="584"/>
      <c r="L57" s="584"/>
      <c r="M57" s="584"/>
    </row>
    <row r="58" spans="1:13" ht="18" customHeight="1">
      <c r="A58" s="561"/>
      <c r="B58" s="564"/>
      <c r="C58" s="45"/>
      <c r="D58" s="596"/>
      <c r="E58" s="576"/>
      <c r="F58" s="576"/>
      <c r="G58" s="576"/>
      <c r="H58" s="584"/>
      <c r="I58" s="584"/>
      <c r="J58" s="584"/>
      <c r="K58" s="584"/>
      <c r="L58" s="584"/>
      <c r="M58" s="584"/>
    </row>
    <row r="59" spans="1:13" ht="18" customHeight="1">
      <c r="A59" s="561"/>
      <c r="B59" s="565"/>
      <c r="C59" s="46"/>
      <c r="D59" s="597"/>
      <c r="E59" s="577"/>
      <c r="F59" s="577"/>
      <c r="G59" s="577"/>
      <c r="H59" s="585"/>
      <c r="I59" s="585"/>
      <c r="J59" s="585"/>
      <c r="K59" s="585"/>
      <c r="L59" s="585"/>
      <c r="M59" s="585"/>
    </row>
    <row r="60" spans="1:13" ht="12" customHeight="1">
      <c r="A60" s="561"/>
      <c r="B60" s="563" t="s">
        <v>131</v>
      </c>
      <c r="C60" s="47"/>
      <c r="D60" s="602" t="s">
        <v>441</v>
      </c>
      <c r="E60" s="569" t="s">
        <v>442</v>
      </c>
      <c r="F60" s="570"/>
      <c r="G60" s="571"/>
      <c r="H60" s="575" t="s">
        <v>443</v>
      </c>
      <c r="I60" s="575" t="s">
        <v>444</v>
      </c>
      <c r="J60" s="575" t="s">
        <v>445</v>
      </c>
      <c r="K60" s="575" t="s">
        <v>446</v>
      </c>
      <c r="L60" s="575" t="s">
        <v>447</v>
      </c>
      <c r="M60" s="575"/>
    </row>
    <row r="61" spans="1:13" ht="12" customHeight="1">
      <c r="A61" s="561"/>
      <c r="B61" s="564"/>
      <c r="C61" s="45"/>
      <c r="D61" s="596"/>
      <c r="E61" s="591"/>
      <c r="F61" s="592"/>
      <c r="G61" s="593"/>
      <c r="H61" s="584"/>
      <c r="I61" s="584"/>
      <c r="J61" s="584"/>
      <c r="K61" s="584"/>
      <c r="L61" s="584"/>
      <c r="M61" s="584"/>
    </row>
    <row r="62" spans="1:13" ht="18" customHeight="1">
      <c r="A62" s="561"/>
      <c r="B62" s="564"/>
      <c r="C62" s="45"/>
      <c r="D62" s="596"/>
      <c r="E62" s="575" t="s">
        <v>448</v>
      </c>
      <c r="F62" s="575" t="s">
        <v>449</v>
      </c>
      <c r="G62" s="575" t="s">
        <v>450</v>
      </c>
      <c r="H62" s="584"/>
      <c r="I62" s="584"/>
      <c r="J62" s="584"/>
      <c r="K62" s="584"/>
      <c r="L62" s="584"/>
      <c r="M62" s="584"/>
    </row>
    <row r="63" spans="1:13" ht="18" customHeight="1">
      <c r="A63" s="561"/>
      <c r="B63" s="564"/>
      <c r="C63" s="45" t="s">
        <v>451</v>
      </c>
      <c r="D63" s="596"/>
      <c r="E63" s="576"/>
      <c r="F63" s="576"/>
      <c r="G63" s="576"/>
      <c r="H63" s="584"/>
      <c r="I63" s="584"/>
      <c r="J63" s="584"/>
      <c r="K63" s="584"/>
      <c r="L63" s="584"/>
      <c r="M63" s="584"/>
    </row>
    <row r="64" spans="1:13" ht="18" customHeight="1">
      <c r="A64" s="561"/>
      <c r="B64" s="564"/>
      <c r="C64" s="45" t="s">
        <v>452</v>
      </c>
      <c r="D64" s="596"/>
      <c r="E64" s="576"/>
      <c r="F64" s="576"/>
      <c r="G64" s="576"/>
      <c r="H64" s="584"/>
      <c r="I64" s="584"/>
      <c r="J64" s="584"/>
      <c r="K64" s="584"/>
      <c r="L64" s="584"/>
      <c r="M64" s="584"/>
    </row>
    <row r="65" spans="1:13" ht="18" customHeight="1">
      <c r="A65" s="561"/>
      <c r="B65" s="564"/>
      <c r="C65" s="45"/>
      <c r="D65" s="596"/>
      <c r="E65" s="576"/>
      <c r="F65" s="576"/>
      <c r="G65" s="576"/>
      <c r="H65" s="584"/>
      <c r="I65" s="584"/>
      <c r="J65" s="584"/>
      <c r="K65" s="584"/>
      <c r="L65" s="584"/>
      <c r="M65" s="584"/>
    </row>
    <row r="66" spans="1:13" ht="18" customHeight="1">
      <c r="A66" s="561"/>
      <c r="B66" s="564"/>
      <c r="C66" s="45"/>
      <c r="D66" s="596"/>
      <c r="E66" s="576"/>
      <c r="F66" s="576"/>
      <c r="G66" s="576"/>
      <c r="H66" s="584"/>
      <c r="I66" s="584"/>
      <c r="J66" s="584"/>
      <c r="K66" s="584"/>
      <c r="L66" s="584"/>
      <c r="M66" s="584"/>
    </row>
    <row r="67" spans="1:13" ht="18" customHeight="1">
      <c r="A67" s="562"/>
      <c r="B67" s="565"/>
      <c r="C67" s="46"/>
      <c r="D67" s="597"/>
      <c r="E67" s="577"/>
      <c r="F67" s="577"/>
      <c r="G67" s="577"/>
      <c r="H67" s="585"/>
      <c r="I67" s="585"/>
      <c r="J67" s="585"/>
      <c r="K67" s="585"/>
      <c r="L67" s="585"/>
      <c r="M67" s="585"/>
    </row>
    <row r="68" spans="1:13" ht="14.45">
      <c r="B68" s="57"/>
      <c r="C68" s="51"/>
    </row>
    <row r="69" spans="1:13">
      <c r="E69" s="77"/>
    </row>
  </sheetData>
  <mergeCells count="98">
    <mergeCell ref="K60:K67"/>
    <mergeCell ref="L60:L67"/>
    <mergeCell ref="M60:M67"/>
    <mergeCell ref="E62:E67"/>
    <mergeCell ref="F62:F67"/>
    <mergeCell ref="G62:G67"/>
    <mergeCell ref="J60:J67"/>
    <mergeCell ref="B60:B67"/>
    <mergeCell ref="D60:D67"/>
    <mergeCell ref="E60:G61"/>
    <mergeCell ref="H60:H67"/>
    <mergeCell ref="I60:I67"/>
    <mergeCell ref="L44:L51"/>
    <mergeCell ref="M44:M51"/>
    <mergeCell ref="B52:B59"/>
    <mergeCell ref="D52:D59"/>
    <mergeCell ref="E52:G53"/>
    <mergeCell ref="H52:H59"/>
    <mergeCell ref="I52:I59"/>
    <mergeCell ref="K52:K59"/>
    <mergeCell ref="L52:L59"/>
    <mergeCell ref="M52:M59"/>
    <mergeCell ref="E54:E59"/>
    <mergeCell ref="F54:F59"/>
    <mergeCell ref="G54:G59"/>
    <mergeCell ref="J52:J59"/>
    <mergeCell ref="J36:J43"/>
    <mergeCell ref="K36:K43"/>
    <mergeCell ref="I44:I51"/>
    <mergeCell ref="J44:J51"/>
    <mergeCell ref="K44:K51"/>
    <mergeCell ref="F38:F43"/>
    <mergeCell ref="G38:G43"/>
    <mergeCell ref="I36:I43"/>
    <mergeCell ref="E46:E51"/>
    <mergeCell ref="F46:F51"/>
    <mergeCell ref="G46:G51"/>
    <mergeCell ref="J28:J35"/>
    <mergeCell ref="K28:K35"/>
    <mergeCell ref="L28:L35"/>
    <mergeCell ref="M28:M35"/>
    <mergeCell ref="A36:A67"/>
    <mergeCell ref="B36:B43"/>
    <mergeCell ref="D36:D43"/>
    <mergeCell ref="E36:G37"/>
    <mergeCell ref="H36:H43"/>
    <mergeCell ref="B44:B51"/>
    <mergeCell ref="D44:D51"/>
    <mergeCell ref="E44:G45"/>
    <mergeCell ref="H44:H51"/>
    <mergeCell ref="L36:L43"/>
    <mergeCell ref="M36:M43"/>
    <mergeCell ref="E38:E43"/>
    <mergeCell ref="M20:M27"/>
    <mergeCell ref="E22:E27"/>
    <mergeCell ref="F22:F27"/>
    <mergeCell ref="G22:G27"/>
    <mergeCell ref="I20:I27"/>
    <mergeCell ref="J20:J27"/>
    <mergeCell ref="K20:K27"/>
    <mergeCell ref="K4:K19"/>
    <mergeCell ref="L4:L11"/>
    <mergeCell ref="A20:A35"/>
    <mergeCell ref="B20:B27"/>
    <mergeCell ref="D20:D27"/>
    <mergeCell ref="E20:G21"/>
    <mergeCell ref="H20:H27"/>
    <mergeCell ref="B28:B35"/>
    <mergeCell ref="D28:D35"/>
    <mergeCell ref="E28:G29"/>
    <mergeCell ref="H28:H35"/>
    <mergeCell ref="L20:L27"/>
    <mergeCell ref="E30:E35"/>
    <mergeCell ref="F30:F35"/>
    <mergeCell ref="G30:G35"/>
    <mergeCell ref="I28:I35"/>
    <mergeCell ref="M4:M19"/>
    <mergeCell ref="E6:E11"/>
    <mergeCell ref="F6:F11"/>
    <mergeCell ref="G6:G11"/>
    <mergeCell ref="B2:B3"/>
    <mergeCell ref="E2:G2"/>
    <mergeCell ref="H2:M2"/>
    <mergeCell ref="I4:I19"/>
    <mergeCell ref="J4:J19"/>
    <mergeCell ref="B12:B19"/>
    <mergeCell ref="C12:C19"/>
    <mergeCell ref="D12:D19"/>
    <mergeCell ref="E12:G13"/>
    <mergeCell ref="L12:L19"/>
    <mergeCell ref="E14:E19"/>
    <mergeCell ref="F14:F19"/>
    <mergeCell ref="A4:A19"/>
    <mergeCell ref="B4:B11"/>
    <mergeCell ref="D4:D11"/>
    <mergeCell ref="E4:G5"/>
    <mergeCell ref="H4:H19"/>
    <mergeCell ref="G14:G19"/>
  </mergeCells>
  <phoneticPr fontId="2"/>
  <pageMargins left="0.78740157480314965" right="0.27559055118110237" top="0.98425196850393704" bottom="0.31496062992125984" header="0.78740157480314965" footer="0.39370078740157483"/>
  <pageSetup paperSize="8" scale="77" orientation="landscape" cellComments="asDisplayed" copies="3"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44"/>
  </sheetPr>
  <dimension ref="A1:N60"/>
  <sheetViews>
    <sheetView showGridLines="0" zoomScale="90" zoomScaleNormal="90" zoomScaleSheetLayoutView="100" workbookViewId="0">
      <pane ySplit="3" topLeftCell="A4" activePane="bottomLeft" state="frozen"/>
      <selection pane="bottomLeft" activeCell="E21" sqref="E21:G22"/>
      <selection activeCell="G31" sqref="G31:G36"/>
    </sheetView>
  </sheetViews>
  <sheetFormatPr defaultColWidth="6.42578125" defaultRowHeight="10.9"/>
  <cols>
    <col min="1" max="1" width="4.42578125" style="36" customWidth="1"/>
    <col min="2" max="2" width="4.28515625" style="36" customWidth="1"/>
    <col min="3" max="3" width="9.140625" style="49" customWidth="1"/>
    <col min="4" max="4" width="7.42578125" style="36" customWidth="1"/>
    <col min="5" max="6" width="30.7109375" style="36" customWidth="1"/>
    <col min="7" max="7" width="31.7109375" style="36" customWidth="1"/>
    <col min="8" max="13" width="17.28515625" style="36" customWidth="1"/>
    <col min="14" max="256" width="6.42578125" style="36"/>
    <col min="257" max="257" width="4.42578125" style="36" customWidth="1"/>
    <col min="258" max="258" width="4.28515625" style="36" customWidth="1"/>
    <col min="259" max="259" width="9.140625" style="36" customWidth="1"/>
    <col min="260" max="260" width="7.42578125" style="36" customWidth="1"/>
    <col min="261" max="262" width="30.7109375" style="36" customWidth="1"/>
    <col min="263" max="263" width="31.7109375" style="36" customWidth="1"/>
    <col min="264" max="269" width="17.28515625" style="36" customWidth="1"/>
    <col min="270" max="512" width="6.42578125" style="36"/>
    <col min="513" max="513" width="4.42578125" style="36" customWidth="1"/>
    <col min="514" max="514" width="4.28515625" style="36" customWidth="1"/>
    <col min="515" max="515" width="9.140625" style="36" customWidth="1"/>
    <col min="516" max="516" width="7.42578125" style="36" customWidth="1"/>
    <col min="517" max="518" width="30.7109375" style="36" customWidth="1"/>
    <col min="519" max="519" width="31.7109375" style="36" customWidth="1"/>
    <col min="520" max="525" width="17.28515625" style="36" customWidth="1"/>
    <col min="526" max="768" width="6.42578125" style="36"/>
    <col min="769" max="769" width="4.42578125" style="36" customWidth="1"/>
    <col min="770" max="770" width="4.28515625" style="36" customWidth="1"/>
    <col min="771" max="771" width="9.140625" style="36" customWidth="1"/>
    <col min="772" max="772" width="7.42578125" style="36" customWidth="1"/>
    <col min="773" max="774" width="30.7109375" style="36" customWidth="1"/>
    <col min="775" max="775" width="31.7109375" style="36" customWidth="1"/>
    <col min="776" max="781" width="17.28515625" style="36" customWidth="1"/>
    <col min="782" max="1024" width="6.42578125" style="36"/>
    <col min="1025" max="1025" width="4.42578125" style="36" customWidth="1"/>
    <col min="1026" max="1026" width="4.28515625" style="36" customWidth="1"/>
    <col min="1027" max="1027" width="9.140625" style="36" customWidth="1"/>
    <col min="1028" max="1028" width="7.42578125" style="36" customWidth="1"/>
    <col min="1029" max="1030" width="30.7109375" style="36" customWidth="1"/>
    <col min="1031" max="1031" width="31.7109375" style="36" customWidth="1"/>
    <col min="1032" max="1037" width="17.28515625" style="36" customWidth="1"/>
    <col min="1038" max="1280" width="6.42578125" style="36"/>
    <col min="1281" max="1281" width="4.42578125" style="36" customWidth="1"/>
    <col min="1282" max="1282" width="4.28515625" style="36" customWidth="1"/>
    <col min="1283" max="1283" width="9.140625" style="36" customWidth="1"/>
    <col min="1284" max="1284" width="7.42578125" style="36" customWidth="1"/>
    <col min="1285" max="1286" width="30.7109375" style="36" customWidth="1"/>
    <col min="1287" max="1287" width="31.7109375" style="36" customWidth="1"/>
    <col min="1288" max="1293" width="17.28515625" style="36" customWidth="1"/>
    <col min="1294" max="1536" width="6.42578125" style="36"/>
    <col min="1537" max="1537" width="4.42578125" style="36" customWidth="1"/>
    <col min="1538" max="1538" width="4.28515625" style="36" customWidth="1"/>
    <col min="1539" max="1539" width="9.140625" style="36" customWidth="1"/>
    <col min="1540" max="1540" width="7.42578125" style="36" customWidth="1"/>
    <col min="1541" max="1542" width="30.7109375" style="36" customWidth="1"/>
    <col min="1543" max="1543" width="31.7109375" style="36" customWidth="1"/>
    <col min="1544" max="1549" width="17.28515625" style="36" customWidth="1"/>
    <col min="1550" max="1792" width="6.42578125" style="36"/>
    <col min="1793" max="1793" width="4.42578125" style="36" customWidth="1"/>
    <col min="1794" max="1794" width="4.28515625" style="36" customWidth="1"/>
    <col min="1795" max="1795" width="9.140625" style="36" customWidth="1"/>
    <col min="1796" max="1796" width="7.42578125" style="36" customWidth="1"/>
    <col min="1797" max="1798" width="30.7109375" style="36" customWidth="1"/>
    <col min="1799" max="1799" width="31.7109375" style="36" customWidth="1"/>
    <col min="1800" max="1805" width="17.28515625" style="36" customWidth="1"/>
    <col min="1806" max="2048" width="6.42578125" style="36"/>
    <col min="2049" max="2049" width="4.42578125" style="36" customWidth="1"/>
    <col min="2050" max="2050" width="4.28515625" style="36" customWidth="1"/>
    <col min="2051" max="2051" width="9.140625" style="36" customWidth="1"/>
    <col min="2052" max="2052" width="7.42578125" style="36" customWidth="1"/>
    <col min="2053" max="2054" width="30.7109375" style="36" customWidth="1"/>
    <col min="2055" max="2055" width="31.7109375" style="36" customWidth="1"/>
    <col min="2056" max="2061" width="17.28515625" style="36" customWidth="1"/>
    <col min="2062" max="2304" width="6.42578125" style="36"/>
    <col min="2305" max="2305" width="4.42578125" style="36" customWidth="1"/>
    <col min="2306" max="2306" width="4.28515625" style="36" customWidth="1"/>
    <col min="2307" max="2307" width="9.140625" style="36" customWidth="1"/>
    <col min="2308" max="2308" width="7.42578125" style="36" customWidth="1"/>
    <col min="2309" max="2310" width="30.7109375" style="36" customWidth="1"/>
    <col min="2311" max="2311" width="31.7109375" style="36" customWidth="1"/>
    <col min="2312" max="2317" width="17.28515625" style="36" customWidth="1"/>
    <col min="2318" max="2560" width="6.42578125" style="36"/>
    <col min="2561" max="2561" width="4.42578125" style="36" customWidth="1"/>
    <col min="2562" max="2562" width="4.28515625" style="36" customWidth="1"/>
    <col min="2563" max="2563" width="9.140625" style="36" customWidth="1"/>
    <col min="2564" max="2564" width="7.42578125" style="36" customWidth="1"/>
    <col min="2565" max="2566" width="30.7109375" style="36" customWidth="1"/>
    <col min="2567" max="2567" width="31.7109375" style="36" customWidth="1"/>
    <col min="2568" max="2573" width="17.28515625" style="36" customWidth="1"/>
    <col min="2574" max="2816" width="6.42578125" style="36"/>
    <col min="2817" max="2817" width="4.42578125" style="36" customWidth="1"/>
    <col min="2818" max="2818" width="4.28515625" style="36" customWidth="1"/>
    <col min="2819" max="2819" width="9.140625" style="36" customWidth="1"/>
    <col min="2820" max="2820" width="7.42578125" style="36" customWidth="1"/>
    <col min="2821" max="2822" width="30.7109375" style="36" customWidth="1"/>
    <col min="2823" max="2823" width="31.7109375" style="36" customWidth="1"/>
    <col min="2824" max="2829" width="17.28515625" style="36" customWidth="1"/>
    <col min="2830" max="3072" width="6.42578125" style="36"/>
    <col min="3073" max="3073" width="4.42578125" style="36" customWidth="1"/>
    <col min="3074" max="3074" width="4.28515625" style="36" customWidth="1"/>
    <col min="3075" max="3075" width="9.140625" style="36" customWidth="1"/>
    <col min="3076" max="3076" width="7.42578125" style="36" customWidth="1"/>
    <col min="3077" max="3078" width="30.7109375" style="36" customWidth="1"/>
    <col min="3079" max="3079" width="31.7109375" style="36" customWidth="1"/>
    <col min="3080" max="3085" width="17.28515625" style="36" customWidth="1"/>
    <col min="3086" max="3328" width="6.42578125" style="36"/>
    <col min="3329" max="3329" width="4.42578125" style="36" customWidth="1"/>
    <col min="3330" max="3330" width="4.28515625" style="36" customWidth="1"/>
    <col min="3331" max="3331" width="9.140625" style="36" customWidth="1"/>
    <col min="3332" max="3332" width="7.42578125" style="36" customWidth="1"/>
    <col min="3333" max="3334" width="30.7109375" style="36" customWidth="1"/>
    <col min="3335" max="3335" width="31.7109375" style="36" customWidth="1"/>
    <col min="3336" max="3341" width="17.28515625" style="36" customWidth="1"/>
    <col min="3342" max="3584" width="6.42578125" style="36"/>
    <col min="3585" max="3585" width="4.42578125" style="36" customWidth="1"/>
    <col min="3586" max="3586" width="4.28515625" style="36" customWidth="1"/>
    <col min="3587" max="3587" width="9.140625" style="36" customWidth="1"/>
    <col min="3588" max="3588" width="7.42578125" style="36" customWidth="1"/>
    <col min="3589" max="3590" width="30.7109375" style="36" customWidth="1"/>
    <col min="3591" max="3591" width="31.7109375" style="36" customWidth="1"/>
    <col min="3592" max="3597" width="17.28515625" style="36" customWidth="1"/>
    <col min="3598" max="3840" width="6.42578125" style="36"/>
    <col min="3841" max="3841" width="4.42578125" style="36" customWidth="1"/>
    <col min="3842" max="3842" width="4.28515625" style="36" customWidth="1"/>
    <col min="3843" max="3843" width="9.140625" style="36" customWidth="1"/>
    <col min="3844" max="3844" width="7.42578125" style="36" customWidth="1"/>
    <col min="3845" max="3846" width="30.7109375" style="36" customWidth="1"/>
    <col min="3847" max="3847" width="31.7109375" style="36" customWidth="1"/>
    <col min="3848" max="3853" width="17.28515625" style="36" customWidth="1"/>
    <col min="3854" max="4096" width="6.42578125" style="36"/>
    <col min="4097" max="4097" width="4.42578125" style="36" customWidth="1"/>
    <col min="4098" max="4098" width="4.28515625" style="36" customWidth="1"/>
    <col min="4099" max="4099" width="9.140625" style="36" customWidth="1"/>
    <col min="4100" max="4100" width="7.42578125" style="36" customWidth="1"/>
    <col min="4101" max="4102" width="30.7109375" style="36" customWidth="1"/>
    <col min="4103" max="4103" width="31.7109375" style="36" customWidth="1"/>
    <col min="4104" max="4109" width="17.28515625" style="36" customWidth="1"/>
    <col min="4110" max="4352" width="6.42578125" style="36"/>
    <col min="4353" max="4353" width="4.42578125" style="36" customWidth="1"/>
    <col min="4354" max="4354" width="4.28515625" style="36" customWidth="1"/>
    <col min="4355" max="4355" width="9.140625" style="36" customWidth="1"/>
    <col min="4356" max="4356" width="7.42578125" style="36" customWidth="1"/>
    <col min="4357" max="4358" width="30.7109375" style="36" customWidth="1"/>
    <col min="4359" max="4359" width="31.7109375" style="36" customWidth="1"/>
    <col min="4360" max="4365" width="17.28515625" style="36" customWidth="1"/>
    <col min="4366" max="4608" width="6.42578125" style="36"/>
    <col min="4609" max="4609" width="4.42578125" style="36" customWidth="1"/>
    <col min="4610" max="4610" width="4.28515625" style="36" customWidth="1"/>
    <col min="4611" max="4611" width="9.140625" style="36" customWidth="1"/>
    <col min="4612" max="4612" width="7.42578125" style="36" customWidth="1"/>
    <col min="4613" max="4614" width="30.7109375" style="36" customWidth="1"/>
    <col min="4615" max="4615" width="31.7109375" style="36" customWidth="1"/>
    <col min="4616" max="4621" width="17.28515625" style="36" customWidth="1"/>
    <col min="4622" max="4864" width="6.42578125" style="36"/>
    <col min="4865" max="4865" width="4.42578125" style="36" customWidth="1"/>
    <col min="4866" max="4866" width="4.28515625" style="36" customWidth="1"/>
    <col min="4867" max="4867" width="9.140625" style="36" customWidth="1"/>
    <col min="4868" max="4868" width="7.42578125" style="36" customWidth="1"/>
    <col min="4869" max="4870" width="30.7109375" style="36" customWidth="1"/>
    <col min="4871" max="4871" width="31.7109375" style="36" customWidth="1"/>
    <col min="4872" max="4877" width="17.28515625" style="36" customWidth="1"/>
    <col min="4878" max="5120" width="6.42578125" style="36"/>
    <col min="5121" max="5121" width="4.42578125" style="36" customWidth="1"/>
    <col min="5122" max="5122" width="4.28515625" style="36" customWidth="1"/>
    <col min="5123" max="5123" width="9.140625" style="36" customWidth="1"/>
    <col min="5124" max="5124" width="7.42578125" style="36" customWidth="1"/>
    <col min="5125" max="5126" width="30.7109375" style="36" customWidth="1"/>
    <col min="5127" max="5127" width="31.7109375" style="36" customWidth="1"/>
    <col min="5128" max="5133" width="17.28515625" style="36" customWidth="1"/>
    <col min="5134" max="5376" width="6.42578125" style="36"/>
    <col min="5377" max="5377" width="4.42578125" style="36" customWidth="1"/>
    <col min="5378" max="5378" width="4.28515625" style="36" customWidth="1"/>
    <col min="5379" max="5379" width="9.140625" style="36" customWidth="1"/>
    <col min="5380" max="5380" width="7.42578125" style="36" customWidth="1"/>
    <col min="5381" max="5382" width="30.7109375" style="36" customWidth="1"/>
    <col min="5383" max="5383" width="31.7109375" style="36" customWidth="1"/>
    <col min="5384" max="5389" width="17.28515625" style="36" customWidth="1"/>
    <col min="5390" max="5632" width="6.42578125" style="36"/>
    <col min="5633" max="5633" width="4.42578125" style="36" customWidth="1"/>
    <col min="5634" max="5634" width="4.28515625" style="36" customWidth="1"/>
    <col min="5635" max="5635" width="9.140625" style="36" customWidth="1"/>
    <col min="5636" max="5636" width="7.42578125" style="36" customWidth="1"/>
    <col min="5637" max="5638" width="30.7109375" style="36" customWidth="1"/>
    <col min="5639" max="5639" width="31.7109375" style="36" customWidth="1"/>
    <col min="5640" max="5645" width="17.28515625" style="36" customWidth="1"/>
    <col min="5646" max="5888" width="6.42578125" style="36"/>
    <col min="5889" max="5889" width="4.42578125" style="36" customWidth="1"/>
    <col min="5890" max="5890" width="4.28515625" style="36" customWidth="1"/>
    <col min="5891" max="5891" width="9.140625" style="36" customWidth="1"/>
    <col min="5892" max="5892" width="7.42578125" style="36" customWidth="1"/>
    <col min="5893" max="5894" width="30.7109375" style="36" customWidth="1"/>
    <col min="5895" max="5895" width="31.7109375" style="36" customWidth="1"/>
    <col min="5896" max="5901" width="17.28515625" style="36" customWidth="1"/>
    <col min="5902" max="6144" width="6.42578125" style="36"/>
    <col min="6145" max="6145" width="4.42578125" style="36" customWidth="1"/>
    <col min="6146" max="6146" width="4.28515625" style="36" customWidth="1"/>
    <col min="6147" max="6147" width="9.140625" style="36" customWidth="1"/>
    <col min="6148" max="6148" width="7.42578125" style="36" customWidth="1"/>
    <col min="6149" max="6150" width="30.7109375" style="36" customWidth="1"/>
    <col min="6151" max="6151" width="31.7109375" style="36" customWidth="1"/>
    <col min="6152" max="6157" width="17.28515625" style="36" customWidth="1"/>
    <col min="6158" max="6400" width="6.42578125" style="36"/>
    <col min="6401" max="6401" width="4.42578125" style="36" customWidth="1"/>
    <col min="6402" max="6402" width="4.28515625" style="36" customWidth="1"/>
    <col min="6403" max="6403" width="9.140625" style="36" customWidth="1"/>
    <col min="6404" max="6404" width="7.42578125" style="36" customWidth="1"/>
    <col min="6405" max="6406" width="30.7109375" style="36" customWidth="1"/>
    <col min="6407" max="6407" width="31.7109375" style="36" customWidth="1"/>
    <col min="6408" max="6413" width="17.28515625" style="36" customWidth="1"/>
    <col min="6414" max="6656" width="6.42578125" style="36"/>
    <col min="6657" max="6657" width="4.42578125" style="36" customWidth="1"/>
    <col min="6658" max="6658" width="4.28515625" style="36" customWidth="1"/>
    <col min="6659" max="6659" width="9.140625" style="36" customWidth="1"/>
    <col min="6660" max="6660" width="7.42578125" style="36" customWidth="1"/>
    <col min="6661" max="6662" width="30.7109375" style="36" customWidth="1"/>
    <col min="6663" max="6663" width="31.7109375" style="36" customWidth="1"/>
    <col min="6664" max="6669" width="17.28515625" style="36" customWidth="1"/>
    <col min="6670" max="6912" width="6.42578125" style="36"/>
    <col min="6913" max="6913" width="4.42578125" style="36" customWidth="1"/>
    <col min="6914" max="6914" width="4.28515625" style="36" customWidth="1"/>
    <col min="6915" max="6915" width="9.140625" style="36" customWidth="1"/>
    <col min="6916" max="6916" width="7.42578125" style="36" customWidth="1"/>
    <col min="6917" max="6918" width="30.7109375" style="36" customWidth="1"/>
    <col min="6919" max="6919" width="31.7109375" style="36" customWidth="1"/>
    <col min="6920" max="6925" width="17.28515625" style="36" customWidth="1"/>
    <col min="6926" max="7168" width="6.42578125" style="36"/>
    <col min="7169" max="7169" width="4.42578125" style="36" customWidth="1"/>
    <col min="7170" max="7170" width="4.28515625" style="36" customWidth="1"/>
    <col min="7171" max="7171" width="9.140625" style="36" customWidth="1"/>
    <col min="7172" max="7172" width="7.42578125" style="36" customWidth="1"/>
    <col min="7173" max="7174" width="30.7109375" style="36" customWidth="1"/>
    <col min="7175" max="7175" width="31.7109375" style="36" customWidth="1"/>
    <col min="7176" max="7181" width="17.28515625" style="36" customWidth="1"/>
    <col min="7182" max="7424" width="6.42578125" style="36"/>
    <col min="7425" max="7425" width="4.42578125" style="36" customWidth="1"/>
    <col min="7426" max="7426" width="4.28515625" style="36" customWidth="1"/>
    <col min="7427" max="7427" width="9.140625" style="36" customWidth="1"/>
    <col min="7428" max="7428" width="7.42578125" style="36" customWidth="1"/>
    <col min="7429" max="7430" width="30.7109375" style="36" customWidth="1"/>
    <col min="7431" max="7431" width="31.7109375" style="36" customWidth="1"/>
    <col min="7432" max="7437" width="17.28515625" style="36" customWidth="1"/>
    <col min="7438" max="7680" width="6.42578125" style="36"/>
    <col min="7681" max="7681" width="4.42578125" style="36" customWidth="1"/>
    <col min="7682" max="7682" width="4.28515625" style="36" customWidth="1"/>
    <col min="7683" max="7683" width="9.140625" style="36" customWidth="1"/>
    <col min="7684" max="7684" width="7.42578125" style="36" customWidth="1"/>
    <col min="7685" max="7686" width="30.7109375" style="36" customWidth="1"/>
    <col min="7687" max="7687" width="31.7109375" style="36" customWidth="1"/>
    <col min="7688" max="7693" width="17.28515625" style="36" customWidth="1"/>
    <col min="7694" max="7936" width="6.42578125" style="36"/>
    <col min="7937" max="7937" width="4.42578125" style="36" customWidth="1"/>
    <col min="7938" max="7938" width="4.28515625" style="36" customWidth="1"/>
    <col min="7939" max="7939" width="9.140625" style="36" customWidth="1"/>
    <col min="7940" max="7940" width="7.42578125" style="36" customWidth="1"/>
    <col min="7941" max="7942" width="30.7109375" style="36" customWidth="1"/>
    <col min="7943" max="7943" width="31.7109375" style="36" customWidth="1"/>
    <col min="7944" max="7949" width="17.28515625" style="36" customWidth="1"/>
    <col min="7950" max="8192" width="6.42578125" style="36"/>
    <col min="8193" max="8193" width="4.42578125" style="36" customWidth="1"/>
    <col min="8194" max="8194" width="4.28515625" style="36" customWidth="1"/>
    <col min="8195" max="8195" width="9.140625" style="36" customWidth="1"/>
    <col min="8196" max="8196" width="7.42578125" style="36" customWidth="1"/>
    <col min="8197" max="8198" width="30.7109375" style="36" customWidth="1"/>
    <col min="8199" max="8199" width="31.7109375" style="36" customWidth="1"/>
    <col min="8200" max="8205" width="17.28515625" style="36" customWidth="1"/>
    <col min="8206" max="8448" width="6.42578125" style="36"/>
    <col min="8449" max="8449" width="4.42578125" style="36" customWidth="1"/>
    <col min="8450" max="8450" width="4.28515625" style="36" customWidth="1"/>
    <col min="8451" max="8451" width="9.140625" style="36" customWidth="1"/>
    <col min="8452" max="8452" width="7.42578125" style="36" customWidth="1"/>
    <col min="8453" max="8454" width="30.7109375" style="36" customWidth="1"/>
    <col min="8455" max="8455" width="31.7109375" style="36" customWidth="1"/>
    <col min="8456" max="8461" width="17.28515625" style="36" customWidth="1"/>
    <col min="8462" max="8704" width="6.42578125" style="36"/>
    <col min="8705" max="8705" width="4.42578125" style="36" customWidth="1"/>
    <col min="8706" max="8706" width="4.28515625" style="36" customWidth="1"/>
    <col min="8707" max="8707" width="9.140625" style="36" customWidth="1"/>
    <col min="8708" max="8708" width="7.42578125" style="36" customWidth="1"/>
    <col min="8709" max="8710" width="30.7109375" style="36" customWidth="1"/>
    <col min="8711" max="8711" width="31.7109375" style="36" customWidth="1"/>
    <col min="8712" max="8717" width="17.28515625" style="36" customWidth="1"/>
    <col min="8718" max="8960" width="6.42578125" style="36"/>
    <col min="8961" max="8961" width="4.42578125" style="36" customWidth="1"/>
    <col min="8962" max="8962" width="4.28515625" style="36" customWidth="1"/>
    <col min="8963" max="8963" width="9.140625" style="36" customWidth="1"/>
    <col min="8964" max="8964" width="7.42578125" style="36" customWidth="1"/>
    <col min="8965" max="8966" width="30.7109375" style="36" customWidth="1"/>
    <col min="8967" max="8967" width="31.7109375" style="36" customWidth="1"/>
    <col min="8968" max="8973" width="17.28515625" style="36" customWidth="1"/>
    <col min="8974" max="9216" width="6.42578125" style="36"/>
    <col min="9217" max="9217" width="4.42578125" style="36" customWidth="1"/>
    <col min="9218" max="9218" width="4.28515625" style="36" customWidth="1"/>
    <col min="9219" max="9219" width="9.140625" style="36" customWidth="1"/>
    <col min="9220" max="9220" width="7.42578125" style="36" customWidth="1"/>
    <col min="9221" max="9222" width="30.7109375" style="36" customWidth="1"/>
    <col min="9223" max="9223" width="31.7109375" style="36" customWidth="1"/>
    <col min="9224" max="9229" width="17.28515625" style="36" customWidth="1"/>
    <col min="9230" max="9472" width="6.42578125" style="36"/>
    <col min="9473" max="9473" width="4.42578125" style="36" customWidth="1"/>
    <col min="9474" max="9474" width="4.28515625" style="36" customWidth="1"/>
    <col min="9475" max="9475" width="9.140625" style="36" customWidth="1"/>
    <col min="9476" max="9476" width="7.42578125" style="36" customWidth="1"/>
    <col min="9477" max="9478" width="30.7109375" style="36" customWidth="1"/>
    <col min="9479" max="9479" width="31.7109375" style="36" customWidth="1"/>
    <col min="9480" max="9485" width="17.28515625" style="36" customWidth="1"/>
    <col min="9486" max="9728" width="6.42578125" style="36"/>
    <col min="9729" max="9729" width="4.42578125" style="36" customWidth="1"/>
    <col min="9730" max="9730" width="4.28515625" style="36" customWidth="1"/>
    <col min="9731" max="9731" width="9.140625" style="36" customWidth="1"/>
    <col min="9732" max="9732" width="7.42578125" style="36" customWidth="1"/>
    <col min="9733" max="9734" width="30.7109375" style="36" customWidth="1"/>
    <col min="9735" max="9735" width="31.7109375" style="36" customWidth="1"/>
    <col min="9736" max="9741" width="17.28515625" style="36" customWidth="1"/>
    <col min="9742" max="9984" width="6.42578125" style="36"/>
    <col min="9985" max="9985" width="4.42578125" style="36" customWidth="1"/>
    <col min="9986" max="9986" width="4.28515625" style="36" customWidth="1"/>
    <col min="9987" max="9987" width="9.140625" style="36" customWidth="1"/>
    <col min="9988" max="9988" width="7.42578125" style="36" customWidth="1"/>
    <col min="9989" max="9990" width="30.7109375" style="36" customWidth="1"/>
    <col min="9991" max="9991" width="31.7109375" style="36" customWidth="1"/>
    <col min="9992" max="9997" width="17.28515625" style="36" customWidth="1"/>
    <col min="9998" max="10240" width="6.42578125" style="36"/>
    <col min="10241" max="10241" width="4.42578125" style="36" customWidth="1"/>
    <col min="10242" max="10242" width="4.28515625" style="36" customWidth="1"/>
    <col min="10243" max="10243" width="9.140625" style="36" customWidth="1"/>
    <col min="10244" max="10244" width="7.42578125" style="36" customWidth="1"/>
    <col min="10245" max="10246" width="30.7109375" style="36" customWidth="1"/>
    <col min="10247" max="10247" width="31.7109375" style="36" customWidth="1"/>
    <col min="10248" max="10253" width="17.28515625" style="36" customWidth="1"/>
    <col min="10254" max="10496" width="6.42578125" style="36"/>
    <col min="10497" max="10497" width="4.42578125" style="36" customWidth="1"/>
    <col min="10498" max="10498" width="4.28515625" style="36" customWidth="1"/>
    <col min="10499" max="10499" width="9.140625" style="36" customWidth="1"/>
    <col min="10500" max="10500" width="7.42578125" style="36" customWidth="1"/>
    <col min="10501" max="10502" width="30.7109375" style="36" customWidth="1"/>
    <col min="10503" max="10503" width="31.7109375" style="36" customWidth="1"/>
    <col min="10504" max="10509" width="17.28515625" style="36" customWidth="1"/>
    <col min="10510" max="10752" width="6.42578125" style="36"/>
    <col min="10753" max="10753" width="4.42578125" style="36" customWidth="1"/>
    <col min="10754" max="10754" width="4.28515625" style="36" customWidth="1"/>
    <col min="10755" max="10755" width="9.140625" style="36" customWidth="1"/>
    <col min="10756" max="10756" width="7.42578125" style="36" customWidth="1"/>
    <col min="10757" max="10758" width="30.7109375" style="36" customWidth="1"/>
    <col min="10759" max="10759" width="31.7109375" style="36" customWidth="1"/>
    <col min="10760" max="10765" width="17.28515625" style="36" customWidth="1"/>
    <col min="10766" max="11008" width="6.42578125" style="36"/>
    <col min="11009" max="11009" width="4.42578125" style="36" customWidth="1"/>
    <col min="11010" max="11010" width="4.28515625" style="36" customWidth="1"/>
    <col min="11011" max="11011" width="9.140625" style="36" customWidth="1"/>
    <col min="11012" max="11012" width="7.42578125" style="36" customWidth="1"/>
    <col min="11013" max="11014" width="30.7109375" style="36" customWidth="1"/>
    <col min="11015" max="11015" width="31.7109375" style="36" customWidth="1"/>
    <col min="11016" max="11021" width="17.28515625" style="36" customWidth="1"/>
    <col min="11022" max="11264" width="6.42578125" style="36"/>
    <col min="11265" max="11265" width="4.42578125" style="36" customWidth="1"/>
    <col min="11266" max="11266" width="4.28515625" style="36" customWidth="1"/>
    <col min="11267" max="11267" width="9.140625" style="36" customWidth="1"/>
    <col min="11268" max="11268" width="7.42578125" style="36" customWidth="1"/>
    <col min="11269" max="11270" width="30.7109375" style="36" customWidth="1"/>
    <col min="11271" max="11271" width="31.7109375" style="36" customWidth="1"/>
    <col min="11272" max="11277" width="17.28515625" style="36" customWidth="1"/>
    <col min="11278" max="11520" width="6.42578125" style="36"/>
    <col min="11521" max="11521" width="4.42578125" style="36" customWidth="1"/>
    <col min="11522" max="11522" width="4.28515625" style="36" customWidth="1"/>
    <col min="11523" max="11523" width="9.140625" style="36" customWidth="1"/>
    <col min="11524" max="11524" width="7.42578125" style="36" customWidth="1"/>
    <col min="11525" max="11526" width="30.7109375" style="36" customWidth="1"/>
    <col min="11527" max="11527" width="31.7109375" style="36" customWidth="1"/>
    <col min="11528" max="11533" width="17.28515625" style="36" customWidth="1"/>
    <col min="11534" max="11776" width="6.42578125" style="36"/>
    <col min="11777" max="11777" width="4.42578125" style="36" customWidth="1"/>
    <col min="11778" max="11778" width="4.28515625" style="36" customWidth="1"/>
    <col min="11779" max="11779" width="9.140625" style="36" customWidth="1"/>
    <col min="11780" max="11780" width="7.42578125" style="36" customWidth="1"/>
    <col min="11781" max="11782" width="30.7109375" style="36" customWidth="1"/>
    <col min="11783" max="11783" width="31.7109375" style="36" customWidth="1"/>
    <col min="11784" max="11789" width="17.28515625" style="36" customWidth="1"/>
    <col min="11790" max="12032" width="6.42578125" style="36"/>
    <col min="12033" max="12033" width="4.42578125" style="36" customWidth="1"/>
    <col min="12034" max="12034" width="4.28515625" style="36" customWidth="1"/>
    <col min="12035" max="12035" width="9.140625" style="36" customWidth="1"/>
    <col min="12036" max="12036" width="7.42578125" style="36" customWidth="1"/>
    <col min="12037" max="12038" width="30.7109375" style="36" customWidth="1"/>
    <col min="12039" max="12039" width="31.7109375" style="36" customWidth="1"/>
    <col min="12040" max="12045" width="17.28515625" style="36" customWidth="1"/>
    <col min="12046" max="12288" width="6.42578125" style="36"/>
    <col min="12289" max="12289" width="4.42578125" style="36" customWidth="1"/>
    <col min="12290" max="12290" width="4.28515625" style="36" customWidth="1"/>
    <col min="12291" max="12291" width="9.140625" style="36" customWidth="1"/>
    <col min="12292" max="12292" width="7.42578125" style="36" customWidth="1"/>
    <col min="12293" max="12294" width="30.7109375" style="36" customWidth="1"/>
    <col min="12295" max="12295" width="31.7109375" style="36" customWidth="1"/>
    <col min="12296" max="12301" width="17.28515625" style="36" customWidth="1"/>
    <col min="12302" max="12544" width="6.42578125" style="36"/>
    <col min="12545" max="12545" width="4.42578125" style="36" customWidth="1"/>
    <col min="12546" max="12546" width="4.28515625" style="36" customWidth="1"/>
    <col min="12547" max="12547" width="9.140625" style="36" customWidth="1"/>
    <col min="12548" max="12548" width="7.42578125" style="36" customWidth="1"/>
    <col min="12549" max="12550" width="30.7109375" style="36" customWidth="1"/>
    <col min="12551" max="12551" width="31.7109375" style="36" customWidth="1"/>
    <col min="12552" max="12557" width="17.28515625" style="36" customWidth="1"/>
    <col min="12558" max="12800" width="6.42578125" style="36"/>
    <col min="12801" max="12801" width="4.42578125" style="36" customWidth="1"/>
    <col min="12802" max="12802" width="4.28515625" style="36" customWidth="1"/>
    <col min="12803" max="12803" width="9.140625" style="36" customWidth="1"/>
    <col min="12804" max="12804" width="7.42578125" style="36" customWidth="1"/>
    <col min="12805" max="12806" width="30.7109375" style="36" customWidth="1"/>
    <col min="12807" max="12807" width="31.7109375" style="36" customWidth="1"/>
    <col min="12808" max="12813" width="17.28515625" style="36" customWidth="1"/>
    <col min="12814" max="13056" width="6.42578125" style="36"/>
    <col min="13057" max="13057" width="4.42578125" style="36" customWidth="1"/>
    <col min="13058" max="13058" width="4.28515625" style="36" customWidth="1"/>
    <col min="13059" max="13059" width="9.140625" style="36" customWidth="1"/>
    <col min="13060" max="13060" width="7.42578125" style="36" customWidth="1"/>
    <col min="13061" max="13062" width="30.7109375" style="36" customWidth="1"/>
    <col min="13063" max="13063" width="31.7109375" style="36" customWidth="1"/>
    <col min="13064" max="13069" width="17.28515625" style="36" customWidth="1"/>
    <col min="13070" max="13312" width="6.42578125" style="36"/>
    <col min="13313" max="13313" width="4.42578125" style="36" customWidth="1"/>
    <col min="13314" max="13314" width="4.28515625" style="36" customWidth="1"/>
    <col min="13315" max="13315" width="9.140625" style="36" customWidth="1"/>
    <col min="13316" max="13316" width="7.42578125" style="36" customWidth="1"/>
    <col min="13317" max="13318" width="30.7109375" style="36" customWidth="1"/>
    <col min="13319" max="13319" width="31.7109375" style="36" customWidth="1"/>
    <col min="13320" max="13325" width="17.28515625" style="36" customWidth="1"/>
    <col min="13326" max="13568" width="6.42578125" style="36"/>
    <col min="13569" max="13569" width="4.42578125" style="36" customWidth="1"/>
    <col min="13570" max="13570" width="4.28515625" style="36" customWidth="1"/>
    <col min="13571" max="13571" width="9.140625" style="36" customWidth="1"/>
    <col min="13572" max="13572" width="7.42578125" style="36" customWidth="1"/>
    <col min="13573" max="13574" width="30.7109375" style="36" customWidth="1"/>
    <col min="13575" max="13575" width="31.7109375" style="36" customWidth="1"/>
    <col min="13576" max="13581" width="17.28515625" style="36" customWidth="1"/>
    <col min="13582" max="13824" width="6.42578125" style="36"/>
    <col min="13825" max="13825" width="4.42578125" style="36" customWidth="1"/>
    <col min="13826" max="13826" width="4.28515625" style="36" customWidth="1"/>
    <col min="13827" max="13827" width="9.140625" style="36" customWidth="1"/>
    <col min="13828" max="13828" width="7.42578125" style="36" customWidth="1"/>
    <col min="13829" max="13830" width="30.7109375" style="36" customWidth="1"/>
    <col min="13831" max="13831" width="31.7109375" style="36" customWidth="1"/>
    <col min="13832" max="13837" width="17.28515625" style="36" customWidth="1"/>
    <col min="13838" max="14080" width="6.42578125" style="36"/>
    <col min="14081" max="14081" width="4.42578125" style="36" customWidth="1"/>
    <col min="14082" max="14082" width="4.28515625" style="36" customWidth="1"/>
    <col min="14083" max="14083" width="9.140625" style="36" customWidth="1"/>
    <col min="14084" max="14084" width="7.42578125" style="36" customWidth="1"/>
    <col min="14085" max="14086" width="30.7109375" style="36" customWidth="1"/>
    <col min="14087" max="14087" width="31.7109375" style="36" customWidth="1"/>
    <col min="14088" max="14093" width="17.28515625" style="36" customWidth="1"/>
    <col min="14094" max="14336" width="6.42578125" style="36"/>
    <col min="14337" max="14337" width="4.42578125" style="36" customWidth="1"/>
    <col min="14338" max="14338" width="4.28515625" style="36" customWidth="1"/>
    <col min="14339" max="14339" width="9.140625" style="36" customWidth="1"/>
    <col min="14340" max="14340" width="7.42578125" style="36" customWidth="1"/>
    <col min="14341" max="14342" width="30.7109375" style="36" customWidth="1"/>
    <col min="14343" max="14343" width="31.7109375" style="36" customWidth="1"/>
    <col min="14344" max="14349" width="17.28515625" style="36" customWidth="1"/>
    <col min="14350" max="14592" width="6.42578125" style="36"/>
    <col min="14593" max="14593" width="4.42578125" style="36" customWidth="1"/>
    <col min="14594" max="14594" width="4.28515625" style="36" customWidth="1"/>
    <col min="14595" max="14595" width="9.140625" style="36" customWidth="1"/>
    <col min="14596" max="14596" width="7.42578125" style="36" customWidth="1"/>
    <col min="14597" max="14598" width="30.7109375" style="36" customWidth="1"/>
    <col min="14599" max="14599" width="31.7109375" style="36" customWidth="1"/>
    <col min="14600" max="14605" width="17.28515625" style="36" customWidth="1"/>
    <col min="14606" max="14848" width="6.42578125" style="36"/>
    <col min="14849" max="14849" width="4.42578125" style="36" customWidth="1"/>
    <col min="14850" max="14850" width="4.28515625" style="36" customWidth="1"/>
    <col min="14851" max="14851" width="9.140625" style="36" customWidth="1"/>
    <col min="14852" max="14852" width="7.42578125" style="36" customWidth="1"/>
    <col min="14853" max="14854" width="30.7109375" style="36" customWidth="1"/>
    <col min="14855" max="14855" width="31.7109375" style="36" customWidth="1"/>
    <col min="14856" max="14861" width="17.28515625" style="36" customWidth="1"/>
    <col min="14862" max="15104" width="6.42578125" style="36"/>
    <col min="15105" max="15105" width="4.42578125" style="36" customWidth="1"/>
    <col min="15106" max="15106" width="4.28515625" style="36" customWidth="1"/>
    <col min="15107" max="15107" width="9.140625" style="36" customWidth="1"/>
    <col min="15108" max="15108" width="7.42578125" style="36" customWidth="1"/>
    <col min="15109" max="15110" width="30.7109375" style="36" customWidth="1"/>
    <col min="15111" max="15111" width="31.7109375" style="36" customWidth="1"/>
    <col min="15112" max="15117" width="17.28515625" style="36" customWidth="1"/>
    <col min="15118" max="15360" width="6.42578125" style="36"/>
    <col min="15361" max="15361" width="4.42578125" style="36" customWidth="1"/>
    <col min="15362" max="15362" width="4.28515625" style="36" customWidth="1"/>
    <col min="15363" max="15363" width="9.140625" style="36" customWidth="1"/>
    <col min="15364" max="15364" width="7.42578125" style="36" customWidth="1"/>
    <col min="15365" max="15366" width="30.7109375" style="36" customWidth="1"/>
    <col min="15367" max="15367" width="31.7109375" style="36" customWidth="1"/>
    <col min="15368" max="15373" width="17.28515625" style="36" customWidth="1"/>
    <col min="15374" max="15616" width="6.42578125" style="36"/>
    <col min="15617" max="15617" width="4.42578125" style="36" customWidth="1"/>
    <col min="15618" max="15618" width="4.28515625" style="36" customWidth="1"/>
    <col min="15619" max="15619" width="9.140625" style="36" customWidth="1"/>
    <col min="15620" max="15620" width="7.42578125" style="36" customWidth="1"/>
    <col min="15621" max="15622" width="30.7109375" style="36" customWidth="1"/>
    <col min="15623" max="15623" width="31.7109375" style="36" customWidth="1"/>
    <col min="15624" max="15629" width="17.28515625" style="36" customWidth="1"/>
    <col min="15630" max="15872" width="6.42578125" style="36"/>
    <col min="15873" max="15873" width="4.42578125" style="36" customWidth="1"/>
    <col min="15874" max="15874" width="4.28515625" style="36" customWidth="1"/>
    <col min="15875" max="15875" width="9.140625" style="36" customWidth="1"/>
    <col min="15876" max="15876" width="7.42578125" style="36" customWidth="1"/>
    <col min="15877" max="15878" width="30.7109375" style="36" customWidth="1"/>
    <col min="15879" max="15879" width="31.7109375" style="36" customWidth="1"/>
    <col min="15880" max="15885" width="17.28515625" style="36" customWidth="1"/>
    <col min="15886" max="16128" width="6.42578125" style="36"/>
    <col min="16129" max="16129" width="4.42578125" style="36" customWidth="1"/>
    <col min="16130" max="16130" width="4.28515625" style="36" customWidth="1"/>
    <col min="16131" max="16131" width="9.140625" style="36" customWidth="1"/>
    <col min="16132" max="16132" width="7.42578125" style="36" customWidth="1"/>
    <col min="16133" max="16134" width="30.7109375" style="36" customWidth="1"/>
    <col min="16135" max="16135" width="31.7109375" style="36" customWidth="1"/>
    <col min="16136" max="16141" width="17.28515625" style="36" customWidth="1"/>
    <col min="16142" max="16384" width="6.42578125" style="36"/>
  </cols>
  <sheetData>
    <row r="1" spans="1:14" ht="19.5" customHeight="1">
      <c r="A1" s="50" t="s">
        <v>453</v>
      </c>
      <c r="B1" s="34"/>
      <c r="C1" s="78"/>
      <c r="D1" s="35"/>
      <c r="E1" s="35"/>
      <c r="F1" s="35"/>
      <c r="G1" s="35"/>
      <c r="H1" s="35"/>
      <c r="I1" s="35"/>
      <c r="J1" s="35"/>
      <c r="K1" s="35"/>
      <c r="L1" s="35"/>
      <c r="M1" s="35"/>
    </row>
    <row r="2" spans="1:14" s="5" customFormat="1" ht="15" customHeight="1">
      <c r="A2" s="31" t="s">
        <v>340</v>
      </c>
      <c r="B2" s="579" t="s">
        <v>341</v>
      </c>
      <c r="C2" s="31" t="s">
        <v>342</v>
      </c>
      <c r="D2" s="27" t="s">
        <v>343</v>
      </c>
      <c r="E2" s="581" t="s">
        <v>454</v>
      </c>
      <c r="F2" s="582"/>
      <c r="G2" s="583"/>
      <c r="H2" s="581" t="s">
        <v>455</v>
      </c>
      <c r="I2" s="582"/>
      <c r="J2" s="582"/>
      <c r="K2" s="582"/>
      <c r="L2" s="582"/>
      <c r="M2" s="583"/>
    </row>
    <row r="3" spans="1:14" s="5" customFormat="1" ht="15" customHeight="1">
      <c r="A3" s="32" t="s">
        <v>346</v>
      </c>
      <c r="B3" s="580"/>
      <c r="C3" s="32" t="s">
        <v>347</v>
      </c>
      <c r="D3" s="29" t="s">
        <v>348</v>
      </c>
      <c r="E3" s="58" t="s">
        <v>456</v>
      </c>
      <c r="F3" s="32" t="s">
        <v>457</v>
      </c>
      <c r="G3" s="32" t="s">
        <v>458</v>
      </c>
      <c r="H3" s="32" t="s">
        <v>459</v>
      </c>
      <c r="I3" s="32" t="s">
        <v>460</v>
      </c>
      <c r="J3" s="32" t="s">
        <v>461</v>
      </c>
      <c r="K3" s="32" t="s">
        <v>462</v>
      </c>
      <c r="L3" s="33" t="s">
        <v>356</v>
      </c>
      <c r="M3" s="33" t="s">
        <v>463</v>
      </c>
    </row>
    <row r="4" spans="1:14" ht="39" customHeight="1">
      <c r="A4" s="603"/>
      <c r="B4" s="604"/>
      <c r="C4" s="604"/>
      <c r="D4" s="604"/>
      <c r="E4" s="604"/>
      <c r="F4" s="604"/>
      <c r="G4" s="604"/>
      <c r="H4" s="604"/>
      <c r="I4" s="604"/>
      <c r="J4" s="604"/>
      <c r="K4" s="604"/>
      <c r="L4" s="604"/>
      <c r="M4" s="605"/>
      <c r="N4" s="37"/>
    </row>
    <row r="5" spans="1:14" ht="12" customHeight="1">
      <c r="A5" s="560" t="s">
        <v>378</v>
      </c>
      <c r="B5" s="564" t="s">
        <v>464</v>
      </c>
      <c r="C5" s="38"/>
      <c r="D5" s="566" t="s">
        <v>465</v>
      </c>
      <c r="E5" s="606" t="s">
        <v>466</v>
      </c>
      <c r="F5" s="607"/>
      <c r="G5" s="608"/>
      <c r="H5" s="594" t="s">
        <v>467</v>
      </c>
      <c r="I5" s="594" t="s">
        <v>468</v>
      </c>
      <c r="J5" s="594" t="s">
        <v>469</v>
      </c>
      <c r="K5" s="594" t="s">
        <v>470</v>
      </c>
      <c r="L5" s="609" t="s">
        <v>471</v>
      </c>
      <c r="M5" s="584" t="s">
        <v>472</v>
      </c>
      <c r="N5" s="37"/>
    </row>
    <row r="6" spans="1:14" ht="12" customHeight="1">
      <c r="A6" s="561"/>
      <c r="B6" s="564"/>
      <c r="C6" s="38"/>
      <c r="D6" s="586"/>
      <c r="E6" s="591"/>
      <c r="F6" s="592"/>
      <c r="G6" s="593"/>
      <c r="H6" s="594"/>
      <c r="I6" s="594"/>
      <c r="J6" s="594"/>
      <c r="K6" s="594"/>
      <c r="L6" s="609"/>
      <c r="M6" s="576"/>
      <c r="N6" s="37"/>
    </row>
    <row r="7" spans="1:14" ht="18" customHeight="1">
      <c r="A7" s="561"/>
      <c r="B7" s="564"/>
      <c r="C7" s="39"/>
      <c r="D7" s="586"/>
      <c r="E7" s="575" t="s">
        <v>473</v>
      </c>
      <c r="F7" s="575" t="s">
        <v>474</v>
      </c>
      <c r="G7" s="575" t="s">
        <v>475</v>
      </c>
      <c r="H7" s="594"/>
      <c r="I7" s="594"/>
      <c r="J7" s="594"/>
      <c r="K7" s="594"/>
      <c r="L7" s="609"/>
      <c r="M7" s="576"/>
      <c r="N7" s="37"/>
    </row>
    <row r="8" spans="1:14" ht="18" customHeight="1">
      <c r="A8" s="561"/>
      <c r="B8" s="564"/>
      <c r="C8" s="38" t="s">
        <v>476</v>
      </c>
      <c r="D8" s="586"/>
      <c r="E8" s="576"/>
      <c r="F8" s="576"/>
      <c r="G8" s="576"/>
      <c r="H8" s="594"/>
      <c r="I8" s="594"/>
      <c r="J8" s="594"/>
      <c r="K8" s="594"/>
      <c r="L8" s="609"/>
      <c r="M8" s="576"/>
      <c r="N8" s="37"/>
    </row>
    <row r="9" spans="1:14" ht="18" customHeight="1">
      <c r="A9" s="561"/>
      <c r="B9" s="564"/>
      <c r="C9" s="40" t="s">
        <v>477</v>
      </c>
      <c r="D9" s="586"/>
      <c r="E9" s="576"/>
      <c r="F9" s="576"/>
      <c r="G9" s="576"/>
      <c r="H9" s="594"/>
      <c r="I9" s="594"/>
      <c r="J9" s="594"/>
      <c r="K9" s="594"/>
      <c r="L9" s="609"/>
      <c r="M9" s="576"/>
      <c r="N9" s="37"/>
    </row>
    <row r="10" spans="1:14" ht="18" customHeight="1">
      <c r="A10" s="561"/>
      <c r="B10" s="564"/>
      <c r="C10" s="40"/>
      <c r="D10" s="586"/>
      <c r="E10" s="576"/>
      <c r="F10" s="576"/>
      <c r="G10" s="576"/>
      <c r="H10" s="594"/>
      <c r="I10" s="594"/>
      <c r="J10" s="594"/>
      <c r="K10" s="594"/>
      <c r="L10" s="609"/>
      <c r="M10" s="576"/>
      <c r="N10" s="37"/>
    </row>
    <row r="11" spans="1:14" ht="18" customHeight="1">
      <c r="A11" s="561"/>
      <c r="B11" s="564"/>
      <c r="C11" s="40"/>
      <c r="D11" s="586"/>
      <c r="E11" s="576"/>
      <c r="F11" s="576"/>
      <c r="G11" s="576"/>
      <c r="H11" s="594"/>
      <c r="I11" s="594"/>
      <c r="J11" s="594"/>
      <c r="K11" s="594"/>
      <c r="L11" s="609"/>
      <c r="M11" s="576"/>
      <c r="N11" s="37"/>
    </row>
    <row r="12" spans="1:14" ht="23.25" customHeight="1">
      <c r="A12" s="561"/>
      <c r="B12" s="565"/>
      <c r="C12" s="41"/>
      <c r="D12" s="587"/>
      <c r="E12" s="577"/>
      <c r="F12" s="577"/>
      <c r="G12" s="577"/>
      <c r="H12" s="595"/>
      <c r="I12" s="595"/>
      <c r="J12" s="595"/>
      <c r="K12" s="595"/>
      <c r="L12" s="610"/>
      <c r="M12" s="577"/>
      <c r="N12" s="37"/>
    </row>
    <row r="13" spans="1:14" ht="12" customHeight="1">
      <c r="A13" s="561"/>
      <c r="B13" s="563" t="s">
        <v>478</v>
      </c>
      <c r="C13" s="42"/>
      <c r="D13" s="566" t="s">
        <v>479</v>
      </c>
      <c r="E13" s="611" t="s">
        <v>480</v>
      </c>
      <c r="F13" s="612"/>
      <c r="G13" s="613"/>
      <c r="H13" s="598" t="s">
        <v>481</v>
      </c>
      <c r="I13" s="598" t="s">
        <v>482</v>
      </c>
      <c r="J13" s="598" t="s">
        <v>483</v>
      </c>
      <c r="K13" s="598" t="s">
        <v>484</v>
      </c>
      <c r="L13" s="614" t="s">
        <v>485</v>
      </c>
      <c r="M13" s="575" t="s">
        <v>486</v>
      </c>
      <c r="N13" s="37"/>
    </row>
    <row r="14" spans="1:14" ht="12" customHeight="1">
      <c r="A14" s="561"/>
      <c r="B14" s="564"/>
      <c r="C14" s="42"/>
      <c r="D14" s="596"/>
      <c r="E14" s="591"/>
      <c r="F14" s="592"/>
      <c r="G14" s="593"/>
      <c r="H14" s="594"/>
      <c r="I14" s="594"/>
      <c r="J14" s="594"/>
      <c r="K14" s="594"/>
      <c r="L14" s="609"/>
      <c r="M14" s="576"/>
      <c r="N14" s="37"/>
    </row>
    <row r="15" spans="1:14" ht="18" customHeight="1">
      <c r="A15" s="561"/>
      <c r="B15" s="564"/>
      <c r="C15" s="42"/>
      <c r="D15" s="596"/>
      <c r="E15" s="575" t="s">
        <v>487</v>
      </c>
      <c r="F15" s="575" t="s">
        <v>488</v>
      </c>
      <c r="G15" s="575" t="s">
        <v>489</v>
      </c>
      <c r="H15" s="594"/>
      <c r="I15" s="594"/>
      <c r="J15" s="594"/>
      <c r="K15" s="594"/>
      <c r="L15" s="609"/>
      <c r="M15" s="576"/>
      <c r="N15" s="37"/>
    </row>
    <row r="16" spans="1:14" ht="18" customHeight="1">
      <c r="A16" s="561"/>
      <c r="B16" s="564"/>
      <c r="C16" s="42" t="s">
        <v>490</v>
      </c>
      <c r="D16" s="596"/>
      <c r="E16" s="576"/>
      <c r="F16" s="576"/>
      <c r="G16" s="584"/>
      <c r="H16" s="594"/>
      <c r="I16" s="594"/>
      <c r="J16" s="594"/>
      <c r="K16" s="594"/>
      <c r="L16" s="609"/>
      <c r="M16" s="576"/>
      <c r="N16" s="37"/>
    </row>
    <row r="17" spans="1:14" ht="18" customHeight="1">
      <c r="A17" s="561"/>
      <c r="B17" s="564"/>
      <c r="C17" s="42" t="s">
        <v>491</v>
      </c>
      <c r="D17" s="596"/>
      <c r="E17" s="576"/>
      <c r="F17" s="576"/>
      <c r="G17" s="584"/>
      <c r="H17" s="594"/>
      <c r="I17" s="594"/>
      <c r="J17" s="594"/>
      <c r="K17" s="594"/>
      <c r="L17" s="609"/>
      <c r="M17" s="576"/>
      <c r="N17" s="37"/>
    </row>
    <row r="18" spans="1:14" ht="18" customHeight="1">
      <c r="A18" s="561"/>
      <c r="B18" s="564"/>
      <c r="C18" s="42"/>
      <c r="D18" s="596"/>
      <c r="E18" s="576"/>
      <c r="F18" s="576"/>
      <c r="G18" s="584"/>
      <c r="H18" s="594"/>
      <c r="I18" s="594"/>
      <c r="J18" s="594"/>
      <c r="K18" s="594"/>
      <c r="L18" s="609"/>
      <c r="M18" s="576"/>
      <c r="N18" s="37"/>
    </row>
    <row r="19" spans="1:14" ht="18" customHeight="1">
      <c r="A19" s="561"/>
      <c r="B19" s="564"/>
      <c r="C19" s="42"/>
      <c r="D19" s="596"/>
      <c r="E19" s="576"/>
      <c r="F19" s="576"/>
      <c r="G19" s="584"/>
      <c r="H19" s="594"/>
      <c r="I19" s="594"/>
      <c r="J19" s="594"/>
      <c r="K19" s="594"/>
      <c r="L19" s="609"/>
      <c r="M19" s="576"/>
      <c r="N19" s="37"/>
    </row>
    <row r="20" spans="1:14" ht="24" customHeight="1">
      <c r="A20" s="562"/>
      <c r="B20" s="565"/>
      <c r="C20" s="43"/>
      <c r="D20" s="597"/>
      <c r="E20" s="577"/>
      <c r="F20" s="577"/>
      <c r="G20" s="585"/>
      <c r="H20" s="595"/>
      <c r="I20" s="595"/>
      <c r="J20" s="595"/>
      <c r="K20" s="595"/>
      <c r="L20" s="610"/>
      <c r="M20" s="577"/>
      <c r="N20" s="37"/>
    </row>
    <row r="21" spans="1:14" ht="12" customHeight="1">
      <c r="A21" s="560" t="s">
        <v>492</v>
      </c>
      <c r="B21" s="563" t="s">
        <v>493</v>
      </c>
      <c r="C21" s="44"/>
      <c r="D21" s="566" t="s">
        <v>494</v>
      </c>
      <c r="E21" s="611" t="s">
        <v>495</v>
      </c>
      <c r="F21" s="612"/>
      <c r="G21" s="613"/>
      <c r="H21" s="598" t="s">
        <v>496</v>
      </c>
      <c r="I21" s="598" t="s">
        <v>497</v>
      </c>
      <c r="J21" s="598" t="s">
        <v>498</v>
      </c>
      <c r="K21" s="598" t="s">
        <v>499</v>
      </c>
      <c r="L21" s="598" t="s">
        <v>500</v>
      </c>
      <c r="M21" s="575" t="s">
        <v>501</v>
      </c>
    </row>
    <row r="22" spans="1:14" ht="12" customHeight="1">
      <c r="A22" s="561"/>
      <c r="B22" s="564"/>
      <c r="C22" s="38"/>
      <c r="D22" s="596"/>
      <c r="E22" s="591"/>
      <c r="F22" s="592"/>
      <c r="G22" s="593"/>
      <c r="H22" s="594"/>
      <c r="I22" s="594"/>
      <c r="J22" s="594"/>
      <c r="K22" s="594"/>
      <c r="L22" s="594"/>
      <c r="M22" s="576"/>
    </row>
    <row r="23" spans="1:14" ht="18" customHeight="1">
      <c r="A23" s="561"/>
      <c r="B23" s="564"/>
      <c r="C23" s="38"/>
      <c r="D23" s="596"/>
      <c r="E23" s="575" t="s">
        <v>502</v>
      </c>
      <c r="F23" s="575" t="s">
        <v>503</v>
      </c>
      <c r="G23" s="575" t="s">
        <v>504</v>
      </c>
      <c r="H23" s="594"/>
      <c r="I23" s="594"/>
      <c r="J23" s="594"/>
      <c r="K23" s="594"/>
      <c r="L23" s="594"/>
      <c r="M23" s="576"/>
    </row>
    <row r="24" spans="1:14" ht="18" customHeight="1">
      <c r="A24" s="561"/>
      <c r="B24" s="564"/>
      <c r="C24" s="45" t="s">
        <v>505</v>
      </c>
      <c r="D24" s="596"/>
      <c r="E24" s="576"/>
      <c r="F24" s="576"/>
      <c r="G24" s="584"/>
      <c r="H24" s="594"/>
      <c r="I24" s="594"/>
      <c r="J24" s="594"/>
      <c r="K24" s="594"/>
      <c r="L24" s="594"/>
      <c r="M24" s="576"/>
    </row>
    <row r="25" spans="1:14" ht="18" customHeight="1">
      <c r="A25" s="561"/>
      <c r="B25" s="564"/>
      <c r="C25" s="45" t="s">
        <v>506</v>
      </c>
      <c r="D25" s="596"/>
      <c r="E25" s="576"/>
      <c r="F25" s="576"/>
      <c r="G25" s="584"/>
      <c r="H25" s="594"/>
      <c r="I25" s="594"/>
      <c r="J25" s="594"/>
      <c r="K25" s="594"/>
      <c r="L25" s="594"/>
      <c r="M25" s="576"/>
    </row>
    <row r="26" spans="1:14" ht="18" customHeight="1">
      <c r="A26" s="561"/>
      <c r="B26" s="564"/>
      <c r="C26" s="45"/>
      <c r="D26" s="596"/>
      <c r="E26" s="576"/>
      <c r="F26" s="576"/>
      <c r="G26" s="584"/>
      <c r="H26" s="594"/>
      <c r="I26" s="594"/>
      <c r="J26" s="594"/>
      <c r="K26" s="594"/>
      <c r="L26" s="594"/>
      <c r="M26" s="576"/>
    </row>
    <row r="27" spans="1:14" ht="18" customHeight="1">
      <c r="A27" s="561"/>
      <c r="B27" s="564"/>
      <c r="C27" s="45"/>
      <c r="D27" s="596"/>
      <c r="E27" s="576"/>
      <c r="F27" s="576"/>
      <c r="G27" s="584"/>
      <c r="H27" s="594"/>
      <c r="I27" s="594"/>
      <c r="J27" s="594"/>
      <c r="K27" s="594"/>
      <c r="L27" s="594"/>
      <c r="M27" s="576"/>
    </row>
    <row r="28" spans="1:14" ht="18" customHeight="1">
      <c r="A28" s="561"/>
      <c r="B28" s="565"/>
      <c r="C28" s="46"/>
      <c r="D28" s="597"/>
      <c r="E28" s="577"/>
      <c r="F28" s="577"/>
      <c r="G28" s="585"/>
      <c r="H28" s="595"/>
      <c r="I28" s="595"/>
      <c r="J28" s="595"/>
      <c r="K28" s="595"/>
      <c r="L28" s="595"/>
      <c r="M28" s="577"/>
    </row>
    <row r="29" spans="1:14" ht="12" customHeight="1">
      <c r="A29" s="561"/>
      <c r="B29" s="563" t="s">
        <v>507</v>
      </c>
      <c r="C29" s="47"/>
      <c r="D29" s="566" t="s">
        <v>508</v>
      </c>
      <c r="E29" s="611" t="s">
        <v>509</v>
      </c>
      <c r="F29" s="612"/>
      <c r="G29" s="613"/>
      <c r="H29" s="575" t="s">
        <v>510</v>
      </c>
      <c r="I29" s="575" t="s">
        <v>511</v>
      </c>
      <c r="J29" s="575" t="s">
        <v>512</v>
      </c>
      <c r="K29" s="575" t="s">
        <v>513</v>
      </c>
      <c r="L29" s="575" t="s">
        <v>514</v>
      </c>
      <c r="M29" s="575" t="s">
        <v>515</v>
      </c>
    </row>
    <row r="30" spans="1:14" ht="12" customHeight="1">
      <c r="A30" s="561"/>
      <c r="B30" s="564"/>
      <c r="C30" s="45"/>
      <c r="D30" s="596"/>
      <c r="E30" s="591"/>
      <c r="F30" s="592"/>
      <c r="G30" s="593"/>
      <c r="H30" s="584"/>
      <c r="I30" s="584"/>
      <c r="J30" s="584"/>
      <c r="K30" s="584"/>
      <c r="L30" s="584"/>
      <c r="M30" s="576"/>
    </row>
    <row r="31" spans="1:14" ht="18" customHeight="1">
      <c r="A31" s="561"/>
      <c r="B31" s="564"/>
      <c r="C31" s="45"/>
      <c r="D31" s="596"/>
      <c r="E31" s="575" t="s">
        <v>516</v>
      </c>
      <c r="F31" s="575" t="s">
        <v>517</v>
      </c>
      <c r="G31" s="575" t="s">
        <v>518</v>
      </c>
      <c r="H31" s="584"/>
      <c r="I31" s="584"/>
      <c r="J31" s="584"/>
      <c r="K31" s="584"/>
      <c r="L31" s="584"/>
      <c r="M31" s="576"/>
    </row>
    <row r="32" spans="1:14" ht="18" customHeight="1">
      <c r="A32" s="561"/>
      <c r="B32" s="564"/>
      <c r="C32" s="45" t="s">
        <v>519</v>
      </c>
      <c r="D32" s="596"/>
      <c r="E32" s="576"/>
      <c r="F32" s="576"/>
      <c r="G32" s="576"/>
      <c r="H32" s="584"/>
      <c r="I32" s="584"/>
      <c r="J32" s="584"/>
      <c r="K32" s="584"/>
      <c r="L32" s="584"/>
      <c r="M32" s="576"/>
    </row>
    <row r="33" spans="1:13" ht="18" customHeight="1">
      <c r="A33" s="561"/>
      <c r="B33" s="564"/>
      <c r="C33" s="45" t="s">
        <v>520</v>
      </c>
      <c r="D33" s="596"/>
      <c r="E33" s="576"/>
      <c r="F33" s="576"/>
      <c r="G33" s="576"/>
      <c r="H33" s="584"/>
      <c r="I33" s="584"/>
      <c r="J33" s="584"/>
      <c r="K33" s="584"/>
      <c r="L33" s="584"/>
      <c r="M33" s="576"/>
    </row>
    <row r="34" spans="1:13" ht="18" customHeight="1">
      <c r="A34" s="561"/>
      <c r="B34" s="564"/>
      <c r="C34" s="45"/>
      <c r="D34" s="596"/>
      <c r="E34" s="576"/>
      <c r="F34" s="576"/>
      <c r="G34" s="576"/>
      <c r="H34" s="584"/>
      <c r="I34" s="584"/>
      <c r="J34" s="584"/>
      <c r="K34" s="584"/>
      <c r="L34" s="584"/>
      <c r="M34" s="576"/>
    </row>
    <row r="35" spans="1:13" ht="18" customHeight="1">
      <c r="A35" s="561"/>
      <c r="B35" s="564"/>
      <c r="C35" s="45"/>
      <c r="D35" s="596"/>
      <c r="E35" s="576"/>
      <c r="F35" s="576"/>
      <c r="G35" s="576"/>
      <c r="H35" s="584"/>
      <c r="I35" s="584"/>
      <c r="J35" s="584"/>
      <c r="K35" s="584"/>
      <c r="L35" s="584"/>
      <c r="M35" s="576"/>
    </row>
    <row r="36" spans="1:13" ht="18" customHeight="1">
      <c r="A36" s="561"/>
      <c r="B36" s="565"/>
      <c r="C36" s="46"/>
      <c r="D36" s="597"/>
      <c r="E36" s="577"/>
      <c r="F36" s="577"/>
      <c r="G36" s="577"/>
      <c r="H36" s="585"/>
      <c r="I36" s="585"/>
      <c r="J36" s="585"/>
      <c r="K36" s="585"/>
      <c r="L36" s="585"/>
      <c r="M36" s="577"/>
    </row>
    <row r="37" spans="1:13" ht="12" customHeight="1">
      <c r="A37" s="561"/>
      <c r="B37" s="563" t="s">
        <v>521</v>
      </c>
      <c r="C37" s="47"/>
      <c r="D37" s="566" t="s">
        <v>522</v>
      </c>
      <c r="E37" s="611" t="s">
        <v>523</v>
      </c>
      <c r="F37" s="612"/>
      <c r="G37" s="613"/>
      <c r="H37" s="575" t="s">
        <v>524</v>
      </c>
      <c r="I37" s="575" t="s">
        <v>525</v>
      </c>
      <c r="J37" s="575" t="s">
        <v>526</v>
      </c>
      <c r="K37" s="575" t="s">
        <v>527</v>
      </c>
      <c r="L37" s="575" t="s">
        <v>528</v>
      </c>
      <c r="M37" s="575" t="s">
        <v>529</v>
      </c>
    </row>
    <row r="38" spans="1:13" ht="12" customHeight="1">
      <c r="A38" s="561"/>
      <c r="B38" s="564"/>
      <c r="C38" s="45"/>
      <c r="D38" s="596"/>
      <c r="E38" s="591"/>
      <c r="F38" s="592"/>
      <c r="G38" s="593"/>
      <c r="H38" s="584"/>
      <c r="I38" s="584"/>
      <c r="J38" s="584"/>
      <c r="K38" s="584"/>
      <c r="L38" s="584"/>
      <c r="M38" s="584"/>
    </row>
    <row r="39" spans="1:13" ht="18" customHeight="1">
      <c r="A39" s="561"/>
      <c r="B39" s="564"/>
      <c r="C39" s="45"/>
      <c r="D39" s="596"/>
      <c r="E39" s="575" t="s">
        <v>530</v>
      </c>
      <c r="F39" s="575" t="s">
        <v>531</v>
      </c>
      <c r="G39" s="575" t="s">
        <v>532</v>
      </c>
      <c r="H39" s="584"/>
      <c r="I39" s="584"/>
      <c r="J39" s="584"/>
      <c r="K39" s="584"/>
      <c r="L39" s="584"/>
      <c r="M39" s="584"/>
    </row>
    <row r="40" spans="1:13" ht="18" customHeight="1">
      <c r="A40" s="561"/>
      <c r="B40" s="564"/>
      <c r="C40" s="45" t="s">
        <v>533</v>
      </c>
      <c r="D40" s="596"/>
      <c r="E40" s="576"/>
      <c r="F40" s="576"/>
      <c r="G40" s="576"/>
      <c r="H40" s="584"/>
      <c r="I40" s="584"/>
      <c r="J40" s="584"/>
      <c r="K40" s="584"/>
      <c r="L40" s="584"/>
      <c r="M40" s="584"/>
    </row>
    <row r="41" spans="1:13" ht="18" customHeight="1">
      <c r="A41" s="561"/>
      <c r="B41" s="564"/>
      <c r="C41" s="45" t="s">
        <v>534</v>
      </c>
      <c r="D41" s="596"/>
      <c r="E41" s="576"/>
      <c r="F41" s="576"/>
      <c r="G41" s="576"/>
      <c r="H41" s="584"/>
      <c r="I41" s="584"/>
      <c r="J41" s="584"/>
      <c r="K41" s="584"/>
      <c r="L41" s="584"/>
      <c r="M41" s="584"/>
    </row>
    <row r="42" spans="1:13" ht="18" customHeight="1">
      <c r="A42" s="561"/>
      <c r="B42" s="564"/>
      <c r="C42" s="38"/>
      <c r="D42" s="596"/>
      <c r="E42" s="576"/>
      <c r="F42" s="576"/>
      <c r="G42" s="576"/>
      <c r="H42" s="584"/>
      <c r="I42" s="584"/>
      <c r="J42" s="584"/>
      <c r="K42" s="584"/>
      <c r="L42" s="584"/>
      <c r="M42" s="584"/>
    </row>
    <row r="43" spans="1:13" ht="18" customHeight="1">
      <c r="A43" s="561"/>
      <c r="B43" s="564"/>
      <c r="C43" s="38"/>
      <c r="D43" s="596"/>
      <c r="E43" s="576"/>
      <c r="F43" s="576"/>
      <c r="G43" s="576"/>
      <c r="H43" s="584"/>
      <c r="I43" s="584"/>
      <c r="J43" s="584"/>
      <c r="K43" s="584"/>
      <c r="L43" s="584"/>
      <c r="M43" s="584"/>
    </row>
    <row r="44" spans="1:13" ht="18" customHeight="1">
      <c r="A44" s="561"/>
      <c r="B44" s="565"/>
      <c r="C44" s="41"/>
      <c r="D44" s="597"/>
      <c r="E44" s="577"/>
      <c r="F44" s="577"/>
      <c r="G44" s="577"/>
      <c r="H44" s="585"/>
      <c r="I44" s="585"/>
      <c r="J44" s="585"/>
      <c r="K44" s="585"/>
      <c r="L44" s="585"/>
      <c r="M44" s="585"/>
    </row>
    <row r="45" spans="1:13" ht="12" customHeight="1">
      <c r="A45" s="561"/>
      <c r="B45" s="563" t="s">
        <v>535</v>
      </c>
      <c r="C45" s="47"/>
      <c r="D45" s="566" t="s">
        <v>536</v>
      </c>
      <c r="E45" s="611" t="s">
        <v>537</v>
      </c>
      <c r="F45" s="612"/>
      <c r="G45" s="613"/>
      <c r="H45" s="575" t="s">
        <v>538</v>
      </c>
      <c r="I45" s="575" t="s">
        <v>539</v>
      </c>
      <c r="J45" s="575" t="s">
        <v>540</v>
      </c>
      <c r="K45" s="575" t="s">
        <v>541</v>
      </c>
      <c r="L45" s="575" t="s">
        <v>542</v>
      </c>
      <c r="M45" s="575" t="s">
        <v>543</v>
      </c>
    </row>
    <row r="46" spans="1:13" ht="12" customHeight="1">
      <c r="A46" s="561"/>
      <c r="B46" s="564"/>
      <c r="C46" s="45"/>
      <c r="D46" s="596"/>
      <c r="E46" s="591"/>
      <c r="F46" s="592"/>
      <c r="G46" s="593"/>
      <c r="H46" s="584"/>
      <c r="I46" s="584"/>
      <c r="J46" s="584"/>
      <c r="K46" s="584"/>
      <c r="L46" s="584"/>
      <c r="M46" s="584"/>
    </row>
    <row r="47" spans="1:13" ht="18" customHeight="1">
      <c r="A47" s="561"/>
      <c r="B47" s="564"/>
      <c r="C47" s="45"/>
      <c r="D47" s="596"/>
      <c r="E47" s="575" t="s">
        <v>544</v>
      </c>
      <c r="F47" s="575" t="s">
        <v>545</v>
      </c>
      <c r="G47" s="575" t="s">
        <v>546</v>
      </c>
      <c r="H47" s="584"/>
      <c r="I47" s="584"/>
      <c r="J47" s="584"/>
      <c r="K47" s="584"/>
      <c r="L47" s="584"/>
      <c r="M47" s="584"/>
    </row>
    <row r="48" spans="1:13" ht="18" customHeight="1">
      <c r="A48" s="561"/>
      <c r="B48" s="564"/>
      <c r="C48" s="48" t="s">
        <v>547</v>
      </c>
      <c r="D48" s="596"/>
      <c r="E48" s="576"/>
      <c r="F48" s="576"/>
      <c r="G48" s="576"/>
      <c r="H48" s="584"/>
      <c r="I48" s="584"/>
      <c r="J48" s="584"/>
      <c r="K48" s="584"/>
      <c r="L48" s="584"/>
      <c r="M48" s="584"/>
    </row>
    <row r="49" spans="1:13" ht="18" customHeight="1">
      <c r="A49" s="561"/>
      <c r="B49" s="564"/>
      <c r="C49" s="45" t="s">
        <v>548</v>
      </c>
      <c r="D49" s="596"/>
      <c r="E49" s="576"/>
      <c r="F49" s="576"/>
      <c r="G49" s="576"/>
      <c r="H49" s="584"/>
      <c r="I49" s="584"/>
      <c r="J49" s="584"/>
      <c r="K49" s="584"/>
      <c r="L49" s="584"/>
      <c r="M49" s="584"/>
    </row>
    <row r="50" spans="1:13" ht="18" customHeight="1">
      <c r="A50" s="561"/>
      <c r="B50" s="564"/>
      <c r="C50" s="45"/>
      <c r="D50" s="596"/>
      <c r="E50" s="576"/>
      <c r="F50" s="576"/>
      <c r="G50" s="576"/>
      <c r="H50" s="584"/>
      <c r="I50" s="584"/>
      <c r="J50" s="584"/>
      <c r="K50" s="584"/>
      <c r="L50" s="584"/>
      <c r="M50" s="584"/>
    </row>
    <row r="51" spans="1:13" ht="18" customHeight="1">
      <c r="A51" s="561"/>
      <c r="B51" s="564"/>
      <c r="C51" s="45"/>
      <c r="D51" s="596"/>
      <c r="E51" s="576"/>
      <c r="F51" s="576"/>
      <c r="G51" s="576"/>
      <c r="H51" s="584"/>
      <c r="I51" s="584"/>
      <c r="J51" s="584"/>
      <c r="K51" s="584"/>
      <c r="L51" s="584"/>
      <c r="M51" s="584"/>
    </row>
    <row r="52" spans="1:13" ht="18" customHeight="1">
      <c r="A52" s="561"/>
      <c r="B52" s="565"/>
      <c r="C52" s="46"/>
      <c r="D52" s="597"/>
      <c r="E52" s="577"/>
      <c r="F52" s="577"/>
      <c r="G52" s="577"/>
      <c r="H52" s="585"/>
      <c r="I52" s="585"/>
      <c r="J52" s="585"/>
      <c r="K52" s="585"/>
      <c r="L52" s="585"/>
      <c r="M52" s="585"/>
    </row>
    <row r="53" spans="1:13" ht="12" customHeight="1">
      <c r="A53" s="561"/>
      <c r="B53" s="563" t="s">
        <v>549</v>
      </c>
      <c r="C53" s="563" t="s">
        <v>550</v>
      </c>
      <c r="D53" s="566" t="s">
        <v>551</v>
      </c>
      <c r="E53" s="611" t="s">
        <v>552</v>
      </c>
      <c r="F53" s="612"/>
      <c r="G53" s="613"/>
      <c r="H53" s="575" t="s">
        <v>553</v>
      </c>
      <c r="I53" s="575" t="s">
        <v>554</v>
      </c>
      <c r="J53" s="575" t="s">
        <v>555</v>
      </c>
      <c r="K53" s="575" t="s">
        <v>556</v>
      </c>
      <c r="L53" s="575" t="s">
        <v>557</v>
      </c>
      <c r="M53" s="575" t="s">
        <v>543</v>
      </c>
    </row>
    <row r="54" spans="1:13" ht="12" customHeight="1">
      <c r="A54" s="561"/>
      <c r="B54" s="564"/>
      <c r="C54" s="564"/>
      <c r="D54" s="596"/>
      <c r="E54" s="591"/>
      <c r="F54" s="592"/>
      <c r="G54" s="593"/>
      <c r="H54" s="584"/>
      <c r="I54" s="584"/>
      <c r="J54" s="584"/>
      <c r="K54" s="584"/>
      <c r="L54" s="584"/>
      <c r="M54" s="584"/>
    </row>
    <row r="55" spans="1:13" ht="18" customHeight="1">
      <c r="A55" s="561"/>
      <c r="B55" s="564"/>
      <c r="C55" s="564"/>
      <c r="D55" s="596"/>
      <c r="E55" s="575" t="s">
        <v>558</v>
      </c>
      <c r="F55" s="575" t="s">
        <v>559</v>
      </c>
      <c r="G55" s="575" t="s">
        <v>560</v>
      </c>
      <c r="H55" s="584"/>
      <c r="I55" s="584"/>
      <c r="J55" s="584"/>
      <c r="K55" s="584"/>
      <c r="L55" s="584"/>
      <c r="M55" s="584"/>
    </row>
    <row r="56" spans="1:13" ht="18" customHeight="1">
      <c r="A56" s="561"/>
      <c r="B56" s="564"/>
      <c r="C56" s="564"/>
      <c r="D56" s="596"/>
      <c r="E56" s="576"/>
      <c r="F56" s="576"/>
      <c r="G56" s="576"/>
      <c r="H56" s="584"/>
      <c r="I56" s="584"/>
      <c r="J56" s="584"/>
      <c r="K56" s="584"/>
      <c r="L56" s="584"/>
      <c r="M56" s="584"/>
    </row>
    <row r="57" spans="1:13" ht="18" customHeight="1">
      <c r="A57" s="561"/>
      <c r="B57" s="564"/>
      <c r="C57" s="564"/>
      <c r="D57" s="596"/>
      <c r="E57" s="576"/>
      <c r="F57" s="576"/>
      <c r="G57" s="576"/>
      <c r="H57" s="584"/>
      <c r="I57" s="584"/>
      <c r="J57" s="584"/>
      <c r="K57" s="584"/>
      <c r="L57" s="584"/>
      <c r="M57" s="584"/>
    </row>
    <row r="58" spans="1:13" ht="18" customHeight="1">
      <c r="A58" s="561"/>
      <c r="B58" s="564"/>
      <c r="C58" s="564"/>
      <c r="D58" s="596"/>
      <c r="E58" s="576"/>
      <c r="F58" s="576"/>
      <c r="G58" s="576"/>
      <c r="H58" s="584"/>
      <c r="I58" s="584"/>
      <c r="J58" s="584"/>
      <c r="K58" s="584"/>
      <c r="L58" s="584"/>
      <c r="M58" s="584"/>
    </row>
    <row r="59" spans="1:13" ht="18" customHeight="1">
      <c r="A59" s="561"/>
      <c r="B59" s="564"/>
      <c r="C59" s="564"/>
      <c r="D59" s="596"/>
      <c r="E59" s="576"/>
      <c r="F59" s="576"/>
      <c r="G59" s="576"/>
      <c r="H59" s="584"/>
      <c r="I59" s="584"/>
      <c r="J59" s="584"/>
      <c r="K59" s="584"/>
      <c r="L59" s="584"/>
      <c r="M59" s="584"/>
    </row>
    <row r="60" spans="1:13" ht="18" customHeight="1">
      <c r="A60" s="562"/>
      <c r="B60" s="565"/>
      <c r="C60" s="565"/>
      <c r="D60" s="597"/>
      <c r="E60" s="577"/>
      <c r="F60" s="577"/>
      <c r="G60" s="577"/>
      <c r="H60" s="585"/>
      <c r="I60" s="585"/>
      <c r="J60" s="585"/>
      <c r="K60" s="585"/>
      <c r="L60" s="585"/>
      <c r="M60" s="585"/>
    </row>
  </sheetData>
  <mergeCells count="91">
    <mergeCell ref="J53:J60"/>
    <mergeCell ref="K53:K60"/>
    <mergeCell ref="L53:L60"/>
    <mergeCell ref="M53:M60"/>
    <mergeCell ref="E55:E60"/>
    <mergeCell ref="F55:F60"/>
    <mergeCell ref="G55:G60"/>
    <mergeCell ref="I53:I60"/>
    <mergeCell ref="B53:B60"/>
    <mergeCell ref="C53:C60"/>
    <mergeCell ref="D53:D60"/>
    <mergeCell ref="E53:G54"/>
    <mergeCell ref="H53:H60"/>
    <mergeCell ref="K45:K52"/>
    <mergeCell ref="L45:L52"/>
    <mergeCell ref="M45:M52"/>
    <mergeCell ref="E47:E52"/>
    <mergeCell ref="F47:F52"/>
    <mergeCell ref="G47:G52"/>
    <mergeCell ref="J45:J52"/>
    <mergeCell ref="B45:B52"/>
    <mergeCell ref="D45:D52"/>
    <mergeCell ref="E45:G46"/>
    <mergeCell ref="H45:H52"/>
    <mergeCell ref="I45:I52"/>
    <mergeCell ref="I37:I44"/>
    <mergeCell ref="K37:K44"/>
    <mergeCell ref="L37:L44"/>
    <mergeCell ref="M37:M44"/>
    <mergeCell ref="E39:E44"/>
    <mergeCell ref="F39:F44"/>
    <mergeCell ref="G39:G44"/>
    <mergeCell ref="J37:J44"/>
    <mergeCell ref="I29:I36"/>
    <mergeCell ref="J29:J36"/>
    <mergeCell ref="K29:K36"/>
    <mergeCell ref="L29:L36"/>
    <mergeCell ref="M29:M36"/>
    <mergeCell ref="L21:L28"/>
    <mergeCell ref="M21:M28"/>
    <mergeCell ref="E23:E28"/>
    <mergeCell ref="F23:F28"/>
    <mergeCell ref="G23:G28"/>
    <mergeCell ref="I21:I28"/>
    <mergeCell ref="J21:J28"/>
    <mergeCell ref="K21:K28"/>
    <mergeCell ref="A21:A60"/>
    <mergeCell ref="B21:B28"/>
    <mergeCell ref="D21:D28"/>
    <mergeCell ref="E21:G22"/>
    <mergeCell ref="H21:H28"/>
    <mergeCell ref="B29:B36"/>
    <mergeCell ref="D29:D36"/>
    <mergeCell ref="E29:G30"/>
    <mergeCell ref="H29:H36"/>
    <mergeCell ref="E31:E36"/>
    <mergeCell ref="F31:F36"/>
    <mergeCell ref="G31:G36"/>
    <mergeCell ref="B37:B44"/>
    <mergeCell ref="D37:D44"/>
    <mergeCell ref="E37:G38"/>
    <mergeCell ref="H37:H44"/>
    <mergeCell ref="I13:I20"/>
    <mergeCell ref="K13:K20"/>
    <mergeCell ref="L13:L20"/>
    <mergeCell ref="M13:M20"/>
    <mergeCell ref="E15:E20"/>
    <mergeCell ref="F15:F20"/>
    <mergeCell ref="G15:G20"/>
    <mergeCell ref="J13:J20"/>
    <mergeCell ref="G7:G12"/>
    <mergeCell ref="B13:B20"/>
    <mergeCell ref="D13:D20"/>
    <mergeCell ref="E13:G14"/>
    <mergeCell ref="H13:H20"/>
    <mergeCell ref="B2:B3"/>
    <mergeCell ref="E2:G2"/>
    <mergeCell ref="H2:M2"/>
    <mergeCell ref="A4:M4"/>
    <mergeCell ref="A5:A20"/>
    <mergeCell ref="B5:B12"/>
    <mergeCell ref="D5:D12"/>
    <mergeCell ref="E5:G6"/>
    <mergeCell ref="H5:H12"/>
    <mergeCell ref="I5:I12"/>
    <mergeCell ref="J5:J12"/>
    <mergeCell ref="K5:K12"/>
    <mergeCell ref="L5:L12"/>
    <mergeCell ref="M5:M12"/>
    <mergeCell ref="E7:E12"/>
    <mergeCell ref="F7:F12"/>
  </mergeCells>
  <phoneticPr fontId="2"/>
  <pageMargins left="0.78740157480314965" right="0.27559055118110237" top="0.98425196850393704" bottom="0.31496062992125984" header="0.78740157480314965" footer="0.39370078740157483"/>
  <pageSetup paperSize="8" scale="80" orientation="landscape" cellComments="asDisplayed"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8981-280D-4E9D-A807-674C13E966EB}">
  <dimension ref="A1:AA42"/>
  <sheetViews>
    <sheetView zoomScale="90" zoomScaleNormal="90" workbookViewId="0">
      <selection activeCell="E30" sqref="E30:G37"/>
    </sheetView>
  </sheetViews>
  <sheetFormatPr defaultColWidth="6.42578125" defaultRowHeight="10.9"/>
  <cols>
    <col min="1" max="2" width="4.42578125" style="152" customWidth="1"/>
    <col min="3" max="3" width="10.7109375" style="148" customWidth="1"/>
    <col min="4" max="4" width="7.42578125" style="152" customWidth="1"/>
    <col min="5" max="7" width="30.7109375" style="152" customWidth="1"/>
    <col min="8" max="13" width="17.28515625" style="152" customWidth="1"/>
    <col min="14" max="14" width="2" style="152" customWidth="1"/>
    <col min="15" max="16" width="4.42578125" style="152" customWidth="1"/>
    <col min="17" max="17" width="9.140625" style="148" customWidth="1"/>
    <col min="18" max="18" width="7.42578125" style="152" customWidth="1"/>
    <col min="19" max="21" width="30.7109375" style="152" customWidth="1"/>
    <col min="22" max="27" width="17.28515625" style="152" customWidth="1"/>
    <col min="28" max="269" width="6.42578125" style="152"/>
    <col min="270" max="271" width="4.42578125" style="152" customWidth="1"/>
    <col min="272" max="272" width="9.140625" style="152" customWidth="1"/>
    <col min="273" max="273" width="7.42578125" style="152" customWidth="1"/>
    <col min="274" max="276" width="30.7109375" style="152" customWidth="1"/>
    <col min="277" max="282" width="17.28515625" style="152" customWidth="1"/>
    <col min="283" max="525" width="6.42578125" style="152"/>
    <col min="526" max="527" width="4.42578125" style="152" customWidth="1"/>
    <col min="528" max="528" width="9.140625" style="152" customWidth="1"/>
    <col min="529" max="529" width="7.42578125" style="152" customWidth="1"/>
    <col min="530" max="532" width="30.7109375" style="152" customWidth="1"/>
    <col min="533" max="538" width="17.28515625" style="152" customWidth="1"/>
    <col min="539" max="781" width="6.42578125" style="152"/>
    <col min="782" max="783" width="4.42578125" style="152" customWidth="1"/>
    <col min="784" max="784" width="9.140625" style="152" customWidth="1"/>
    <col min="785" max="785" width="7.42578125" style="152" customWidth="1"/>
    <col min="786" max="788" width="30.7109375" style="152" customWidth="1"/>
    <col min="789" max="794" width="17.28515625" style="152" customWidth="1"/>
    <col min="795" max="1037" width="6.42578125" style="152"/>
    <col min="1038" max="1039" width="4.42578125" style="152" customWidth="1"/>
    <col min="1040" max="1040" width="9.140625" style="152" customWidth="1"/>
    <col min="1041" max="1041" width="7.42578125" style="152" customWidth="1"/>
    <col min="1042" max="1044" width="30.7109375" style="152" customWidth="1"/>
    <col min="1045" max="1050" width="17.28515625" style="152" customWidth="1"/>
    <col min="1051" max="1293" width="6.42578125" style="152"/>
    <col min="1294" max="1295" width="4.42578125" style="152" customWidth="1"/>
    <col min="1296" max="1296" width="9.140625" style="152" customWidth="1"/>
    <col min="1297" max="1297" width="7.42578125" style="152" customWidth="1"/>
    <col min="1298" max="1300" width="30.7109375" style="152" customWidth="1"/>
    <col min="1301" max="1306" width="17.28515625" style="152" customWidth="1"/>
    <col min="1307" max="1549" width="6.42578125" style="152"/>
    <col min="1550" max="1551" width="4.42578125" style="152" customWidth="1"/>
    <col min="1552" max="1552" width="9.140625" style="152" customWidth="1"/>
    <col min="1553" max="1553" width="7.42578125" style="152" customWidth="1"/>
    <col min="1554" max="1556" width="30.7109375" style="152" customWidth="1"/>
    <col min="1557" max="1562" width="17.28515625" style="152" customWidth="1"/>
    <col min="1563" max="1805" width="6.42578125" style="152"/>
    <col min="1806" max="1807" width="4.42578125" style="152" customWidth="1"/>
    <col min="1808" max="1808" width="9.140625" style="152" customWidth="1"/>
    <col min="1809" max="1809" width="7.42578125" style="152" customWidth="1"/>
    <col min="1810" max="1812" width="30.7109375" style="152" customWidth="1"/>
    <col min="1813" max="1818" width="17.28515625" style="152" customWidth="1"/>
    <col min="1819" max="2061" width="6.42578125" style="152"/>
    <col min="2062" max="2063" width="4.42578125" style="152" customWidth="1"/>
    <col min="2064" max="2064" width="9.140625" style="152" customWidth="1"/>
    <col min="2065" max="2065" width="7.42578125" style="152" customWidth="1"/>
    <col min="2066" max="2068" width="30.7109375" style="152" customWidth="1"/>
    <col min="2069" max="2074" width="17.28515625" style="152" customWidth="1"/>
    <col min="2075" max="2317" width="6.42578125" style="152"/>
    <col min="2318" max="2319" width="4.42578125" style="152" customWidth="1"/>
    <col min="2320" max="2320" width="9.140625" style="152" customWidth="1"/>
    <col min="2321" max="2321" width="7.42578125" style="152" customWidth="1"/>
    <col min="2322" max="2324" width="30.7109375" style="152" customWidth="1"/>
    <col min="2325" max="2330" width="17.28515625" style="152" customWidth="1"/>
    <col min="2331" max="2573" width="6.42578125" style="152"/>
    <col min="2574" max="2575" width="4.42578125" style="152" customWidth="1"/>
    <col min="2576" max="2576" width="9.140625" style="152" customWidth="1"/>
    <col min="2577" max="2577" width="7.42578125" style="152" customWidth="1"/>
    <col min="2578" max="2580" width="30.7109375" style="152" customWidth="1"/>
    <col min="2581" max="2586" width="17.28515625" style="152" customWidth="1"/>
    <col min="2587" max="2829" width="6.42578125" style="152"/>
    <col min="2830" max="2831" width="4.42578125" style="152" customWidth="1"/>
    <col min="2832" max="2832" width="9.140625" style="152" customWidth="1"/>
    <col min="2833" max="2833" width="7.42578125" style="152" customWidth="1"/>
    <col min="2834" max="2836" width="30.7109375" style="152" customWidth="1"/>
    <col min="2837" max="2842" width="17.28515625" style="152" customWidth="1"/>
    <col min="2843" max="3085" width="6.42578125" style="152"/>
    <col min="3086" max="3087" width="4.42578125" style="152" customWidth="1"/>
    <col min="3088" max="3088" width="9.140625" style="152" customWidth="1"/>
    <col min="3089" max="3089" width="7.42578125" style="152" customWidth="1"/>
    <col min="3090" max="3092" width="30.7109375" style="152" customWidth="1"/>
    <col min="3093" max="3098" width="17.28515625" style="152" customWidth="1"/>
    <col min="3099" max="3341" width="6.42578125" style="152"/>
    <col min="3342" max="3343" width="4.42578125" style="152" customWidth="1"/>
    <col min="3344" max="3344" width="9.140625" style="152" customWidth="1"/>
    <col min="3345" max="3345" width="7.42578125" style="152" customWidth="1"/>
    <col min="3346" max="3348" width="30.7109375" style="152" customWidth="1"/>
    <col min="3349" max="3354" width="17.28515625" style="152" customWidth="1"/>
    <col min="3355" max="3597" width="6.42578125" style="152"/>
    <col min="3598" max="3599" width="4.42578125" style="152" customWidth="1"/>
    <col min="3600" max="3600" width="9.140625" style="152" customWidth="1"/>
    <col min="3601" max="3601" width="7.42578125" style="152" customWidth="1"/>
    <col min="3602" max="3604" width="30.7109375" style="152" customWidth="1"/>
    <col min="3605" max="3610" width="17.28515625" style="152" customWidth="1"/>
    <col min="3611" max="3853" width="6.42578125" style="152"/>
    <col min="3854" max="3855" width="4.42578125" style="152" customWidth="1"/>
    <col min="3856" max="3856" width="9.140625" style="152" customWidth="1"/>
    <col min="3857" max="3857" width="7.42578125" style="152" customWidth="1"/>
    <col min="3858" max="3860" width="30.7109375" style="152" customWidth="1"/>
    <col min="3861" max="3866" width="17.28515625" style="152" customWidth="1"/>
    <col min="3867" max="4109" width="6.42578125" style="152"/>
    <col min="4110" max="4111" width="4.42578125" style="152" customWidth="1"/>
    <col min="4112" max="4112" width="9.140625" style="152" customWidth="1"/>
    <col min="4113" max="4113" width="7.42578125" style="152" customWidth="1"/>
    <col min="4114" max="4116" width="30.7109375" style="152" customWidth="1"/>
    <col min="4117" max="4122" width="17.28515625" style="152" customWidth="1"/>
    <col min="4123" max="4365" width="6.42578125" style="152"/>
    <col min="4366" max="4367" width="4.42578125" style="152" customWidth="1"/>
    <col min="4368" max="4368" width="9.140625" style="152" customWidth="1"/>
    <col min="4369" max="4369" width="7.42578125" style="152" customWidth="1"/>
    <col min="4370" max="4372" width="30.7109375" style="152" customWidth="1"/>
    <col min="4373" max="4378" width="17.28515625" style="152" customWidth="1"/>
    <col min="4379" max="4621" width="6.42578125" style="152"/>
    <col min="4622" max="4623" width="4.42578125" style="152" customWidth="1"/>
    <col min="4624" max="4624" width="9.140625" style="152" customWidth="1"/>
    <col min="4625" max="4625" width="7.42578125" style="152" customWidth="1"/>
    <col min="4626" max="4628" width="30.7109375" style="152" customWidth="1"/>
    <col min="4629" max="4634" width="17.28515625" style="152" customWidth="1"/>
    <col min="4635" max="4877" width="6.42578125" style="152"/>
    <col min="4878" max="4879" width="4.42578125" style="152" customWidth="1"/>
    <col min="4880" max="4880" width="9.140625" style="152" customWidth="1"/>
    <col min="4881" max="4881" width="7.42578125" style="152" customWidth="1"/>
    <col min="4882" max="4884" width="30.7109375" style="152" customWidth="1"/>
    <col min="4885" max="4890" width="17.28515625" style="152" customWidth="1"/>
    <col min="4891" max="5133" width="6.42578125" style="152"/>
    <col min="5134" max="5135" width="4.42578125" style="152" customWidth="1"/>
    <col min="5136" max="5136" width="9.140625" style="152" customWidth="1"/>
    <col min="5137" max="5137" width="7.42578125" style="152" customWidth="1"/>
    <col min="5138" max="5140" width="30.7109375" style="152" customWidth="1"/>
    <col min="5141" max="5146" width="17.28515625" style="152" customWidth="1"/>
    <col min="5147" max="5389" width="6.42578125" style="152"/>
    <col min="5390" max="5391" width="4.42578125" style="152" customWidth="1"/>
    <col min="5392" max="5392" width="9.140625" style="152" customWidth="1"/>
    <col min="5393" max="5393" width="7.42578125" style="152" customWidth="1"/>
    <col min="5394" max="5396" width="30.7109375" style="152" customWidth="1"/>
    <col min="5397" max="5402" width="17.28515625" style="152" customWidth="1"/>
    <col min="5403" max="5645" width="6.42578125" style="152"/>
    <col min="5646" max="5647" width="4.42578125" style="152" customWidth="1"/>
    <col min="5648" max="5648" width="9.140625" style="152" customWidth="1"/>
    <col min="5649" max="5649" width="7.42578125" style="152" customWidth="1"/>
    <col min="5650" max="5652" width="30.7109375" style="152" customWidth="1"/>
    <col min="5653" max="5658" width="17.28515625" style="152" customWidth="1"/>
    <col min="5659" max="5901" width="6.42578125" style="152"/>
    <col min="5902" max="5903" width="4.42578125" style="152" customWidth="1"/>
    <col min="5904" max="5904" width="9.140625" style="152" customWidth="1"/>
    <col min="5905" max="5905" width="7.42578125" style="152" customWidth="1"/>
    <col min="5906" max="5908" width="30.7109375" style="152" customWidth="1"/>
    <col min="5909" max="5914" width="17.28515625" style="152" customWidth="1"/>
    <col min="5915" max="6157" width="6.42578125" style="152"/>
    <col min="6158" max="6159" width="4.42578125" style="152" customWidth="1"/>
    <col min="6160" max="6160" width="9.140625" style="152" customWidth="1"/>
    <col min="6161" max="6161" width="7.42578125" style="152" customWidth="1"/>
    <col min="6162" max="6164" width="30.7109375" style="152" customWidth="1"/>
    <col min="6165" max="6170" width="17.28515625" style="152" customWidth="1"/>
    <col min="6171" max="6413" width="6.42578125" style="152"/>
    <col min="6414" max="6415" width="4.42578125" style="152" customWidth="1"/>
    <col min="6416" max="6416" width="9.140625" style="152" customWidth="1"/>
    <col min="6417" max="6417" width="7.42578125" style="152" customWidth="1"/>
    <col min="6418" max="6420" width="30.7109375" style="152" customWidth="1"/>
    <col min="6421" max="6426" width="17.28515625" style="152" customWidth="1"/>
    <col min="6427" max="6669" width="6.42578125" style="152"/>
    <col min="6670" max="6671" width="4.42578125" style="152" customWidth="1"/>
    <col min="6672" max="6672" width="9.140625" style="152" customWidth="1"/>
    <col min="6673" max="6673" width="7.42578125" style="152" customWidth="1"/>
    <col min="6674" max="6676" width="30.7109375" style="152" customWidth="1"/>
    <col min="6677" max="6682" width="17.28515625" style="152" customWidth="1"/>
    <col min="6683" max="6925" width="6.42578125" style="152"/>
    <col min="6926" max="6927" width="4.42578125" style="152" customWidth="1"/>
    <col min="6928" max="6928" width="9.140625" style="152" customWidth="1"/>
    <col min="6929" max="6929" width="7.42578125" style="152" customWidth="1"/>
    <col min="6930" max="6932" width="30.7109375" style="152" customWidth="1"/>
    <col min="6933" max="6938" width="17.28515625" style="152" customWidth="1"/>
    <col min="6939" max="7181" width="6.42578125" style="152"/>
    <col min="7182" max="7183" width="4.42578125" style="152" customWidth="1"/>
    <col min="7184" max="7184" width="9.140625" style="152" customWidth="1"/>
    <col min="7185" max="7185" width="7.42578125" style="152" customWidth="1"/>
    <col min="7186" max="7188" width="30.7109375" style="152" customWidth="1"/>
    <col min="7189" max="7194" width="17.28515625" style="152" customWidth="1"/>
    <col min="7195" max="7437" width="6.42578125" style="152"/>
    <col min="7438" max="7439" width="4.42578125" style="152" customWidth="1"/>
    <col min="7440" max="7440" width="9.140625" style="152" customWidth="1"/>
    <col min="7441" max="7441" width="7.42578125" style="152" customWidth="1"/>
    <col min="7442" max="7444" width="30.7109375" style="152" customWidth="1"/>
    <col min="7445" max="7450" width="17.28515625" style="152" customWidth="1"/>
    <col min="7451" max="7693" width="6.42578125" style="152"/>
    <col min="7694" max="7695" width="4.42578125" style="152" customWidth="1"/>
    <col min="7696" max="7696" width="9.140625" style="152" customWidth="1"/>
    <col min="7697" max="7697" width="7.42578125" style="152" customWidth="1"/>
    <col min="7698" max="7700" width="30.7109375" style="152" customWidth="1"/>
    <col min="7701" max="7706" width="17.28515625" style="152" customWidth="1"/>
    <col min="7707" max="7949" width="6.42578125" style="152"/>
    <col min="7950" max="7951" width="4.42578125" style="152" customWidth="1"/>
    <col min="7952" max="7952" width="9.140625" style="152" customWidth="1"/>
    <col min="7953" max="7953" width="7.42578125" style="152" customWidth="1"/>
    <col min="7954" max="7956" width="30.7109375" style="152" customWidth="1"/>
    <col min="7957" max="7962" width="17.28515625" style="152" customWidth="1"/>
    <col min="7963" max="8205" width="6.42578125" style="152"/>
    <col min="8206" max="8207" width="4.42578125" style="152" customWidth="1"/>
    <col min="8208" max="8208" width="9.140625" style="152" customWidth="1"/>
    <col min="8209" max="8209" width="7.42578125" style="152" customWidth="1"/>
    <col min="8210" max="8212" width="30.7109375" style="152" customWidth="1"/>
    <col min="8213" max="8218" width="17.28515625" style="152" customWidth="1"/>
    <col min="8219" max="8461" width="6.42578125" style="152"/>
    <col min="8462" max="8463" width="4.42578125" style="152" customWidth="1"/>
    <col min="8464" max="8464" width="9.140625" style="152" customWidth="1"/>
    <col min="8465" max="8465" width="7.42578125" style="152" customWidth="1"/>
    <col min="8466" max="8468" width="30.7109375" style="152" customWidth="1"/>
    <col min="8469" max="8474" width="17.28515625" style="152" customWidth="1"/>
    <col min="8475" max="8717" width="6.42578125" style="152"/>
    <col min="8718" max="8719" width="4.42578125" style="152" customWidth="1"/>
    <col min="8720" max="8720" width="9.140625" style="152" customWidth="1"/>
    <col min="8721" max="8721" width="7.42578125" style="152" customWidth="1"/>
    <col min="8722" max="8724" width="30.7109375" style="152" customWidth="1"/>
    <col min="8725" max="8730" width="17.28515625" style="152" customWidth="1"/>
    <col min="8731" max="8973" width="6.42578125" style="152"/>
    <col min="8974" max="8975" width="4.42578125" style="152" customWidth="1"/>
    <col min="8976" max="8976" width="9.140625" style="152" customWidth="1"/>
    <col min="8977" max="8977" width="7.42578125" style="152" customWidth="1"/>
    <col min="8978" max="8980" width="30.7109375" style="152" customWidth="1"/>
    <col min="8981" max="8986" width="17.28515625" style="152" customWidth="1"/>
    <col min="8987" max="9229" width="6.42578125" style="152"/>
    <col min="9230" max="9231" width="4.42578125" style="152" customWidth="1"/>
    <col min="9232" max="9232" width="9.140625" style="152" customWidth="1"/>
    <col min="9233" max="9233" width="7.42578125" style="152" customWidth="1"/>
    <col min="9234" max="9236" width="30.7109375" style="152" customWidth="1"/>
    <col min="9237" max="9242" width="17.28515625" style="152" customWidth="1"/>
    <col min="9243" max="9485" width="6.42578125" style="152"/>
    <col min="9486" max="9487" width="4.42578125" style="152" customWidth="1"/>
    <col min="9488" max="9488" width="9.140625" style="152" customWidth="1"/>
    <col min="9489" max="9489" width="7.42578125" style="152" customWidth="1"/>
    <col min="9490" max="9492" width="30.7109375" style="152" customWidth="1"/>
    <col min="9493" max="9498" width="17.28515625" style="152" customWidth="1"/>
    <col min="9499" max="9741" width="6.42578125" style="152"/>
    <col min="9742" max="9743" width="4.42578125" style="152" customWidth="1"/>
    <col min="9744" max="9744" width="9.140625" style="152" customWidth="1"/>
    <col min="9745" max="9745" width="7.42578125" style="152" customWidth="1"/>
    <col min="9746" max="9748" width="30.7109375" style="152" customWidth="1"/>
    <col min="9749" max="9754" width="17.28515625" style="152" customWidth="1"/>
    <col min="9755" max="9997" width="6.42578125" style="152"/>
    <col min="9998" max="9999" width="4.42578125" style="152" customWidth="1"/>
    <col min="10000" max="10000" width="9.140625" style="152" customWidth="1"/>
    <col min="10001" max="10001" width="7.42578125" style="152" customWidth="1"/>
    <col min="10002" max="10004" width="30.7109375" style="152" customWidth="1"/>
    <col min="10005" max="10010" width="17.28515625" style="152" customWidth="1"/>
    <col min="10011" max="10253" width="6.42578125" style="152"/>
    <col min="10254" max="10255" width="4.42578125" style="152" customWidth="1"/>
    <col min="10256" max="10256" width="9.140625" style="152" customWidth="1"/>
    <col min="10257" max="10257" width="7.42578125" style="152" customWidth="1"/>
    <col min="10258" max="10260" width="30.7109375" style="152" customWidth="1"/>
    <col min="10261" max="10266" width="17.28515625" style="152" customWidth="1"/>
    <col min="10267" max="10509" width="6.42578125" style="152"/>
    <col min="10510" max="10511" width="4.42578125" style="152" customWidth="1"/>
    <col min="10512" max="10512" width="9.140625" style="152" customWidth="1"/>
    <col min="10513" max="10513" width="7.42578125" style="152" customWidth="1"/>
    <col min="10514" max="10516" width="30.7109375" style="152" customWidth="1"/>
    <col min="10517" max="10522" width="17.28515625" style="152" customWidth="1"/>
    <col min="10523" max="10765" width="6.42578125" style="152"/>
    <col min="10766" max="10767" width="4.42578125" style="152" customWidth="1"/>
    <col min="10768" max="10768" width="9.140625" style="152" customWidth="1"/>
    <col min="10769" max="10769" width="7.42578125" style="152" customWidth="1"/>
    <col min="10770" max="10772" width="30.7109375" style="152" customWidth="1"/>
    <col min="10773" max="10778" width="17.28515625" style="152" customWidth="1"/>
    <col min="10779" max="11021" width="6.42578125" style="152"/>
    <col min="11022" max="11023" width="4.42578125" style="152" customWidth="1"/>
    <col min="11024" max="11024" width="9.140625" style="152" customWidth="1"/>
    <col min="11025" max="11025" width="7.42578125" style="152" customWidth="1"/>
    <col min="11026" max="11028" width="30.7109375" style="152" customWidth="1"/>
    <col min="11029" max="11034" width="17.28515625" style="152" customWidth="1"/>
    <col min="11035" max="11277" width="6.42578125" style="152"/>
    <col min="11278" max="11279" width="4.42578125" style="152" customWidth="1"/>
    <col min="11280" max="11280" width="9.140625" style="152" customWidth="1"/>
    <col min="11281" max="11281" width="7.42578125" style="152" customWidth="1"/>
    <col min="11282" max="11284" width="30.7109375" style="152" customWidth="1"/>
    <col min="11285" max="11290" width="17.28515625" style="152" customWidth="1"/>
    <col min="11291" max="11533" width="6.42578125" style="152"/>
    <col min="11534" max="11535" width="4.42578125" style="152" customWidth="1"/>
    <col min="11536" max="11536" width="9.140625" style="152" customWidth="1"/>
    <col min="11537" max="11537" width="7.42578125" style="152" customWidth="1"/>
    <col min="11538" max="11540" width="30.7109375" style="152" customWidth="1"/>
    <col min="11541" max="11546" width="17.28515625" style="152" customWidth="1"/>
    <col min="11547" max="11789" width="6.42578125" style="152"/>
    <col min="11790" max="11791" width="4.42578125" style="152" customWidth="1"/>
    <col min="11792" max="11792" width="9.140625" style="152" customWidth="1"/>
    <col min="11793" max="11793" width="7.42578125" style="152" customWidth="1"/>
    <col min="11794" max="11796" width="30.7109375" style="152" customWidth="1"/>
    <col min="11797" max="11802" width="17.28515625" style="152" customWidth="1"/>
    <col min="11803" max="12045" width="6.42578125" style="152"/>
    <col min="12046" max="12047" width="4.42578125" style="152" customWidth="1"/>
    <col min="12048" max="12048" width="9.140625" style="152" customWidth="1"/>
    <col min="12049" max="12049" width="7.42578125" style="152" customWidth="1"/>
    <col min="12050" max="12052" width="30.7109375" style="152" customWidth="1"/>
    <col min="12053" max="12058" width="17.28515625" style="152" customWidth="1"/>
    <col min="12059" max="12301" width="6.42578125" style="152"/>
    <col min="12302" max="12303" width="4.42578125" style="152" customWidth="1"/>
    <col min="12304" max="12304" width="9.140625" style="152" customWidth="1"/>
    <col min="12305" max="12305" width="7.42578125" style="152" customWidth="1"/>
    <col min="12306" max="12308" width="30.7109375" style="152" customWidth="1"/>
    <col min="12309" max="12314" width="17.28515625" style="152" customWidth="1"/>
    <col min="12315" max="12557" width="6.42578125" style="152"/>
    <col min="12558" max="12559" width="4.42578125" style="152" customWidth="1"/>
    <col min="12560" max="12560" width="9.140625" style="152" customWidth="1"/>
    <col min="12561" max="12561" width="7.42578125" style="152" customWidth="1"/>
    <col min="12562" max="12564" width="30.7109375" style="152" customWidth="1"/>
    <col min="12565" max="12570" width="17.28515625" style="152" customWidth="1"/>
    <col min="12571" max="12813" width="6.42578125" style="152"/>
    <col min="12814" max="12815" width="4.42578125" style="152" customWidth="1"/>
    <col min="12816" max="12816" width="9.140625" style="152" customWidth="1"/>
    <col min="12817" max="12817" width="7.42578125" style="152" customWidth="1"/>
    <col min="12818" max="12820" width="30.7109375" style="152" customWidth="1"/>
    <col min="12821" max="12826" width="17.28515625" style="152" customWidth="1"/>
    <col min="12827" max="13069" width="6.42578125" style="152"/>
    <col min="13070" max="13071" width="4.42578125" style="152" customWidth="1"/>
    <col min="13072" max="13072" width="9.140625" style="152" customWidth="1"/>
    <col min="13073" max="13073" width="7.42578125" style="152" customWidth="1"/>
    <col min="13074" max="13076" width="30.7109375" style="152" customWidth="1"/>
    <col min="13077" max="13082" width="17.28515625" style="152" customWidth="1"/>
    <col min="13083" max="13325" width="6.42578125" style="152"/>
    <col min="13326" max="13327" width="4.42578125" style="152" customWidth="1"/>
    <col min="13328" max="13328" width="9.140625" style="152" customWidth="1"/>
    <col min="13329" max="13329" width="7.42578125" style="152" customWidth="1"/>
    <col min="13330" max="13332" width="30.7109375" style="152" customWidth="1"/>
    <col min="13333" max="13338" width="17.28515625" style="152" customWidth="1"/>
    <col min="13339" max="13581" width="6.42578125" style="152"/>
    <col min="13582" max="13583" width="4.42578125" style="152" customWidth="1"/>
    <col min="13584" max="13584" width="9.140625" style="152" customWidth="1"/>
    <col min="13585" max="13585" width="7.42578125" style="152" customWidth="1"/>
    <col min="13586" max="13588" width="30.7109375" style="152" customWidth="1"/>
    <col min="13589" max="13594" width="17.28515625" style="152" customWidth="1"/>
    <col min="13595" max="13837" width="6.42578125" style="152"/>
    <col min="13838" max="13839" width="4.42578125" style="152" customWidth="1"/>
    <col min="13840" max="13840" width="9.140625" style="152" customWidth="1"/>
    <col min="13841" max="13841" width="7.42578125" style="152" customWidth="1"/>
    <col min="13842" max="13844" width="30.7109375" style="152" customWidth="1"/>
    <col min="13845" max="13850" width="17.28515625" style="152" customWidth="1"/>
    <col min="13851" max="14093" width="6.42578125" style="152"/>
    <col min="14094" max="14095" width="4.42578125" style="152" customWidth="1"/>
    <col min="14096" max="14096" width="9.140625" style="152" customWidth="1"/>
    <col min="14097" max="14097" width="7.42578125" style="152" customWidth="1"/>
    <col min="14098" max="14100" width="30.7109375" style="152" customWidth="1"/>
    <col min="14101" max="14106" width="17.28515625" style="152" customWidth="1"/>
    <col min="14107" max="14349" width="6.42578125" style="152"/>
    <col min="14350" max="14351" width="4.42578125" style="152" customWidth="1"/>
    <col min="14352" max="14352" width="9.140625" style="152" customWidth="1"/>
    <col min="14353" max="14353" width="7.42578125" style="152" customWidth="1"/>
    <col min="14354" max="14356" width="30.7109375" style="152" customWidth="1"/>
    <col min="14357" max="14362" width="17.28515625" style="152" customWidth="1"/>
    <col min="14363" max="14605" width="6.42578125" style="152"/>
    <col min="14606" max="14607" width="4.42578125" style="152" customWidth="1"/>
    <col min="14608" max="14608" width="9.140625" style="152" customWidth="1"/>
    <col min="14609" max="14609" width="7.42578125" style="152" customWidth="1"/>
    <col min="14610" max="14612" width="30.7109375" style="152" customWidth="1"/>
    <col min="14613" max="14618" width="17.28515625" style="152" customWidth="1"/>
    <col min="14619" max="14861" width="6.42578125" style="152"/>
    <col min="14862" max="14863" width="4.42578125" style="152" customWidth="1"/>
    <col min="14864" max="14864" width="9.140625" style="152" customWidth="1"/>
    <col min="14865" max="14865" width="7.42578125" style="152" customWidth="1"/>
    <col min="14866" max="14868" width="30.7109375" style="152" customWidth="1"/>
    <col min="14869" max="14874" width="17.28515625" style="152" customWidth="1"/>
    <col min="14875" max="15117" width="6.42578125" style="152"/>
    <col min="15118" max="15119" width="4.42578125" style="152" customWidth="1"/>
    <col min="15120" max="15120" width="9.140625" style="152" customWidth="1"/>
    <col min="15121" max="15121" width="7.42578125" style="152" customWidth="1"/>
    <col min="15122" max="15124" width="30.7109375" style="152" customWidth="1"/>
    <col min="15125" max="15130" width="17.28515625" style="152" customWidth="1"/>
    <col min="15131" max="15373" width="6.42578125" style="152"/>
    <col min="15374" max="15375" width="4.42578125" style="152" customWidth="1"/>
    <col min="15376" max="15376" width="9.140625" style="152" customWidth="1"/>
    <col min="15377" max="15377" width="7.42578125" style="152" customWidth="1"/>
    <col min="15378" max="15380" width="30.7109375" style="152" customWidth="1"/>
    <col min="15381" max="15386" width="17.28515625" style="152" customWidth="1"/>
    <col min="15387" max="15629" width="6.42578125" style="152"/>
    <col min="15630" max="15631" width="4.42578125" style="152" customWidth="1"/>
    <col min="15632" max="15632" width="9.140625" style="152" customWidth="1"/>
    <col min="15633" max="15633" width="7.42578125" style="152" customWidth="1"/>
    <col min="15634" max="15636" width="30.7109375" style="152" customWidth="1"/>
    <col min="15637" max="15642" width="17.28515625" style="152" customWidth="1"/>
    <col min="15643" max="15885" width="6.42578125" style="152"/>
    <col min="15886" max="15887" width="4.42578125" style="152" customWidth="1"/>
    <col min="15888" max="15888" width="9.140625" style="152" customWidth="1"/>
    <col min="15889" max="15889" width="7.42578125" style="152" customWidth="1"/>
    <col min="15890" max="15892" width="30.7109375" style="152" customWidth="1"/>
    <col min="15893" max="15898" width="17.28515625" style="152" customWidth="1"/>
    <col min="15899" max="16141" width="6.42578125" style="152"/>
    <col min="16142" max="16143" width="4.42578125" style="152" customWidth="1"/>
    <col min="16144" max="16144" width="9.140625" style="152" customWidth="1"/>
    <col min="16145" max="16145" width="7.42578125" style="152" customWidth="1"/>
    <col min="16146" max="16148" width="30.7109375" style="152" customWidth="1"/>
    <col min="16149" max="16154" width="17.28515625" style="152" customWidth="1"/>
    <col min="16155" max="16384" width="6.42578125" style="152"/>
  </cols>
  <sheetData>
    <row r="1" spans="1:27" ht="19.5" customHeight="1">
      <c r="A1" s="146" t="s">
        <v>561</v>
      </c>
      <c r="B1" s="147"/>
      <c r="D1" s="149"/>
      <c r="E1" s="149"/>
      <c r="F1" s="149"/>
      <c r="G1" s="149"/>
      <c r="H1" s="149"/>
      <c r="I1" s="149"/>
      <c r="J1" s="149"/>
      <c r="K1" s="149"/>
      <c r="L1" s="149"/>
      <c r="M1" s="149"/>
      <c r="N1" s="150"/>
      <c r="O1" s="146" t="s">
        <v>339</v>
      </c>
      <c r="P1" s="147"/>
      <c r="Q1" s="151"/>
      <c r="R1" s="149"/>
      <c r="S1" s="149"/>
      <c r="T1" s="149"/>
      <c r="U1" s="149"/>
      <c r="V1" s="149"/>
      <c r="W1" s="149"/>
      <c r="X1" s="149"/>
      <c r="Y1" s="149"/>
      <c r="Z1" s="149"/>
      <c r="AA1" s="149"/>
    </row>
    <row r="2" spans="1:27" s="158" customFormat="1" ht="15" customHeight="1">
      <c r="A2" s="153" t="s">
        <v>340</v>
      </c>
      <c r="B2" s="618" t="s">
        <v>341</v>
      </c>
      <c r="C2" s="154" t="s">
        <v>342</v>
      </c>
      <c r="D2" s="155" t="s">
        <v>343</v>
      </c>
      <c r="E2" s="615" t="s">
        <v>344</v>
      </c>
      <c r="F2" s="616"/>
      <c r="G2" s="617"/>
      <c r="H2" s="615" t="s">
        <v>345</v>
      </c>
      <c r="I2" s="616"/>
      <c r="J2" s="616"/>
      <c r="K2" s="616"/>
      <c r="L2" s="616"/>
      <c r="M2" s="617"/>
      <c r="N2" s="156"/>
      <c r="O2" s="153" t="s">
        <v>340</v>
      </c>
      <c r="P2" s="618" t="s">
        <v>341</v>
      </c>
      <c r="Q2" s="157" t="s">
        <v>342</v>
      </c>
      <c r="R2" s="155" t="s">
        <v>343</v>
      </c>
      <c r="S2" s="615" t="s">
        <v>344</v>
      </c>
      <c r="T2" s="616"/>
      <c r="U2" s="617"/>
      <c r="V2" s="615" t="s">
        <v>345</v>
      </c>
      <c r="W2" s="616"/>
      <c r="X2" s="616"/>
      <c r="Y2" s="616"/>
      <c r="Z2" s="616"/>
      <c r="AA2" s="617"/>
    </row>
    <row r="3" spans="1:27" s="158" customFormat="1" ht="15" customHeight="1">
      <c r="A3" s="159" t="s">
        <v>346</v>
      </c>
      <c r="B3" s="619"/>
      <c r="C3" s="160" t="s">
        <v>347</v>
      </c>
      <c r="D3" s="161" t="s">
        <v>348</v>
      </c>
      <c r="E3" s="162" t="s">
        <v>349</v>
      </c>
      <c r="F3" s="159" t="s">
        <v>350</v>
      </c>
      <c r="G3" s="159" t="s">
        <v>351</v>
      </c>
      <c r="H3" s="159" t="s">
        <v>352</v>
      </c>
      <c r="I3" s="159" t="s">
        <v>353</v>
      </c>
      <c r="J3" s="159" t="s">
        <v>354</v>
      </c>
      <c r="K3" s="159" t="s">
        <v>355</v>
      </c>
      <c r="L3" s="159" t="s">
        <v>562</v>
      </c>
      <c r="M3" s="163" t="s">
        <v>357</v>
      </c>
      <c r="N3" s="164"/>
      <c r="O3" s="159" t="s">
        <v>346</v>
      </c>
      <c r="P3" s="619"/>
      <c r="Q3" s="165" t="s">
        <v>347</v>
      </c>
      <c r="R3" s="161" t="s">
        <v>348</v>
      </c>
      <c r="S3" s="162" t="s">
        <v>349</v>
      </c>
      <c r="T3" s="159" t="s">
        <v>350</v>
      </c>
      <c r="U3" s="159" t="s">
        <v>351</v>
      </c>
      <c r="V3" s="159" t="s">
        <v>352</v>
      </c>
      <c r="W3" s="159" t="s">
        <v>353</v>
      </c>
      <c r="X3" s="159" t="s">
        <v>354</v>
      </c>
      <c r="Y3" s="159" t="s">
        <v>355</v>
      </c>
      <c r="Z3" s="166" t="s">
        <v>356</v>
      </c>
      <c r="AA3" s="163" t="s">
        <v>357</v>
      </c>
    </row>
    <row r="4" spans="1:27" ht="14.45">
      <c r="A4" s="622" t="s">
        <v>563</v>
      </c>
      <c r="B4" s="625" t="s">
        <v>564</v>
      </c>
      <c r="C4" s="628" t="s">
        <v>565</v>
      </c>
      <c r="D4" s="628" t="s">
        <v>566</v>
      </c>
      <c r="E4" s="632" t="s">
        <v>567</v>
      </c>
      <c r="F4" s="633"/>
      <c r="G4" s="634"/>
      <c r="H4" s="620" t="s">
        <v>568</v>
      </c>
      <c r="I4" s="620" t="s">
        <v>569</v>
      </c>
      <c r="J4" s="620" t="s">
        <v>570</v>
      </c>
      <c r="K4" s="620" t="s">
        <v>571</v>
      </c>
      <c r="L4" s="620" t="s">
        <v>572</v>
      </c>
      <c r="M4" s="620" t="s">
        <v>573</v>
      </c>
      <c r="N4" s="167"/>
      <c r="O4" s="622" t="s">
        <v>358</v>
      </c>
      <c r="P4" s="625" t="s">
        <v>108</v>
      </c>
      <c r="Q4" s="168"/>
      <c r="R4" s="628" t="s">
        <v>359</v>
      </c>
      <c r="S4" s="632" t="s">
        <v>360</v>
      </c>
      <c r="T4" s="633"/>
      <c r="U4" s="634"/>
      <c r="V4" s="620" t="s">
        <v>361</v>
      </c>
      <c r="W4" s="620" t="s">
        <v>362</v>
      </c>
      <c r="X4" s="620" t="s">
        <v>363</v>
      </c>
      <c r="Y4" s="620" t="s">
        <v>364</v>
      </c>
      <c r="Z4" s="620" t="s">
        <v>365</v>
      </c>
      <c r="AA4" s="647"/>
    </row>
    <row r="5" spans="1:27" ht="14.45">
      <c r="A5" s="623"/>
      <c r="B5" s="626"/>
      <c r="C5" s="629"/>
      <c r="D5" s="629"/>
      <c r="E5" s="635"/>
      <c r="F5" s="636"/>
      <c r="G5" s="637"/>
      <c r="H5" s="621"/>
      <c r="I5" s="621"/>
      <c r="J5" s="621"/>
      <c r="K5" s="621"/>
      <c r="L5" s="621"/>
      <c r="M5" s="621"/>
      <c r="N5" s="169"/>
      <c r="O5" s="623"/>
      <c r="P5" s="626"/>
      <c r="Q5" s="168"/>
      <c r="R5" s="650"/>
      <c r="S5" s="635"/>
      <c r="T5" s="636"/>
      <c r="U5" s="637"/>
      <c r="V5" s="648"/>
      <c r="W5" s="648"/>
      <c r="X5" s="648"/>
      <c r="Y5" s="648"/>
      <c r="Z5" s="621"/>
      <c r="AA5" s="648"/>
    </row>
    <row r="6" spans="1:27" ht="14.45">
      <c r="A6" s="623"/>
      <c r="B6" s="626"/>
      <c r="C6" s="629"/>
      <c r="D6" s="629"/>
      <c r="E6" s="620" t="s">
        <v>574</v>
      </c>
      <c r="F6" s="620" t="s">
        <v>575</v>
      </c>
      <c r="G6" s="620" t="s">
        <v>576</v>
      </c>
      <c r="H6" s="621"/>
      <c r="I6" s="621"/>
      <c r="J6" s="621"/>
      <c r="K6" s="621"/>
      <c r="L6" s="621"/>
      <c r="M6" s="621"/>
      <c r="N6" s="169"/>
      <c r="O6" s="623"/>
      <c r="P6" s="626"/>
      <c r="Q6" s="151"/>
      <c r="R6" s="650"/>
      <c r="S6" s="620" t="s">
        <v>366</v>
      </c>
      <c r="T6" s="620" t="s">
        <v>367</v>
      </c>
      <c r="U6" s="620" t="s">
        <v>368</v>
      </c>
      <c r="V6" s="648"/>
      <c r="W6" s="648"/>
      <c r="X6" s="648"/>
      <c r="Y6" s="648"/>
      <c r="Z6" s="621"/>
      <c r="AA6" s="648"/>
    </row>
    <row r="7" spans="1:27" ht="14.45">
      <c r="A7" s="623"/>
      <c r="B7" s="626"/>
      <c r="C7" s="629"/>
      <c r="D7" s="629"/>
      <c r="E7" s="648"/>
      <c r="F7" s="648"/>
      <c r="G7" s="648"/>
      <c r="H7" s="621"/>
      <c r="I7" s="621"/>
      <c r="J7" s="621"/>
      <c r="K7" s="621"/>
      <c r="L7" s="621"/>
      <c r="M7" s="621"/>
      <c r="N7" s="169"/>
      <c r="O7" s="623"/>
      <c r="P7" s="626"/>
      <c r="Q7" s="168" t="s">
        <v>369</v>
      </c>
      <c r="R7" s="650"/>
      <c r="S7" s="648"/>
      <c r="T7" s="648"/>
      <c r="U7" s="648"/>
      <c r="V7" s="648"/>
      <c r="W7" s="648"/>
      <c r="X7" s="648"/>
      <c r="Y7" s="648"/>
      <c r="Z7" s="621"/>
      <c r="AA7" s="648"/>
    </row>
    <row r="8" spans="1:27" ht="14.45">
      <c r="A8" s="623"/>
      <c r="B8" s="626"/>
      <c r="C8" s="629"/>
      <c r="D8" s="629"/>
      <c r="E8" s="648"/>
      <c r="F8" s="648"/>
      <c r="G8" s="648"/>
      <c r="H8" s="621"/>
      <c r="I8" s="621"/>
      <c r="J8" s="621"/>
      <c r="K8" s="621"/>
      <c r="L8" s="621"/>
      <c r="M8" s="621"/>
      <c r="N8" s="169"/>
      <c r="O8" s="623"/>
      <c r="P8" s="626"/>
      <c r="Q8" s="168" t="s">
        <v>370</v>
      </c>
      <c r="R8" s="650"/>
      <c r="S8" s="648"/>
      <c r="T8" s="648"/>
      <c r="U8" s="648"/>
      <c r="V8" s="648"/>
      <c r="W8" s="648"/>
      <c r="X8" s="648"/>
      <c r="Y8" s="648"/>
      <c r="Z8" s="621"/>
      <c r="AA8" s="648"/>
    </row>
    <row r="9" spans="1:27" ht="14.45">
      <c r="A9" s="623"/>
      <c r="B9" s="626"/>
      <c r="C9" s="629"/>
      <c r="D9" s="629"/>
      <c r="E9" s="648"/>
      <c r="F9" s="648"/>
      <c r="G9" s="648"/>
      <c r="H9" s="621"/>
      <c r="I9" s="621"/>
      <c r="J9" s="621"/>
      <c r="K9" s="621"/>
      <c r="L9" s="621"/>
      <c r="M9" s="621"/>
      <c r="N9" s="169"/>
      <c r="O9" s="623"/>
      <c r="P9" s="626"/>
      <c r="Q9" s="168"/>
      <c r="R9" s="650"/>
      <c r="S9" s="648"/>
      <c r="T9" s="648"/>
      <c r="U9" s="648"/>
      <c r="V9" s="648"/>
      <c r="W9" s="648"/>
      <c r="X9" s="648"/>
      <c r="Y9" s="648"/>
      <c r="Z9" s="621"/>
      <c r="AA9" s="648"/>
    </row>
    <row r="10" spans="1:27" ht="14.45">
      <c r="A10" s="623"/>
      <c r="B10" s="626"/>
      <c r="C10" s="629"/>
      <c r="D10" s="629"/>
      <c r="E10" s="648"/>
      <c r="F10" s="648"/>
      <c r="G10" s="648"/>
      <c r="H10" s="621"/>
      <c r="I10" s="621"/>
      <c r="J10" s="621"/>
      <c r="K10" s="621"/>
      <c r="L10" s="621"/>
      <c r="M10" s="621"/>
      <c r="N10" s="169"/>
      <c r="O10" s="623"/>
      <c r="P10" s="626"/>
      <c r="Q10" s="168"/>
      <c r="R10" s="650"/>
      <c r="S10" s="648"/>
      <c r="T10" s="648"/>
      <c r="U10" s="648"/>
      <c r="V10" s="648"/>
      <c r="W10" s="648"/>
      <c r="X10" s="648"/>
      <c r="Y10" s="648"/>
      <c r="Z10" s="621"/>
      <c r="AA10" s="648"/>
    </row>
    <row r="11" spans="1:27" ht="14.45">
      <c r="A11" s="623"/>
      <c r="B11" s="626"/>
      <c r="C11" s="629"/>
      <c r="D11" s="629"/>
      <c r="E11" s="648"/>
      <c r="F11" s="648"/>
      <c r="G11" s="648"/>
      <c r="H11" s="621"/>
      <c r="I11" s="621"/>
      <c r="J11" s="621"/>
      <c r="K11" s="621"/>
      <c r="L11" s="621"/>
      <c r="M11" s="621"/>
      <c r="N11" s="169"/>
      <c r="O11" s="623"/>
      <c r="P11" s="626"/>
      <c r="Q11" s="168"/>
      <c r="R11" s="650"/>
      <c r="S11" s="648"/>
      <c r="T11" s="648"/>
      <c r="U11" s="648"/>
      <c r="V11" s="648"/>
      <c r="W11" s="648"/>
      <c r="X11" s="648"/>
      <c r="Y11" s="648"/>
      <c r="Z11" s="621"/>
      <c r="AA11" s="648"/>
    </row>
    <row r="12" spans="1:27" ht="14.45">
      <c r="A12" s="623"/>
      <c r="B12" s="627"/>
      <c r="C12" s="630"/>
      <c r="D12" s="629"/>
      <c r="E12" s="649"/>
      <c r="F12" s="649"/>
      <c r="G12" s="649"/>
      <c r="H12" s="621"/>
      <c r="I12" s="631"/>
      <c r="J12" s="631"/>
      <c r="K12" s="631"/>
      <c r="L12" s="631"/>
      <c r="M12" s="621"/>
      <c r="N12" s="169"/>
      <c r="O12" s="623"/>
      <c r="P12" s="627"/>
      <c r="Q12" s="170"/>
      <c r="R12" s="651"/>
      <c r="S12" s="649"/>
      <c r="T12" s="649"/>
      <c r="U12" s="649"/>
      <c r="V12" s="648"/>
      <c r="W12" s="648"/>
      <c r="X12" s="648"/>
      <c r="Y12" s="648"/>
      <c r="Z12" s="631"/>
      <c r="AA12" s="648"/>
    </row>
    <row r="13" spans="1:27">
      <c r="A13" s="622" t="s">
        <v>577</v>
      </c>
      <c r="B13" s="625" t="s">
        <v>113</v>
      </c>
      <c r="C13" s="628" t="s">
        <v>578</v>
      </c>
      <c r="D13" s="629"/>
      <c r="E13" s="632" t="s">
        <v>579</v>
      </c>
      <c r="F13" s="633"/>
      <c r="G13" s="634"/>
      <c r="H13" s="620" t="s">
        <v>580</v>
      </c>
      <c r="I13" s="620" t="s">
        <v>581</v>
      </c>
      <c r="J13" s="620" t="s">
        <v>582</v>
      </c>
      <c r="K13" s="620" t="s">
        <v>583</v>
      </c>
      <c r="L13" s="620" t="s">
        <v>584</v>
      </c>
      <c r="M13" s="621"/>
      <c r="N13" s="169"/>
      <c r="O13" s="623"/>
      <c r="P13" s="625" t="s">
        <v>112</v>
      </c>
      <c r="Q13" s="625" t="s">
        <v>371</v>
      </c>
      <c r="R13" s="628" t="s">
        <v>372</v>
      </c>
      <c r="S13" s="632" t="s">
        <v>373</v>
      </c>
      <c r="T13" s="633"/>
      <c r="U13" s="634"/>
      <c r="V13" s="648"/>
      <c r="W13" s="648"/>
      <c r="X13" s="648"/>
      <c r="Y13" s="648"/>
      <c r="Z13" s="620" t="s">
        <v>374</v>
      </c>
      <c r="AA13" s="648"/>
    </row>
    <row r="14" spans="1:27">
      <c r="A14" s="623"/>
      <c r="B14" s="626"/>
      <c r="C14" s="629"/>
      <c r="D14" s="629"/>
      <c r="E14" s="635"/>
      <c r="F14" s="636"/>
      <c r="G14" s="637"/>
      <c r="H14" s="621"/>
      <c r="I14" s="621"/>
      <c r="J14" s="621"/>
      <c r="K14" s="621"/>
      <c r="L14" s="621"/>
      <c r="M14" s="621"/>
      <c r="N14" s="169"/>
      <c r="O14" s="623"/>
      <c r="P14" s="626"/>
      <c r="Q14" s="626"/>
      <c r="R14" s="629"/>
      <c r="S14" s="635"/>
      <c r="T14" s="636"/>
      <c r="U14" s="637"/>
      <c r="V14" s="648"/>
      <c r="W14" s="648"/>
      <c r="X14" s="648"/>
      <c r="Y14" s="648"/>
      <c r="Z14" s="621"/>
      <c r="AA14" s="648"/>
    </row>
    <row r="15" spans="1:27">
      <c r="A15" s="623"/>
      <c r="B15" s="626"/>
      <c r="C15" s="629"/>
      <c r="D15" s="629"/>
      <c r="E15" s="620" t="s">
        <v>585</v>
      </c>
      <c r="F15" s="620" t="s">
        <v>586</v>
      </c>
      <c r="G15" s="620" t="s">
        <v>587</v>
      </c>
      <c r="H15" s="621"/>
      <c r="I15" s="621"/>
      <c r="J15" s="621"/>
      <c r="K15" s="621"/>
      <c r="L15" s="621"/>
      <c r="M15" s="621"/>
      <c r="N15" s="169"/>
      <c r="O15" s="623"/>
      <c r="P15" s="626"/>
      <c r="Q15" s="626"/>
      <c r="R15" s="629"/>
      <c r="S15" s="620" t="s">
        <v>375</v>
      </c>
      <c r="T15" s="620" t="s">
        <v>376</v>
      </c>
      <c r="U15" s="620" t="s">
        <v>377</v>
      </c>
      <c r="V15" s="648"/>
      <c r="W15" s="648"/>
      <c r="X15" s="648"/>
      <c r="Y15" s="648"/>
      <c r="Z15" s="621"/>
      <c r="AA15" s="648"/>
    </row>
    <row r="16" spans="1:27">
      <c r="A16" s="623"/>
      <c r="B16" s="626"/>
      <c r="C16" s="629"/>
      <c r="D16" s="629"/>
      <c r="E16" s="621"/>
      <c r="F16" s="621"/>
      <c r="G16" s="621"/>
      <c r="H16" s="621"/>
      <c r="I16" s="621"/>
      <c r="J16" s="621"/>
      <c r="K16" s="621"/>
      <c r="L16" s="621"/>
      <c r="M16" s="621"/>
      <c r="N16" s="169"/>
      <c r="O16" s="623"/>
      <c r="P16" s="626"/>
      <c r="Q16" s="626"/>
      <c r="R16" s="629"/>
      <c r="S16" s="621"/>
      <c r="T16" s="621"/>
      <c r="U16" s="621"/>
      <c r="V16" s="648"/>
      <c r="W16" s="648"/>
      <c r="X16" s="648"/>
      <c r="Y16" s="648"/>
      <c r="Z16" s="621"/>
      <c r="AA16" s="648"/>
    </row>
    <row r="17" spans="1:27">
      <c r="A17" s="623"/>
      <c r="B17" s="626"/>
      <c r="C17" s="629"/>
      <c r="D17" s="629"/>
      <c r="E17" s="621"/>
      <c r="F17" s="621"/>
      <c r="G17" s="621"/>
      <c r="H17" s="621"/>
      <c r="I17" s="621"/>
      <c r="J17" s="621"/>
      <c r="K17" s="621"/>
      <c r="L17" s="621"/>
      <c r="M17" s="621"/>
      <c r="N17" s="169"/>
      <c r="O17" s="623"/>
      <c r="P17" s="626"/>
      <c r="Q17" s="626"/>
      <c r="R17" s="629"/>
      <c r="S17" s="621"/>
      <c r="T17" s="621"/>
      <c r="U17" s="621"/>
      <c r="V17" s="648"/>
      <c r="W17" s="648"/>
      <c r="X17" s="648"/>
      <c r="Y17" s="648"/>
      <c r="Z17" s="621"/>
      <c r="AA17" s="648"/>
    </row>
    <row r="18" spans="1:27">
      <c r="A18" s="623"/>
      <c r="B18" s="626"/>
      <c r="C18" s="629"/>
      <c r="D18" s="629"/>
      <c r="E18" s="621"/>
      <c r="F18" s="621"/>
      <c r="G18" s="621"/>
      <c r="H18" s="621"/>
      <c r="I18" s="621"/>
      <c r="J18" s="621"/>
      <c r="K18" s="621"/>
      <c r="L18" s="621"/>
      <c r="M18" s="621"/>
      <c r="N18" s="169"/>
      <c r="O18" s="623"/>
      <c r="P18" s="626"/>
      <c r="Q18" s="626"/>
      <c r="R18" s="629"/>
      <c r="S18" s="621"/>
      <c r="T18" s="621"/>
      <c r="U18" s="621"/>
      <c r="V18" s="648"/>
      <c r="W18" s="648"/>
      <c r="X18" s="648"/>
      <c r="Y18" s="648"/>
      <c r="Z18" s="621"/>
      <c r="AA18" s="648"/>
    </row>
    <row r="19" spans="1:27">
      <c r="A19" s="623"/>
      <c r="B19" s="626"/>
      <c r="C19" s="629"/>
      <c r="D19" s="629"/>
      <c r="E19" s="621"/>
      <c r="F19" s="621"/>
      <c r="G19" s="621"/>
      <c r="H19" s="621"/>
      <c r="I19" s="621"/>
      <c r="J19" s="621"/>
      <c r="K19" s="621"/>
      <c r="L19" s="621"/>
      <c r="M19" s="621"/>
      <c r="N19" s="169"/>
      <c r="O19" s="623"/>
      <c r="P19" s="626"/>
      <c r="Q19" s="626"/>
      <c r="R19" s="629"/>
      <c r="S19" s="621"/>
      <c r="T19" s="621"/>
      <c r="U19" s="621"/>
      <c r="V19" s="648"/>
      <c r="W19" s="648"/>
      <c r="X19" s="648"/>
      <c r="Y19" s="648"/>
      <c r="Z19" s="621"/>
      <c r="AA19" s="648"/>
    </row>
    <row r="20" spans="1:27">
      <c r="A20" s="623"/>
      <c r="B20" s="626"/>
      <c r="C20" s="629"/>
      <c r="D20" s="629"/>
      <c r="E20" s="621"/>
      <c r="F20" s="621"/>
      <c r="G20" s="621"/>
      <c r="H20" s="621"/>
      <c r="I20" s="621"/>
      <c r="J20" s="621"/>
      <c r="K20" s="621"/>
      <c r="L20" s="621"/>
      <c r="M20" s="621"/>
      <c r="N20" s="169"/>
      <c r="O20" s="623"/>
      <c r="P20" s="626"/>
      <c r="Q20" s="626"/>
      <c r="R20" s="629"/>
      <c r="S20" s="621"/>
      <c r="T20" s="621"/>
      <c r="U20" s="621"/>
      <c r="V20" s="648"/>
      <c r="W20" s="648"/>
      <c r="X20" s="648"/>
      <c r="Y20" s="648"/>
      <c r="Z20" s="621"/>
      <c r="AA20" s="648"/>
    </row>
    <row r="21" spans="1:27">
      <c r="A21" s="623"/>
      <c r="B21" s="627"/>
      <c r="C21" s="630"/>
      <c r="D21" s="630"/>
      <c r="E21" s="631"/>
      <c r="F21" s="631"/>
      <c r="G21" s="631"/>
      <c r="H21" s="631"/>
      <c r="I21" s="631"/>
      <c r="J21" s="621"/>
      <c r="K21" s="631"/>
      <c r="L21" s="621"/>
      <c r="M21" s="621"/>
      <c r="N21" s="171"/>
      <c r="O21" s="624"/>
      <c r="P21" s="627"/>
      <c r="Q21" s="627"/>
      <c r="R21" s="630"/>
      <c r="S21" s="631"/>
      <c r="T21" s="631"/>
      <c r="U21" s="631"/>
      <c r="V21" s="649"/>
      <c r="W21" s="649"/>
      <c r="X21" s="649"/>
      <c r="Y21" s="649"/>
      <c r="Z21" s="631"/>
      <c r="AA21" s="649"/>
    </row>
    <row r="22" spans="1:27">
      <c r="A22" s="623"/>
      <c r="B22" s="626" t="s">
        <v>588</v>
      </c>
      <c r="C22" s="638" t="s">
        <v>119</v>
      </c>
      <c r="D22" s="641" t="s">
        <v>589</v>
      </c>
      <c r="E22" s="632" t="s">
        <v>590</v>
      </c>
      <c r="F22" s="633"/>
      <c r="G22" s="634"/>
      <c r="H22" s="620" t="s">
        <v>591</v>
      </c>
      <c r="I22" s="652" t="s">
        <v>592</v>
      </c>
      <c r="J22" s="621"/>
      <c r="K22" s="652" t="s">
        <v>593</v>
      </c>
      <c r="L22" s="621"/>
      <c r="M22" s="621"/>
      <c r="N22" s="172"/>
      <c r="O22" s="622" t="s">
        <v>378</v>
      </c>
      <c r="P22" s="626" t="s">
        <v>117</v>
      </c>
      <c r="Q22" s="173"/>
      <c r="R22" s="628" t="s">
        <v>379</v>
      </c>
      <c r="S22" s="658" t="s">
        <v>380</v>
      </c>
      <c r="T22" s="659"/>
      <c r="U22" s="660"/>
      <c r="V22" s="653" t="s">
        <v>381</v>
      </c>
      <c r="W22" s="653" t="s">
        <v>382</v>
      </c>
      <c r="X22" s="653" t="s">
        <v>383</v>
      </c>
      <c r="Y22" s="653" t="s">
        <v>384</v>
      </c>
      <c r="Z22" s="653" t="s">
        <v>385</v>
      </c>
      <c r="AA22" s="620"/>
    </row>
    <row r="23" spans="1:27" ht="14.45">
      <c r="A23" s="623"/>
      <c r="B23" s="626"/>
      <c r="C23" s="639"/>
      <c r="D23" s="642"/>
      <c r="E23" s="644"/>
      <c r="F23" s="645"/>
      <c r="G23" s="646"/>
      <c r="H23" s="621"/>
      <c r="I23" s="653"/>
      <c r="J23" s="621"/>
      <c r="K23" s="653"/>
      <c r="L23" s="621"/>
      <c r="M23" s="621"/>
      <c r="N23" s="169"/>
      <c r="O23" s="623"/>
      <c r="P23" s="626"/>
      <c r="Q23" s="174"/>
      <c r="R23" s="629"/>
      <c r="S23" s="644"/>
      <c r="T23" s="645"/>
      <c r="U23" s="646"/>
      <c r="V23" s="653"/>
      <c r="W23" s="653"/>
      <c r="X23" s="653"/>
      <c r="Y23" s="653"/>
      <c r="Z23" s="653"/>
      <c r="AA23" s="648"/>
    </row>
    <row r="24" spans="1:27" ht="14.45">
      <c r="A24" s="623"/>
      <c r="B24" s="626"/>
      <c r="C24" s="639"/>
      <c r="D24" s="642"/>
      <c r="E24" s="620" t="s">
        <v>594</v>
      </c>
      <c r="F24" s="620" t="s">
        <v>595</v>
      </c>
      <c r="G24" s="620" t="s">
        <v>596</v>
      </c>
      <c r="H24" s="621"/>
      <c r="I24" s="653"/>
      <c r="J24" s="621"/>
      <c r="K24" s="653"/>
      <c r="L24" s="621"/>
      <c r="M24" s="621"/>
      <c r="N24" s="169"/>
      <c r="O24" s="623"/>
      <c r="P24" s="626"/>
      <c r="Q24" s="175"/>
      <c r="R24" s="629"/>
      <c r="S24" s="620" t="s">
        <v>386</v>
      </c>
      <c r="T24" s="655" t="s">
        <v>387</v>
      </c>
      <c r="U24" s="655" t="s">
        <v>388</v>
      </c>
      <c r="V24" s="653"/>
      <c r="W24" s="653"/>
      <c r="X24" s="653"/>
      <c r="Y24" s="653"/>
      <c r="Z24" s="653"/>
      <c r="AA24" s="648"/>
    </row>
    <row r="25" spans="1:27" ht="14.45">
      <c r="A25" s="623"/>
      <c r="B25" s="626"/>
      <c r="C25" s="639"/>
      <c r="D25" s="642"/>
      <c r="E25" s="648"/>
      <c r="F25" s="648"/>
      <c r="G25" s="621"/>
      <c r="H25" s="621"/>
      <c r="I25" s="653"/>
      <c r="J25" s="621"/>
      <c r="K25" s="653"/>
      <c r="L25" s="621"/>
      <c r="M25" s="621"/>
      <c r="N25" s="169"/>
      <c r="O25" s="623"/>
      <c r="P25" s="626"/>
      <c r="Q25" s="174" t="s">
        <v>389</v>
      </c>
      <c r="R25" s="629"/>
      <c r="S25" s="648"/>
      <c r="T25" s="656"/>
      <c r="U25" s="656"/>
      <c r="V25" s="653"/>
      <c r="W25" s="653"/>
      <c r="X25" s="653"/>
      <c r="Y25" s="653"/>
      <c r="Z25" s="653"/>
      <c r="AA25" s="648"/>
    </row>
    <row r="26" spans="1:27" ht="14.45">
      <c r="A26" s="623"/>
      <c r="B26" s="626"/>
      <c r="C26" s="639"/>
      <c r="D26" s="642"/>
      <c r="E26" s="648"/>
      <c r="F26" s="648"/>
      <c r="G26" s="621"/>
      <c r="H26" s="621"/>
      <c r="I26" s="653"/>
      <c r="J26" s="621"/>
      <c r="K26" s="653"/>
      <c r="L26" s="621"/>
      <c r="M26" s="621"/>
      <c r="N26" s="169"/>
      <c r="O26" s="623"/>
      <c r="P26" s="626"/>
      <c r="Q26" s="176" t="s">
        <v>390</v>
      </c>
      <c r="R26" s="629"/>
      <c r="S26" s="648"/>
      <c r="T26" s="656"/>
      <c r="U26" s="656"/>
      <c r="V26" s="653"/>
      <c r="W26" s="653"/>
      <c r="X26" s="653"/>
      <c r="Y26" s="653"/>
      <c r="Z26" s="653"/>
      <c r="AA26" s="648"/>
    </row>
    <row r="27" spans="1:27" ht="14.45">
      <c r="A27" s="623"/>
      <c r="B27" s="626"/>
      <c r="C27" s="639"/>
      <c r="D27" s="642"/>
      <c r="E27" s="648"/>
      <c r="F27" s="648"/>
      <c r="G27" s="621"/>
      <c r="H27" s="621"/>
      <c r="I27" s="653"/>
      <c r="J27" s="621"/>
      <c r="K27" s="653"/>
      <c r="L27" s="621"/>
      <c r="M27" s="621"/>
      <c r="N27" s="169"/>
      <c r="O27" s="623"/>
      <c r="P27" s="626"/>
      <c r="Q27" s="176"/>
      <c r="R27" s="629"/>
      <c r="S27" s="648"/>
      <c r="T27" s="656"/>
      <c r="U27" s="656"/>
      <c r="V27" s="653"/>
      <c r="W27" s="653"/>
      <c r="X27" s="653"/>
      <c r="Y27" s="653"/>
      <c r="Z27" s="653"/>
      <c r="AA27" s="648"/>
    </row>
    <row r="28" spans="1:27" ht="14.45">
      <c r="A28" s="623"/>
      <c r="B28" s="626"/>
      <c r="C28" s="639"/>
      <c r="D28" s="642"/>
      <c r="E28" s="648"/>
      <c r="F28" s="648"/>
      <c r="G28" s="621"/>
      <c r="H28" s="621"/>
      <c r="I28" s="653"/>
      <c r="J28" s="621"/>
      <c r="K28" s="653"/>
      <c r="L28" s="621"/>
      <c r="M28" s="621"/>
      <c r="N28" s="169"/>
      <c r="O28" s="623"/>
      <c r="P28" s="626"/>
      <c r="Q28" s="176"/>
      <c r="R28" s="629"/>
      <c r="S28" s="648"/>
      <c r="T28" s="656"/>
      <c r="U28" s="656"/>
      <c r="V28" s="653"/>
      <c r="W28" s="653"/>
      <c r="X28" s="653"/>
      <c r="Y28" s="653"/>
      <c r="Z28" s="653"/>
      <c r="AA28" s="648"/>
    </row>
    <row r="29" spans="1:27" ht="39.6" customHeight="1">
      <c r="A29" s="623"/>
      <c r="B29" s="627"/>
      <c r="C29" s="640"/>
      <c r="D29" s="642"/>
      <c r="E29" s="649"/>
      <c r="F29" s="649"/>
      <c r="G29" s="631"/>
      <c r="H29" s="621"/>
      <c r="I29" s="654"/>
      <c r="J29" s="631"/>
      <c r="K29" s="654"/>
      <c r="L29" s="631"/>
      <c r="M29" s="631"/>
      <c r="N29" s="169"/>
      <c r="O29" s="623"/>
      <c r="P29" s="627"/>
      <c r="Q29" s="177"/>
      <c r="R29" s="630"/>
      <c r="S29" s="649"/>
      <c r="T29" s="657"/>
      <c r="U29" s="657"/>
      <c r="V29" s="654"/>
      <c r="W29" s="654"/>
      <c r="X29" s="654"/>
      <c r="Y29" s="654"/>
      <c r="Z29" s="654"/>
      <c r="AA29" s="649"/>
    </row>
    <row r="30" spans="1:27" ht="14.45">
      <c r="A30" s="623"/>
      <c r="B30" s="625" t="s">
        <v>597</v>
      </c>
      <c r="C30" s="628" t="s">
        <v>598</v>
      </c>
      <c r="D30" s="642"/>
      <c r="E30" s="632" t="s">
        <v>599</v>
      </c>
      <c r="F30" s="633"/>
      <c r="G30" s="634"/>
      <c r="H30" s="620" t="s">
        <v>600</v>
      </c>
      <c r="I30" s="652" t="s">
        <v>601</v>
      </c>
      <c r="J30" s="652" t="s">
        <v>602</v>
      </c>
      <c r="K30" s="652" t="s">
        <v>603</v>
      </c>
      <c r="L30" s="652" t="s">
        <v>604</v>
      </c>
      <c r="M30" s="620" t="s">
        <v>605</v>
      </c>
      <c r="N30" s="178"/>
      <c r="O30" s="623"/>
      <c r="P30" s="625" t="s">
        <v>121</v>
      </c>
      <c r="Q30" s="168"/>
      <c r="R30" s="628" t="s">
        <v>391</v>
      </c>
      <c r="S30" s="632" t="s">
        <v>392</v>
      </c>
      <c r="T30" s="633"/>
      <c r="U30" s="634"/>
      <c r="V30" s="652" t="s">
        <v>393</v>
      </c>
      <c r="W30" s="652" t="s">
        <v>394</v>
      </c>
      <c r="X30" s="652" t="s">
        <v>395</v>
      </c>
      <c r="Y30" s="652" t="s">
        <v>396</v>
      </c>
      <c r="Z30" s="652" t="s">
        <v>397</v>
      </c>
      <c r="AA30" s="620"/>
    </row>
    <row r="31" spans="1:27" ht="14.45">
      <c r="A31" s="623"/>
      <c r="B31" s="626"/>
      <c r="C31" s="642"/>
      <c r="D31" s="642"/>
      <c r="E31" s="644"/>
      <c r="F31" s="645"/>
      <c r="G31" s="646"/>
      <c r="H31" s="621"/>
      <c r="I31" s="653"/>
      <c r="J31" s="653"/>
      <c r="K31" s="653"/>
      <c r="L31" s="653"/>
      <c r="M31" s="648"/>
      <c r="N31" s="169"/>
      <c r="O31" s="623"/>
      <c r="P31" s="626"/>
      <c r="Q31" s="168"/>
      <c r="R31" s="642"/>
      <c r="S31" s="644"/>
      <c r="T31" s="645"/>
      <c r="U31" s="646"/>
      <c r="V31" s="653"/>
      <c r="W31" s="653"/>
      <c r="X31" s="653"/>
      <c r="Y31" s="653"/>
      <c r="Z31" s="653"/>
      <c r="AA31" s="648"/>
    </row>
    <row r="32" spans="1:27" ht="14.45">
      <c r="A32" s="623"/>
      <c r="B32" s="626"/>
      <c r="C32" s="642"/>
      <c r="D32" s="642"/>
      <c r="E32" s="620" t="s">
        <v>606</v>
      </c>
      <c r="F32" s="620" t="s">
        <v>607</v>
      </c>
      <c r="G32" s="620" t="s">
        <v>608</v>
      </c>
      <c r="H32" s="621"/>
      <c r="I32" s="653"/>
      <c r="J32" s="653"/>
      <c r="K32" s="653"/>
      <c r="L32" s="653"/>
      <c r="M32" s="648"/>
      <c r="N32" s="169"/>
      <c r="O32" s="623"/>
      <c r="P32" s="626"/>
      <c r="Q32" s="168"/>
      <c r="R32" s="642"/>
      <c r="S32" s="620" t="s">
        <v>398</v>
      </c>
      <c r="T32" s="620" t="s">
        <v>609</v>
      </c>
      <c r="U32" s="620" t="s">
        <v>400</v>
      </c>
      <c r="V32" s="653"/>
      <c r="W32" s="653"/>
      <c r="X32" s="653"/>
      <c r="Y32" s="653"/>
      <c r="Z32" s="653"/>
      <c r="AA32" s="648"/>
    </row>
    <row r="33" spans="1:27" ht="14.45">
      <c r="A33" s="623"/>
      <c r="B33" s="626"/>
      <c r="C33" s="642"/>
      <c r="D33" s="642"/>
      <c r="E33" s="648"/>
      <c r="F33" s="648"/>
      <c r="G33" s="621"/>
      <c r="H33" s="621"/>
      <c r="I33" s="653"/>
      <c r="J33" s="653"/>
      <c r="K33" s="653"/>
      <c r="L33" s="653"/>
      <c r="M33" s="648"/>
      <c r="N33" s="169"/>
      <c r="O33" s="623"/>
      <c r="P33" s="626"/>
      <c r="Q33" s="168" t="s">
        <v>610</v>
      </c>
      <c r="R33" s="642"/>
      <c r="S33" s="648"/>
      <c r="T33" s="648"/>
      <c r="U33" s="621"/>
      <c r="V33" s="653"/>
      <c r="W33" s="653"/>
      <c r="X33" s="653"/>
      <c r="Y33" s="653"/>
      <c r="Z33" s="653"/>
      <c r="AA33" s="648"/>
    </row>
    <row r="34" spans="1:27" ht="14.45">
      <c r="A34" s="623"/>
      <c r="B34" s="626"/>
      <c r="C34" s="642"/>
      <c r="D34" s="642"/>
      <c r="E34" s="648"/>
      <c r="F34" s="648"/>
      <c r="G34" s="621"/>
      <c r="H34" s="621"/>
      <c r="I34" s="653"/>
      <c r="J34" s="653"/>
      <c r="K34" s="653"/>
      <c r="L34" s="653"/>
      <c r="M34" s="648"/>
      <c r="N34" s="169"/>
      <c r="O34" s="623"/>
      <c r="P34" s="626"/>
      <c r="Q34" s="168" t="s">
        <v>402</v>
      </c>
      <c r="R34" s="642"/>
      <c r="S34" s="648"/>
      <c r="T34" s="648"/>
      <c r="U34" s="621"/>
      <c r="V34" s="653"/>
      <c r="W34" s="653"/>
      <c r="X34" s="653"/>
      <c r="Y34" s="653"/>
      <c r="Z34" s="653"/>
      <c r="AA34" s="648"/>
    </row>
    <row r="35" spans="1:27" ht="14.45">
      <c r="A35" s="623"/>
      <c r="B35" s="626"/>
      <c r="C35" s="642"/>
      <c r="D35" s="642"/>
      <c r="E35" s="648"/>
      <c r="F35" s="648"/>
      <c r="G35" s="621"/>
      <c r="H35" s="621"/>
      <c r="I35" s="653"/>
      <c r="J35" s="653"/>
      <c r="K35" s="653"/>
      <c r="L35" s="653"/>
      <c r="M35" s="648"/>
      <c r="N35" s="169"/>
      <c r="O35" s="623"/>
      <c r="P35" s="626"/>
      <c r="Q35" s="168"/>
      <c r="R35" s="642"/>
      <c r="S35" s="648"/>
      <c r="T35" s="648"/>
      <c r="U35" s="621"/>
      <c r="V35" s="653"/>
      <c r="W35" s="653"/>
      <c r="X35" s="653"/>
      <c r="Y35" s="653"/>
      <c r="Z35" s="653"/>
      <c r="AA35" s="648"/>
    </row>
    <row r="36" spans="1:27" ht="14.45">
      <c r="A36" s="623"/>
      <c r="B36" s="626"/>
      <c r="C36" s="642"/>
      <c r="D36" s="642"/>
      <c r="E36" s="648"/>
      <c r="F36" s="648"/>
      <c r="G36" s="621"/>
      <c r="H36" s="621"/>
      <c r="I36" s="653"/>
      <c r="J36" s="653"/>
      <c r="K36" s="653"/>
      <c r="L36" s="653"/>
      <c r="M36" s="648"/>
      <c r="N36" s="169"/>
      <c r="O36" s="623"/>
      <c r="P36" s="626"/>
      <c r="Q36" s="168"/>
      <c r="R36" s="642"/>
      <c r="S36" s="648"/>
      <c r="T36" s="648"/>
      <c r="U36" s="621"/>
      <c r="V36" s="653"/>
      <c r="W36" s="653"/>
      <c r="X36" s="653"/>
      <c r="Y36" s="653"/>
      <c r="Z36" s="653"/>
      <c r="AA36" s="648"/>
    </row>
    <row r="37" spans="1:27" ht="14.45">
      <c r="A37" s="624"/>
      <c r="B37" s="627"/>
      <c r="C37" s="643"/>
      <c r="D37" s="643"/>
      <c r="E37" s="649"/>
      <c r="F37" s="649"/>
      <c r="G37" s="631"/>
      <c r="H37" s="631"/>
      <c r="I37" s="654"/>
      <c r="J37" s="654"/>
      <c r="K37" s="654"/>
      <c r="L37" s="654"/>
      <c r="M37" s="649"/>
      <c r="N37" s="171"/>
      <c r="O37" s="624"/>
      <c r="P37" s="627"/>
      <c r="Q37" s="170"/>
      <c r="R37" s="643"/>
      <c r="S37" s="649"/>
      <c r="T37" s="649"/>
      <c r="U37" s="631"/>
      <c r="V37" s="654"/>
      <c r="W37" s="654"/>
      <c r="X37" s="654"/>
      <c r="Y37" s="654"/>
      <c r="Z37" s="654"/>
      <c r="AA37" s="649"/>
    </row>
    <row r="38" spans="1:27" s="179" customFormat="1">
      <c r="C38" s="180"/>
      <c r="H38" s="152"/>
      <c r="Q38" s="180"/>
    </row>
    <row r="39" spans="1:27">
      <c r="F39" s="181"/>
    </row>
    <row r="40" spans="1:27" ht="13.15">
      <c r="E40"/>
      <c r="F40"/>
    </row>
    <row r="41" spans="1:27" ht="13.15">
      <c r="E41"/>
    </row>
    <row r="42" spans="1:27" ht="13.15">
      <c r="E42" s="182"/>
    </row>
  </sheetData>
  <mergeCells count="100">
    <mergeCell ref="Z22:Z29"/>
    <mergeCell ref="AA22:AA29"/>
    <mergeCell ref="AA30:AA37"/>
    <mergeCell ref="P30:P37"/>
    <mergeCell ref="O22:O37"/>
    <mergeCell ref="P22:P29"/>
    <mergeCell ref="T32:T37"/>
    <mergeCell ref="Z30:Z37"/>
    <mergeCell ref="I22:I29"/>
    <mergeCell ref="Y30:Y37"/>
    <mergeCell ref="Y22:Y29"/>
    <mergeCell ref="I30:I37"/>
    <mergeCell ref="J30:J37"/>
    <mergeCell ref="K30:K37"/>
    <mergeCell ref="L30:L37"/>
    <mergeCell ref="M30:M37"/>
    <mergeCell ref="T24:T29"/>
    <mergeCell ref="W30:W37"/>
    <mergeCell ref="X30:X37"/>
    <mergeCell ref="W22:W29"/>
    <mergeCell ref="U32:U37"/>
    <mergeCell ref="R22:R29"/>
    <mergeCell ref="S22:U23"/>
    <mergeCell ref="X22:X29"/>
    <mergeCell ref="C30:C37"/>
    <mergeCell ref="E30:G31"/>
    <mergeCell ref="H30:H37"/>
    <mergeCell ref="V22:V29"/>
    <mergeCell ref="U24:U29"/>
    <mergeCell ref="R30:R37"/>
    <mergeCell ref="S30:U31"/>
    <mergeCell ref="V30:V37"/>
    <mergeCell ref="E24:E29"/>
    <mergeCell ref="F24:F29"/>
    <mergeCell ref="G24:G29"/>
    <mergeCell ref="S24:S29"/>
    <mergeCell ref="E32:E37"/>
    <mergeCell ref="F32:F37"/>
    <mergeCell ref="G32:G37"/>
    <mergeCell ref="S32:S37"/>
    <mergeCell ref="Z4:Z12"/>
    <mergeCell ref="R13:R21"/>
    <mergeCell ref="S13:U14"/>
    <mergeCell ref="U15:U21"/>
    <mergeCell ref="Y4:Y21"/>
    <mergeCell ref="X4:X21"/>
    <mergeCell ref="I4:I12"/>
    <mergeCell ref="J4:J12"/>
    <mergeCell ref="G15:G21"/>
    <mergeCell ref="S15:S21"/>
    <mergeCell ref="T15:T21"/>
    <mergeCell ref="P13:P21"/>
    <mergeCell ref="Q13:Q21"/>
    <mergeCell ref="O4:O21"/>
    <mergeCell ref="I13:I21"/>
    <mergeCell ref="J13:J29"/>
    <mergeCell ref="K13:K21"/>
    <mergeCell ref="L13:L29"/>
    <mergeCell ref="K4:K12"/>
    <mergeCell ref="L4:L12"/>
    <mergeCell ref="M4:M29"/>
    <mergeCell ref="K22:K29"/>
    <mergeCell ref="AA4:AA21"/>
    <mergeCell ref="E6:E12"/>
    <mergeCell ref="F6:F12"/>
    <mergeCell ref="G6:G12"/>
    <mergeCell ref="S6:S12"/>
    <mergeCell ref="T6:T12"/>
    <mergeCell ref="U6:U12"/>
    <mergeCell ref="E13:G14"/>
    <mergeCell ref="P4:P12"/>
    <mergeCell ref="R4:R12"/>
    <mergeCell ref="S4:U5"/>
    <mergeCell ref="V4:V21"/>
    <mergeCell ref="W4:W21"/>
    <mergeCell ref="Z13:Z21"/>
    <mergeCell ref="E15:E21"/>
    <mergeCell ref="F15:F21"/>
    <mergeCell ref="H4:H12"/>
    <mergeCell ref="A13:A37"/>
    <mergeCell ref="B13:B21"/>
    <mergeCell ref="C13:C21"/>
    <mergeCell ref="H13:H21"/>
    <mergeCell ref="A4:A12"/>
    <mergeCell ref="B4:B12"/>
    <mergeCell ref="C4:C12"/>
    <mergeCell ref="D4:D21"/>
    <mergeCell ref="E4:G5"/>
    <mergeCell ref="B22:B29"/>
    <mergeCell ref="C22:C29"/>
    <mergeCell ref="D22:D37"/>
    <mergeCell ref="E22:G23"/>
    <mergeCell ref="H22:H29"/>
    <mergeCell ref="B30:B37"/>
    <mergeCell ref="V2:AA2"/>
    <mergeCell ref="B2:B3"/>
    <mergeCell ref="E2:G2"/>
    <mergeCell ref="H2:M2"/>
    <mergeCell ref="P2:P3"/>
    <mergeCell ref="S2:U2"/>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indexed="44"/>
    <pageSetUpPr fitToPage="1"/>
  </sheetPr>
  <dimension ref="A1:N76"/>
  <sheetViews>
    <sheetView showGridLines="0" zoomScale="90" zoomScaleNormal="90" zoomScaleSheetLayoutView="100" workbookViewId="0">
      <selection activeCell="E37" sqref="E37:G38"/>
    </sheetView>
  </sheetViews>
  <sheetFormatPr defaultColWidth="6.42578125" defaultRowHeight="10.9"/>
  <cols>
    <col min="1" max="2" width="4.42578125" style="36" customWidth="1"/>
    <col min="3" max="3" width="9.140625" style="49" customWidth="1"/>
    <col min="4" max="4" width="7.42578125" style="36" customWidth="1"/>
    <col min="5" max="7" width="30.7109375" style="36" customWidth="1"/>
    <col min="8" max="13" width="17.28515625" style="36" customWidth="1"/>
    <col min="14" max="256" width="6.42578125" style="36"/>
    <col min="257" max="258" width="4.42578125" style="36" customWidth="1"/>
    <col min="259" max="259" width="9.140625" style="36" customWidth="1"/>
    <col min="260" max="260" width="7.42578125" style="36" customWidth="1"/>
    <col min="261" max="263" width="30.7109375" style="36" customWidth="1"/>
    <col min="264" max="269" width="17.28515625" style="36" customWidth="1"/>
    <col min="270" max="512" width="6.42578125" style="36"/>
    <col min="513" max="514" width="4.42578125" style="36" customWidth="1"/>
    <col min="515" max="515" width="9.140625" style="36" customWidth="1"/>
    <col min="516" max="516" width="7.42578125" style="36" customWidth="1"/>
    <col min="517" max="519" width="30.7109375" style="36" customWidth="1"/>
    <col min="520" max="525" width="17.28515625" style="36" customWidth="1"/>
    <col min="526" max="768" width="6.42578125" style="36"/>
    <col min="769" max="770" width="4.42578125" style="36" customWidth="1"/>
    <col min="771" max="771" width="9.140625" style="36" customWidth="1"/>
    <col min="772" max="772" width="7.42578125" style="36" customWidth="1"/>
    <col min="773" max="775" width="30.7109375" style="36" customWidth="1"/>
    <col min="776" max="781" width="17.28515625" style="36" customWidth="1"/>
    <col min="782" max="1024" width="6.42578125" style="36"/>
    <col min="1025" max="1026" width="4.42578125" style="36" customWidth="1"/>
    <col min="1027" max="1027" width="9.140625" style="36" customWidth="1"/>
    <col min="1028" max="1028" width="7.42578125" style="36" customWidth="1"/>
    <col min="1029" max="1031" width="30.7109375" style="36" customWidth="1"/>
    <col min="1032" max="1037" width="17.28515625" style="36" customWidth="1"/>
    <col min="1038" max="1280" width="6.42578125" style="36"/>
    <col min="1281" max="1282" width="4.42578125" style="36" customWidth="1"/>
    <col min="1283" max="1283" width="9.140625" style="36" customWidth="1"/>
    <col min="1284" max="1284" width="7.42578125" style="36" customWidth="1"/>
    <col min="1285" max="1287" width="30.7109375" style="36" customWidth="1"/>
    <col min="1288" max="1293" width="17.28515625" style="36" customWidth="1"/>
    <col min="1294" max="1536" width="6.42578125" style="36"/>
    <col min="1537" max="1538" width="4.42578125" style="36" customWidth="1"/>
    <col min="1539" max="1539" width="9.140625" style="36" customWidth="1"/>
    <col min="1540" max="1540" width="7.42578125" style="36" customWidth="1"/>
    <col min="1541" max="1543" width="30.7109375" style="36" customWidth="1"/>
    <col min="1544" max="1549" width="17.28515625" style="36" customWidth="1"/>
    <col min="1550" max="1792" width="6.42578125" style="36"/>
    <col min="1793" max="1794" width="4.42578125" style="36" customWidth="1"/>
    <col min="1795" max="1795" width="9.140625" style="36" customWidth="1"/>
    <col min="1796" max="1796" width="7.42578125" style="36" customWidth="1"/>
    <col min="1797" max="1799" width="30.7109375" style="36" customWidth="1"/>
    <col min="1800" max="1805" width="17.28515625" style="36" customWidth="1"/>
    <col min="1806" max="2048" width="6.42578125" style="36"/>
    <col min="2049" max="2050" width="4.42578125" style="36" customWidth="1"/>
    <col min="2051" max="2051" width="9.140625" style="36" customWidth="1"/>
    <col min="2052" max="2052" width="7.42578125" style="36" customWidth="1"/>
    <col min="2053" max="2055" width="30.7109375" style="36" customWidth="1"/>
    <col min="2056" max="2061" width="17.28515625" style="36" customWidth="1"/>
    <col min="2062" max="2304" width="6.42578125" style="36"/>
    <col min="2305" max="2306" width="4.42578125" style="36" customWidth="1"/>
    <col min="2307" max="2307" width="9.140625" style="36" customWidth="1"/>
    <col min="2308" max="2308" width="7.42578125" style="36" customWidth="1"/>
    <col min="2309" max="2311" width="30.7109375" style="36" customWidth="1"/>
    <col min="2312" max="2317" width="17.28515625" style="36" customWidth="1"/>
    <col min="2318" max="2560" width="6.42578125" style="36"/>
    <col min="2561" max="2562" width="4.42578125" style="36" customWidth="1"/>
    <col min="2563" max="2563" width="9.140625" style="36" customWidth="1"/>
    <col min="2564" max="2564" width="7.42578125" style="36" customWidth="1"/>
    <col min="2565" max="2567" width="30.7109375" style="36" customWidth="1"/>
    <col min="2568" max="2573" width="17.28515625" style="36" customWidth="1"/>
    <col min="2574" max="2816" width="6.42578125" style="36"/>
    <col min="2817" max="2818" width="4.42578125" style="36" customWidth="1"/>
    <col min="2819" max="2819" width="9.140625" style="36" customWidth="1"/>
    <col min="2820" max="2820" width="7.42578125" style="36" customWidth="1"/>
    <col min="2821" max="2823" width="30.7109375" style="36" customWidth="1"/>
    <col min="2824" max="2829" width="17.28515625" style="36" customWidth="1"/>
    <col min="2830" max="3072" width="6.42578125" style="36"/>
    <col min="3073" max="3074" width="4.42578125" style="36" customWidth="1"/>
    <col min="3075" max="3075" width="9.140625" style="36" customWidth="1"/>
    <col min="3076" max="3076" width="7.42578125" style="36" customWidth="1"/>
    <col min="3077" max="3079" width="30.7109375" style="36" customWidth="1"/>
    <col min="3080" max="3085" width="17.28515625" style="36" customWidth="1"/>
    <col min="3086" max="3328" width="6.42578125" style="36"/>
    <col min="3329" max="3330" width="4.42578125" style="36" customWidth="1"/>
    <col min="3331" max="3331" width="9.140625" style="36" customWidth="1"/>
    <col min="3332" max="3332" width="7.42578125" style="36" customWidth="1"/>
    <col min="3333" max="3335" width="30.7109375" style="36" customWidth="1"/>
    <col min="3336" max="3341" width="17.28515625" style="36" customWidth="1"/>
    <col min="3342" max="3584" width="6.42578125" style="36"/>
    <col min="3585" max="3586" width="4.42578125" style="36" customWidth="1"/>
    <col min="3587" max="3587" width="9.140625" style="36" customWidth="1"/>
    <col min="3588" max="3588" width="7.42578125" style="36" customWidth="1"/>
    <col min="3589" max="3591" width="30.7109375" style="36" customWidth="1"/>
    <col min="3592" max="3597" width="17.28515625" style="36" customWidth="1"/>
    <col min="3598" max="3840" width="6.42578125" style="36"/>
    <col min="3841" max="3842" width="4.42578125" style="36" customWidth="1"/>
    <col min="3843" max="3843" width="9.140625" style="36" customWidth="1"/>
    <col min="3844" max="3844" width="7.42578125" style="36" customWidth="1"/>
    <col min="3845" max="3847" width="30.7109375" style="36" customWidth="1"/>
    <col min="3848" max="3853" width="17.28515625" style="36" customWidth="1"/>
    <col min="3854" max="4096" width="6.42578125" style="36"/>
    <col min="4097" max="4098" width="4.42578125" style="36" customWidth="1"/>
    <col min="4099" max="4099" width="9.140625" style="36" customWidth="1"/>
    <col min="4100" max="4100" width="7.42578125" style="36" customWidth="1"/>
    <col min="4101" max="4103" width="30.7109375" style="36" customWidth="1"/>
    <col min="4104" max="4109" width="17.28515625" style="36" customWidth="1"/>
    <col min="4110" max="4352" width="6.42578125" style="36"/>
    <col min="4353" max="4354" width="4.42578125" style="36" customWidth="1"/>
    <col min="4355" max="4355" width="9.140625" style="36" customWidth="1"/>
    <col min="4356" max="4356" width="7.42578125" style="36" customWidth="1"/>
    <col min="4357" max="4359" width="30.7109375" style="36" customWidth="1"/>
    <col min="4360" max="4365" width="17.28515625" style="36" customWidth="1"/>
    <col min="4366" max="4608" width="6.42578125" style="36"/>
    <col min="4609" max="4610" width="4.42578125" style="36" customWidth="1"/>
    <col min="4611" max="4611" width="9.140625" style="36" customWidth="1"/>
    <col min="4612" max="4612" width="7.42578125" style="36" customWidth="1"/>
    <col min="4613" max="4615" width="30.7109375" style="36" customWidth="1"/>
    <col min="4616" max="4621" width="17.28515625" style="36" customWidth="1"/>
    <col min="4622" max="4864" width="6.42578125" style="36"/>
    <col min="4865" max="4866" width="4.42578125" style="36" customWidth="1"/>
    <col min="4867" max="4867" width="9.140625" style="36" customWidth="1"/>
    <col min="4868" max="4868" width="7.42578125" style="36" customWidth="1"/>
    <col min="4869" max="4871" width="30.7109375" style="36" customWidth="1"/>
    <col min="4872" max="4877" width="17.28515625" style="36" customWidth="1"/>
    <col min="4878" max="5120" width="6.42578125" style="36"/>
    <col min="5121" max="5122" width="4.42578125" style="36" customWidth="1"/>
    <col min="5123" max="5123" width="9.140625" style="36" customWidth="1"/>
    <col min="5124" max="5124" width="7.42578125" style="36" customWidth="1"/>
    <col min="5125" max="5127" width="30.7109375" style="36" customWidth="1"/>
    <col min="5128" max="5133" width="17.28515625" style="36" customWidth="1"/>
    <col min="5134" max="5376" width="6.42578125" style="36"/>
    <col min="5377" max="5378" width="4.42578125" style="36" customWidth="1"/>
    <col min="5379" max="5379" width="9.140625" style="36" customWidth="1"/>
    <col min="5380" max="5380" width="7.42578125" style="36" customWidth="1"/>
    <col min="5381" max="5383" width="30.7109375" style="36" customWidth="1"/>
    <col min="5384" max="5389" width="17.28515625" style="36" customWidth="1"/>
    <col min="5390" max="5632" width="6.42578125" style="36"/>
    <col min="5633" max="5634" width="4.42578125" style="36" customWidth="1"/>
    <col min="5635" max="5635" width="9.140625" style="36" customWidth="1"/>
    <col min="5636" max="5636" width="7.42578125" style="36" customWidth="1"/>
    <col min="5637" max="5639" width="30.7109375" style="36" customWidth="1"/>
    <col min="5640" max="5645" width="17.28515625" style="36" customWidth="1"/>
    <col min="5646" max="5888" width="6.42578125" style="36"/>
    <col min="5889" max="5890" width="4.42578125" style="36" customWidth="1"/>
    <col min="5891" max="5891" width="9.140625" style="36" customWidth="1"/>
    <col min="5892" max="5892" width="7.42578125" style="36" customWidth="1"/>
    <col min="5893" max="5895" width="30.7109375" style="36" customWidth="1"/>
    <col min="5896" max="5901" width="17.28515625" style="36" customWidth="1"/>
    <col min="5902" max="6144" width="6.42578125" style="36"/>
    <col min="6145" max="6146" width="4.42578125" style="36" customWidth="1"/>
    <col min="6147" max="6147" width="9.140625" style="36" customWidth="1"/>
    <col min="6148" max="6148" width="7.42578125" style="36" customWidth="1"/>
    <col min="6149" max="6151" width="30.7109375" style="36" customWidth="1"/>
    <col min="6152" max="6157" width="17.28515625" style="36" customWidth="1"/>
    <col min="6158" max="6400" width="6.42578125" style="36"/>
    <col min="6401" max="6402" width="4.42578125" style="36" customWidth="1"/>
    <col min="6403" max="6403" width="9.140625" style="36" customWidth="1"/>
    <col min="6404" max="6404" width="7.42578125" style="36" customWidth="1"/>
    <col min="6405" max="6407" width="30.7109375" style="36" customWidth="1"/>
    <col min="6408" max="6413" width="17.28515625" style="36" customWidth="1"/>
    <col min="6414" max="6656" width="6.42578125" style="36"/>
    <col min="6657" max="6658" width="4.42578125" style="36" customWidth="1"/>
    <col min="6659" max="6659" width="9.140625" style="36" customWidth="1"/>
    <col min="6660" max="6660" width="7.42578125" style="36" customWidth="1"/>
    <col min="6661" max="6663" width="30.7109375" style="36" customWidth="1"/>
    <col min="6664" max="6669" width="17.28515625" style="36" customWidth="1"/>
    <col min="6670" max="6912" width="6.42578125" style="36"/>
    <col min="6913" max="6914" width="4.42578125" style="36" customWidth="1"/>
    <col min="6915" max="6915" width="9.140625" style="36" customWidth="1"/>
    <col min="6916" max="6916" width="7.42578125" style="36" customWidth="1"/>
    <col min="6917" max="6919" width="30.7109375" style="36" customWidth="1"/>
    <col min="6920" max="6925" width="17.28515625" style="36" customWidth="1"/>
    <col min="6926" max="7168" width="6.42578125" style="36"/>
    <col min="7169" max="7170" width="4.42578125" style="36" customWidth="1"/>
    <col min="7171" max="7171" width="9.140625" style="36" customWidth="1"/>
    <col min="7172" max="7172" width="7.42578125" style="36" customWidth="1"/>
    <col min="7173" max="7175" width="30.7109375" style="36" customWidth="1"/>
    <col min="7176" max="7181" width="17.28515625" style="36" customWidth="1"/>
    <col min="7182" max="7424" width="6.42578125" style="36"/>
    <col min="7425" max="7426" width="4.42578125" style="36" customWidth="1"/>
    <col min="7427" max="7427" width="9.140625" style="36" customWidth="1"/>
    <col min="7428" max="7428" width="7.42578125" style="36" customWidth="1"/>
    <col min="7429" max="7431" width="30.7109375" style="36" customWidth="1"/>
    <col min="7432" max="7437" width="17.28515625" style="36" customWidth="1"/>
    <col min="7438" max="7680" width="6.42578125" style="36"/>
    <col min="7681" max="7682" width="4.42578125" style="36" customWidth="1"/>
    <col min="7683" max="7683" width="9.140625" style="36" customWidth="1"/>
    <col min="7684" max="7684" width="7.42578125" style="36" customWidth="1"/>
    <col min="7685" max="7687" width="30.7109375" style="36" customWidth="1"/>
    <col min="7688" max="7693" width="17.28515625" style="36" customWidth="1"/>
    <col min="7694" max="7936" width="6.42578125" style="36"/>
    <col min="7937" max="7938" width="4.42578125" style="36" customWidth="1"/>
    <col min="7939" max="7939" width="9.140625" style="36" customWidth="1"/>
    <col min="7940" max="7940" width="7.42578125" style="36" customWidth="1"/>
    <col min="7941" max="7943" width="30.7109375" style="36" customWidth="1"/>
    <col min="7944" max="7949" width="17.28515625" style="36" customWidth="1"/>
    <col min="7950" max="8192" width="6.42578125" style="36"/>
    <col min="8193" max="8194" width="4.42578125" style="36" customWidth="1"/>
    <col min="8195" max="8195" width="9.140625" style="36" customWidth="1"/>
    <col min="8196" max="8196" width="7.42578125" style="36" customWidth="1"/>
    <col min="8197" max="8199" width="30.7109375" style="36" customWidth="1"/>
    <col min="8200" max="8205" width="17.28515625" style="36" customWidth="1"/>
    <col min="8206" max="8448" width="6.42578125" style="36"/>
    <col min="8449" max="8450" width="4.42578125" style="36" customWidth="1"/>
    <col min="8451" max="8451" width="9.140625" style="36" customWidth="1"/>
    <col min="8452" max="8452" width="7.42578125" style="36" customWidth="1"/>
    <col min="8453" max="8455" width="30.7109375" style="36" customWidth="1"/>
    <col min="8456" max="8461" width="17.28515625" style="36" customWidth="1"/>
    <col min="8462" max="8704" width="6.42578125" style="36"/>
    <col min="8705" max="8706" width="4.42578125" style="36" customWidth="1"/>
    <col min="8707" max="8707" width="9.140625" style="36" customWidth="1"/>
    <col min="8708" max="8708" width="7.42578125" style="36" customWidth="1"/>
    <col min="8709" max="8711" width="30.7109375" style="36" customWidth="1"/>
    <col min="8712" max="8717" width="17.28515625" style="36" customWidth="1"/>
    <col min="8718" max="8960" width="6.42578125" style="36"/>
    <col min="8961" max="8962" width="4.42578125" style="36" customWidth="1"/>
    <col min="8963" max="8963" width="9.140625" style="36" customWidth="1"/>
    <col min="8964" max="8964" width="7.42578125" style="36" customWidth="1"/>
    <col min="8965" max="8967" width="30.7109375" style="36" customWidth="1"/>
    <col min="8968" max="8973" width="17.28515625" style="36" customWidth="1"/>
    <col min="8974" max="9216" width="6.42578125" style="36"/>
    <col min="9217" max="9218" width="4.42578125" style="36" customWidth="1"/>
    <col min="9219" max="9219" width="9.140625" style="36" customWidth="1"/>
    <col min="9220" max="9220" width="7.42578125" style="36" customWidth="1"/>
    <col min="9221" max="9223" width="30.7109375" style="36" customWidth="1"/>
    <col min="9224" max="9229" width="17.28515625" style="36" customWidth="1"/>
    <col min="9230" max="9472" width="6.42578125" style="36"/>
    <col min="9473" max="9474" width="4.42578125" style="36" customWidth="1"/>
    <col min="9475" max="9475" width="9.140625" style="36" customWidth="1"/>
    <col min="9476" max="9476" width="7.42578125" style="36" customWidth="1"/>
    <col min="9477" max="9479" width="30.7109375" style="36" customWidth="1"/>
    <col min="9480" max="9485" width="17.28515625" style="36" customWidth="1"/>
    <col min="9486" max="9728" width="6.42578125" style="36"/>
    <col min="9729" max="9730" width="4.42578125" style="36" customWidth="1"/>
    <col min="9731" max="9731" width="9.140625" style="36" customWidth="1"/>
    <col min="9732" max="9732" width="7.42578125" style="36" customWidth="1"/>
    <col min="9733" max="9735" width="30.7109375" style="36" customWidth="1"/>
    <col min="9736" max="9741" width="17.28515625" style="36" customWidth="1"/>
    <col min="9742" max="9984" width="6.42578125" style="36"/>
    <col min="9985" max="9986" width="4.42578125" style="36" customWidth="1"/>
    <col min="9987" max="9987" width="9.140625" style="36" customWidth="1"/>
    <col min="9988" max="9988" width="7.42578125" style="36" customWidth="1"/>
    <col min="9989" max="9991" width="30.7109375" style="36" customWidth="1"/>
    <col min="9992" max="9997" width="17.28515625" style="36" customWidth="1"/>
    <col min="9998" max="10240" width="6.42578125" style="36"/>
    <col min="10241" max="10242" width="4.42578125" style="36" customWidth="1"/>
    <col min="10243" max="10243" width="9.140625" style="36" customWidth="1"/>
    <col min="10244" max="10244" width="7.42578125" style="36" customWidth="1"/>
    <col min="10245" max="10247" width="30.7109375" style="36" customWidth="1"/>
    <col min="10248" max="10253" width="17.28515625" style="36" customWidth="1"/>
    <col min="10254" max="10496" width="6.42578125" style="36"/>
    <col min="10497" max="10498" width="4.42578125" style="36" customWidth="1"/>
    <col min="10499" max="10499" width="9.140625" style="36" customWidth="1"/>
    <col min="10500" max="10500" width="7.42578125" style="36" customWidth="1"/>
    <col min="10501" max="10503" width="30.7109375" style="36" customWidth="1"/>
    <col min="10504" max="10509" width="17.28515625" style="36" customWidth="1"/>
    <col min="10510" max="10752" width="6.42578125" style="36"/>
    <col min="10753" max="10754" width="4.42578125" style="36" customWidth="1"/>
    <col min="10755" max="10755" width="9.140625" style="36" customWidth="1"/>
    <col min="10756" max="10756" width="7.42578125" style="36" customWidth="1"/>
    <col min="10757" max="10759" width="30.7109375" style="36" customWidth="1"/>
    <col min="10760" max="10765" width="17.28515625" style="36" customWidth="1"/>
    <col min="10766" max="11008" width="6.42578125" style="36"/>
    <col min="11009" max="11010" width="4.42578125" style="36" customWidth="1"/>
    <col min="11011" max="11011" width="9.140625" style="36" customWidth="1"/>
    <col min="11012" max="11012" width="7.42578125" style="36" customWidth="1"/>
    <col min="11013" max="11015" width="30.7109375" style="36" customWidth="1"/>
    <col min="11016" max="11021" width="17.28515625" style="36" customWidth="1"/>
    <col min="11022" max="11264" width="6.42578125" style="36"/>
    <col min="11265" max="11266" width="4.42578125" style="36" customWidth="1"/>
    <col min="11267" max="11267" width="9.140625" style="36" customWidth="1"/>
    <col min="11268" max="11268" width="7.42578125" style="36" customWidth="1"/>
    <col min="11269" max="11271" width="30.7109375" style="36" customWidth="1"/>
    <col min="11272" max="11277" width="17.28515625" style="36" customWidth="1"/>
    <col min="11278" max="11520" width="6.42578125" style="36"/>
    <col min="11521" max="11522" width="4.42578125" style="36" customWidth="1"/>
    <col min="11523" max="11523" width="9.140625" style="36" customWidth="1"/>
    <col min="11524" max="11524" width="7.42578125" style="36" customWidth="1"/>
    <col min="11525" max="11527" width="30.7109375" style="36" customWidth="1"/>
    <col min="11528" max="11533" width="17.28515625" style="36" customWidth="1"/>
    <col min="11534" max="11776" width="6.42578125" style="36"/>
    <col min="11777" max="11778" width="4.42578125" style="36" customWidth="1"/>
    <col min="11779" max="11779" width="9.140625" style="36" customWidth="1"/>
    <col min="11780" max="11780" width="7.42578125" style="36" customWidth="1"/>
    <col min="11781" max="11783" width="30.7109375" style="36" customWidth="1"/>
    <col min="11784" max="11789" width="17.28515625" style="36" customWidth="1"/>
    <col min="11790" max="12032" width="6.42578125" style="36"/>
    <col min="12033" max="12034" width="4.42578125" style="36" customWidth="1"/>
    <col min="12035" max="12035" width="9.140625" style="36" customWidth="1"/>
    <col min="12036" max="12036" width="7.42578125" style="36" customWidth="1"/>
    <col min="12037" max="12039" width="30.7109375" style="36" customWidth="1"/>
    <col min="12040" max="12045" width="17.28515625" style="36" customWidth="1"/>
    <col min="12046" max="12288" width="6.42578125" style="36"/>
    <col min="12289" max="12290" width="4.42578125" style="36" customWidth="1"/>
    <col min="12291" max="12291" width="9.140625" style="36" customWidth="1"/>
    <col min="12292" max="12292" width="7.42578125" style="36" customWidth="1"/>
    <col min="12293" max="12295" width="30.7109375" style="36" customWidth="1"/>
    <col min="12296" max="12301" width="17.28515625" style="36" customWidth="1"/>
    <col min="12302" max="12544" width="6.42578125" style="36"/>
    <col min="12545" max="12546" width="4.42578125" style="36" customWidth="1"/>
    <col min="12547" max="12547" width="9.140625" style="36" customWidth="1"/>
    <col min="12548" max="12548" width="7.42578125" style="36" customWidth="1"/>
    <col min="12549" max="12551" width="30.7109375" style="36" customWidth="1"/>
    <col min="12552" max="12557" width="17.28515625" style="36" customWidth="1"/>
    <col min="12558" max="12800" width="6.42578125" style="36"/>
    <col min="12801" max="12802" width="4.42578125" style="36" customWidth="1"/>
    <col min="12803" max="12803" width="9.140625" style="36" customWidth="1"/>
    <col min="12804" max="12804" width="7.42578125" style="36" customWidth="1"/>
    <col min="12805" max="12807" width="30.7109375" style="36" customWidth="1"/>
    <col min="12808" max="12813" width="17.28515625" style="36" customWidth="1"/>
    <col min="12814" max="13056" width="6.42578125" style="36"/>
    <col min="13057" max="13058" width="4.42578125" style="36" customWidth="1"/>
    <col min="13059" max="13059" width="9.140625" style="36" customWidth="1"/>
    <col min="13060" max="13060" width="7.42578125" style="36" customWidth="1"/>
    <col min="13061" max="13063" width="30.7109375" style="36" customWidth="1"/>
    <col min="13064" max="13069" width="17.28515625" style="36" customWidth="1"/>
    <col min="13070" max="13312" width="6.42578125" style="36"/>
    <col min="13313" max="13314" width="4.42578125" style="36" customWidth="1"/>
    <col min="13315" max="13315" width="9.140625" style="36" customWidth="1"/>
    <col min="13316" max="13316" width="7.42578125" style="36" customWidth="1"/>
    <col min="13317" max="13319" width="30.7109375" style="36" customWidth="1"/>
    <col min="13320" max="13325" width="17.28515625" style="36" customWidth="1"/>
    <col min="13326" max="13568" width="6.42578125" style="36"/>
    <col min="13569" max="13570" width="4.42578125" style="36" customWidth="1"/>
    <col min="13571" max="13571" width="9.140625" style="36" customWidth="1"/>
    <col min="13572" max="13572" width="7.42578125" style="36" customWidth="1"/>
    <col min="13573" max="13575" width="30.7109375" style="36" customWidth="1"/>
    <col min="13576" max="13581" width="17.28515625" style="36" customWidth="1"/>
    <col min="13582" max="13824" width="6.42578125" style="36"/>
    <col min="13825" max="13826" width="4.42578125" style="36" customWidth="1"/>
    <col min="13827" max="13827" width="9.140625" style="36" customWidth="1"/>
    <col min="13828" max="13828" width="7.42578125" style="36" customWidth="1"/>
    <col min="13829" max="13831" width="30.7109375" style="36" customWidth="1"/>
    <col min="13832" max="13837" width="17.28515625" style="36" customWidth="1"/>
    <col min="13838" max="14080" width="6.42578125" style="36"/>
    <col min="14081" max="14082" width="4.42578125" style="36" customWidth="1"/>
    <col min="14083" max="14083" width="9.140625" style="36" customWidth="1"/>
    <col min="14084" max="14084" width="7.42578125" style="36" customWidth="1"/>
    <col min="14085" max="14087" width="30.7109375" style="36" customWidth="1"/>
    <col min="14088" max="14093" width="17.28515625" style="36" customWidth="1"/>
    <col min="14094" max="14336" width="6.42578125" style="36"/>
    <col min="14337" max="14338" width="4.42578125" style="36" customWidth="1"/>
    <col min="14339" max="14339" width="9.140625" style="36" customWidth="1"/>
    <col min="14340" max="14340" width="7.42578125" style="36" customWidth="1"/>
    <col min="14341" max="14343" width="30.7109375" style="36" customWidth="1"/>
    <col min="14344" max="14349" width="17.28515625" style="36" customWidth="1"/>
    <col min="14350" max="14592" width="6.42578125" style="36"/>
    <col min="14593" max="14594" width="4.42578125" style="36" customWidth="1"/>
    <col min="14595" max="14595" width="9.140625" style="36" customWidth="1"/>
    <col min="14596" max="14596" width="7.42578125" style="36" customWidth="1"/>
    <col min="14597" max="14599" width="30.7109375" style="36" customWidth="1"/>
    <col min="14600" max="14605" width="17.28515625" style="36" customWidth="1"/>
    <col min="14606" max="14848" width="6.42578125" style="36"/>
    <col min="14849" max="14850" width="4.42578125" style="36" customWidth="1"/>
    <col min="14851" max="14851" width="9.140625" style="36" customWidth="1"/>
    <col min="14852" max="14852" width="7.42578125" style="36" customWidth="1"/>
    <col min="14853" max="14855" width="30.7109375" style="36" customWidth="1"/>
    <col min="14856" max="14861" width="17.28515625" style="36" customWidth="1"/>
    <col min="14862" max="15104" width="6.42578125" style="36"/>
    <col min="15105" max="15106" width="4.42578125" style="36" customWidth="1"/>
    <col min="15107" max="15107" width="9.140625" style="36" customWidth="1"/>
    <col min="15108" max="15108" width="7.42578125" style="36" customWidth="1"/>
    <col min="15109" max="15111" width="30.7109375" style="36" customWidth="1"/>
    <col min="15112" max="15117" width="17.28515625" style="36" customWidth="1"/>
    <col min="15118" max="15360" width="6.42578125" style="36"/>
    <col min="15361" max="15362" width="4.42578125" style="36" customWidth="1"/>
    <col min="15363" max="15363" width="9.140625" style="36" customWidth="1"/>
    <col min="15364" max="15364" width="7.42578125" style="36" customWidth="1"/>
    <col min="15365" max="15367" width="30.7109375" style="36" customWidth="1"/>
    <col min="15368" max="15373" width="17.28515625" style="36" customWidth="1"/>
    <col min="15374" max="15616" width="6.42578125" style="36"/>
    <col min="15617" max="15618" width="4.42578125" style="36" customWidth="1"/>
    <col min="15619" max="15619" width="9.140625" style="36" customWidth="1"/>
    <col min="15620" max="15620" width="7.42578125" style="36" customWidth="1"/>
    <col min="15621" max="15623" width="30.7109375" style="36" customWidth="1"/>
    <col min="15624" max="15629" width="17.28515625" style="36" customWidth="1"/>
    <col min="15630" max="15872" width="6.42578125" style="36"/>
    <col min="15873" max="15874" width="4.42578125" style="36" customWidth="1"/>
    <col min="15875" max="15875" width="9.140625" style="36" customWidth="1"/>
    <col min="15876" max="15876" width="7.42578125" style="36" customWidth="1"/>
    <col min="15877" max="15879" width="30.7109375" style="36" customWidth="1"/>
    <col min="15880" max="15885" width="17.28515625" style="36" customWidth="1"/>
    <col min="15886" max="16128" width="6.42578125" style="36"/>
    <col min="16129" max="16130" width="4.42578125" style="36" customWidth="1"/>
    <col min="16131" max="16131" width="9.140625" style="36" customWidth="1"/>
    <col min="16132" max="16132" width="7.42578125" style="36" customWidth="1"/>
    <col min="16133" max="16135" width="30.7109375" style="36" customWidth="1"/>
    <col min="16136" max="16141" width="17.28515625" style="36" customWidth="1"/>
    <col min="16142" max="16384" width="6.42578125" style="36"/>
  </cols>
  <sheetData>
    <row r="1" spans="1:14" ht="19.5" customHeight="1">
      <c r="A1" s="50" t="s">
        <v>611</v>
      </c>
      <c r="B1" s="34"/>
      <c r="C1" s="51"/>
      <c r="D1" s="35"/>
      <c r="E1" s="35"/>
      <c r="F1" s="35"/>
      <c r="G1" s="35"/>
      <c r="H1" s="35"/>
      <c r="I1" s="35"/>
      <c r="J1" s="35"/>
      <c r="K1" s="35"/>
      <c r="L1" s="35"/>
      <c r="M1" s="35"/>
    </row>
    <row r="2" spans="1:14" s="5" customFormat="1" ht="15" customHeight="1">
      <c r="A2" s="31" t="s">
        <v>340</v>
      </c>
      <c r="B2" s="579" t="s">
        <v>341</v>
      </c>
      <c r="C2" s="31" t="s">
        <v>342</v>
      </c>
      <c r="D2" s="27" t="s">
        <v>343</v>
      </c>
      <c r="E2" s="581" t="s">
        <v>344</v>
      </c>
      <c r="F2" s="582"/>
      <c r="G2" s="583"/>
      <c r="H2" s="581" t="s">
        <v>345</v>
      </c>
      <c r="I2" s="582"/>
      <c r="J2" s="582"/>
      <c r="K2" s="582"/>
      <c r="L2" s="582"/>
      <c r="M2" s="583"/>
    </row>
    <row r="3" spans="1:14" s="5" customFormat="1" ht="15" customHeight="1">
      <c r="A3" s="32" t="s">
        <v>346</v>
      </c>
      <c r="B3" s="580"/>
      <c r="C3" s="32" t="s">
        <v>347</v>
      </c>
      <c r="D3" s="29" t="s">
        <v>348</v>
      </c>
      <c r="E3" s="58" t="s">
        <v>349</v>
      </c>
      <c r="F3" s="32" t="s">
        <v>350</v>
      </c>
      <c r="G3" s="32" t="s">
        <v>351</v>
      </c>
      <c r="H3" s="32" t="s">
        <v>352</v>
      </c>
      <c r="I3" s="32" t="s">
        <v>353</v>
      </c>
      <c r="J3" s="32" t="s">
        <v>354</v>
      </c>
      <c r="K3" s="32" t="s">
        <v>355</v>
      </c>
      <c r="L3" s="33" t="s">
        <v>356</v>
      </c>
      <c r="M3" s="33" t="s">
        <v>357</v>
      </c>
    </row>
    <row r="4" spans="1:14" ht="15" hidden="1" customHeight="1">
      <c r="A4" s="52"/>
      <c r="B4" s="602" t="s">
        <v>108</v>
      </c>
      <c r="C4" s="53"/>
      <c r="D4" s="37"/>
      <c r="E4" s="569" t="s">
        <v>360</v>
      </c>
      <c r="F4" s="570"/>
      <c r="G4" s="571"/>
      <c r="H4" s="575" t="s">
        <v>361</v>
      </c>
      <c r="I4" s="575" t="s">
        <v>362</v>
      </c>
      <c r="J4" s="575" t="s">
        <v>363</v>
      </c>
      <c r="K4" s="575" t="s">
        <v>364</v>
      </c>
      <c r="L4" s="575" t="s">
        <v>365</v>
      </c>
      <c r="M4" s="578"/>
      <c r="N4" s="37"/>
    </row>
    <row r="5" spans="1:14" ht="15" hidden="1" customHeight="1">
      <c r="A5" s="52"/>
      <c r="B5" s="596"/>
      <c r="C5" s="53"/>
      <c r="D5" s="37"/>
      <c r="E5" s="572"/>
      <c r="F5" s="573"/>
      <c r="G5" s="574"/>
      <c r="H5" s="576"/>
      <c r="I5" s="576"/>
      <c r="J5" s="576"/>
      <c r="K5" s="576"/>
      <c r="L5" s="584"/>
      <c r="M5" s="576"/>
      <c r="N5" s="37"/>
    </row>
    <row r="6" spans="1:14" ht="15" hidden="1" customHeight="1">
      <c r="A6" s="52"/>
      <c r="B6" s="596"/>
      <c r="D6" s="37"/>
      <c r="E6" s="575" t="s">
        <v>612</v>
      </c>
      <c r="F6" s="575" t="s">
        <v>613</v>
      </c>
      <c r="G6" s="575" t="s">
        <v>614</v>
      </c>
      <c r="H6" s="576"/>
      <c r="I6" s="576"/>
      <c r="J6" s="576"/>
      <c r="K6" s="576"/>
      <c r="L6" s="584"/>
      <c r="M6" s="576"/>
      <c r="N6" s="37"/>
    </row>
    <row r="7" spans="1:14" ht="15" hidden="1" customHeight="1">
      <c r="A7" s="52" t="s">
        <v>615</v>
      </c>
      <c r="B7" s="596"/>
      <c r="C7" s="53" t="s">
        <v>616</v>
      </c>
      <c r="D7" s="52" t="s">
        <v>617</v>
      </c>
      <c r="E7" s="576"/>
      <c r="F7" s="576"/>
      <c r="G7" s="576"/>
      <c r="H7" s="576"/>
      <c r="I7" s="576"/>
      <c r="J7" s="576"/>
      <c r="K7" s="576"/>
      <c r="L7" s="584"/>
      <c r="M7" s="576"/>
      <c r="N7" s="37"/>
    </row>
    <row r="8" spans="1:14" ht="15" hidden="1" customHeight="1">
      <c r="A8" s="52"/>
      <c r="B8" s="596"/>
      <c r="C8" s="53" t="s">
        <v>618</v>
      </c>
      <c r="D8" s="52" t="s">
        <v>619</v>
      </c>
      <c r="E8" s="576"/>
      <c r="F8" s="576"/>
      <c r="G8" s="576"/>
      <c r="H8" s="576"/>
      <c r="I8" s="576"/>
      <c r="J8" s="576"/>
      <c r="K8" s="576"/>
      <c r="L8" s="584"/>
      <c r="M8" s="576"/>
      <c r="N8" s="37"/>
    </row>
    <row r="9" spans="1:14" ht="15" hidden="1" customHeight="1">
      <c r="A9" s="52"/>
      <c r="B9" s="596"/>
      <c r="C9" s="53"/>
      <c r="D9" s="52"/>
      <c r="E9" s="576"/>
      <c r="F9" s="576"/>
      <c r="G9" s="576"/>
      <c r="H9" s="576"/>
      <c r="I9" s="576"/>
      <c r="J9" s="576"/>
      <c r="K9" s="576"/>
      <c r="L9" s="584"/>
      <c r="M9" s="576"/>
      <c r="N9" s="37"/>
    </row>
    <row r="10" spans="1:14" ht="15" hidden="1" customHeight="1">
      <c r="A10" s="52"/>
      <c r="B10" s="596"/>
      <c r="C10" s="53"/>
      <c r="D10" s="37"/>
      <c r="E10" s="576"/>
      <c r="F10" s="576"/>
      <c r="G10" s="576"/>
      <c r="H10" s="576"/>
      <c r="I10" s="576"/>
      <c r="J10" s="576"/>
      <c r="K10" s="576"/>
      <c r="L10" s="584"/>
      <c r="M10" s="576"/>
      <c r="N10" s="37"/>
    </row>
    <row r="11" spans="1:14" ht="15" hidden="1" customHeight="1">
      <c r="A11" s="52" t="s">
        <v>620</v>
      </c>
      <c r="B11" s="597"/>
      <c r="C11" s="54"/>
      <c r="D11" s="55"/>
      <c r="E11" s="577"/>
      <c r="F11" s="577"/>
      <c r="G11" s="577"/>
      <c r="H11" s="576"/>
      <c r="I11" s="576"/>
      <c r="J11" s="576"/>
      <c r="K11" s="576"/>
      <c r="L11" s="585"/>
      <c r="M11" s="576"/>
      <c r="N11" s="37"/>
    </row>
    <row r="12" spans="1:14" ht="15" hidden="1" customHeight="1">
      <c r="A12" s="52"/>
      <c r="B12" s="602" t="s">
        <v>112</v>
      </c>
      <c r="C12" s="602" t="s">
        <v>371</v>
      </c>
      <c r="D12" s="37"/>
      <c r="E12" s="569" t="s">
        <v>621</v>
      </c>
      <c r="F12" s="570"/>
      <c r="G12" s="571"/>
      <c r="H12" s="576"/>
      <c r="I12" s="576"/>
      <c r="J12" s="576"/>
      <c r="K12" s="576"/>
      <c r="L12" s="575" t="s">
        <v>374</v>
      </c>
      <c r="M12" s="576"/>
      <c r="N12" s="37"/>
    </row>
    <row r="13" spans="1:14" ht="15" hidden="1" customHeight="1">
      <c r="A13" s="52"/>
      <c r="B13" s="596"/>
      <c r="C13" s="596"/>
      <c r="D13" s="37"/>
      <c r="E13" s="572"/>
      <c r="F13" s="573"/>
      <c r="G13" s="574"/>
      <c r="H13" s="576"/>
      <c r="I13" s="576"/>
      <c r="J13" s="576"/>
      <c r="K13" s="576"/>
      <c r="L13" s="584"/>
      <c r="M13" s="576"/>
      <c r="N13" s="37"/>
    </row>
    <row r="14" spans="1:14" ht="15" hidden="1" customHeight="1">
      <c r="A14" s="52"/>
      <c r="B14" s="596"/>
      <c r="C14" s="596"/>
      <c r="D14" s="37"/>
      <c r="E14" s="575" t="s">
        <v>622</v>
      </c>
      <c r="F14" s="575" t="s">
        <v>623</v>
      </c>
      <c r="G14" s="575" t="s">
        <v>624</v>
      </c>
      <c r="H14" s="576"/>
      <c r="I14" s="576"/>
      <c r="J14" s="576"/>
      <c r="K14" s="576"/>
      <c r="L14" s="584"/>
      <c r="M14" s="576"/>
      <c r="N14" s="37"/>
    </row>
    <row r="15" spans="1:14" ht="15" hidden="1" customHeight="1">
      <c r="A15" s="52" t="s">
        <v>625</v>
      </c>
      <c r="B15" s="596"/>
      <c r="C15" s="596"/>
      <c r="D15" s="52" t="s">
        <v>626</v>
      </c>
      <c r="E15" s="576"/>
      <c r="F15" s="576"/>
      <c r="G15" s="576"/>
      <c r="H15" s="576"/>
      <c r="I15" s="576"/>
      <c r="J15" s="576"/>
      <c r="K15" s="576"/>
      <c r="L15" s="584"/>
      <c r="M15" s="576"/>
      <c r="N15" s="37"/>
    </row>
    <row r="16" spans="1:14" ht="15" hidden="1" customHeight="1">
      <c r="A16" s="52"/>
      <c r="B16" s="596"/>
      <c r="C16" s="596"/>
      <c r="D16" s="52" t="s">
        <v>627</v>
      </c>
      <c r="E16" s="576"/>
      <c r="F16" s="576"/>
      <c r="G16" s="576"/>
      <c r="H16" s="576"/>
      <c r="I16" s="576"/>
      <c r="J16" s="576"/>
      <c r="K16" s="576"/>
      <c r="L16" s="584"/>
      <c r="M16" s="576"/>
      <c r="N16" s="37"/>
    </row>
    <row r="17" spans="1:14" ht="15" hidden="1" customHeight="1">
      <c r="A17" s="37"/>
      <c r="B17" s="596"/>
      <c r="C17" s="596"/>
      <c r="D17" s="52"/>
      <c r="E17" s="576"/>
      <c r="F17" s="576"/>
      <c r="G17" s="576"/>
      <c r="H17" s="576"/>
      <c r="I17" s="576"/>
      <c r="J17" s="576"/>
      <c r="K17" s="576"/>
      <c r="L17" s="584"/>
      <c r="M17" s="576"/>
      <c r="N17" s="37"/>
    </row>
    <row r="18" spans="1:14" ht="15" hidden="1" customHeight="1">
      <c r="A18" s="37"/>
      <c r="B18" s="596"/>
      <c r="C18" s="596"/>
      <c r="D18" s="37"/>
      <c r="E18" s="576"/>
      <c r="F18" s="576"/>
      <c r="G18" s="576"/>
      <c r="H18" s="576"/>
      <c r="I18" s="576"/>
      <c r="J18" s="576"/>
      <c r="K18" s="576"/>
      <c r="L18" s="584"/>
      <c r="M18" s="576"/>
      <c r="N18" s="37"/>
    </row>
    <row r="19" spans="1:14" ht="15" hidden="1" customHeight="1">
      <c r="A19" s="56"/>
      <c r="B19" s="597"/>
      <c r="C19" s="597"/>
      <c r="D19" s="55"/>
      <c r="E19" s="577"/>
      <c r="F19" s="577"/>
      <c r="G19" s="577"/>
      <c r="H19" s="577"/>
      <c r="I19" s="577"/>
      <c r="J19" s="577"/>
      <c r="K19" s="577"/>
      <c r="L19" s="585"/>
      <c r="M19" s="577"/>
      <c r="N19" s="37"/>
    </row>
    <row r="20" spans="1:14" ht="39" customHeight="1">
      <c r="A20" s="603"/>
      <c r="B20" s="604"/>
      <c r="C20" s="604"/>
      <c r="D20" s="604"/>
      <c r="E20" s="604"/>
      <c r="F20" s="604"/>
      <c r="G20" s="604"/>
      <c r="H20" s="604"/>
      <c r="I20" s="604"/>
      <c r="J20" s="604"/>
      <c r="K20" s="604"/>
      <c r="L20" s="604"/>
      <c r="M20" s="605"/>
      <c r="N20" s="37"/>
    </row>
    <row r="21" spans="1:14" ht="12" customHeight="1">
      <c r="A21" s="560" t="s">
        <v>378</v>
      </c>
      <c r="B21" s="564" t="s">
        <v>117</v>
      </c>
      <c r="C21" s="38"/>
      <c r="D21" s="566" t="s">
        <v>628</v>
      </c>
      <c r="E21" s="606" t="s">
        <v>380</v>
      </c>
      <c r="F21" s="607"/>
      <c r="G21" s="608"/>
      <c r="H21" s="594" t="s">
        <v>381</v>
      </c>
      <c r="I21" s="594" t="s">
        <v>382</v>
      </c>
      <c r="J21" s="594" t="s">
        <v>383</v>
      </c>
      <c r="K21" s="594" t="s">
        <v>384</v>
      </c>
      <c r="L21" s="594" t="s">
        <v>385</v>
      </c>
      <c r="M21" s="584" t="s">
        <v>629</v>
      </c>
      <c r="N21" s="37"/>
    </row>
    <row r="22" spans="1:14" ht="12" customHeight="1">
      <c r="A22" s="561"/>
      <c r="B22" s="564"/>
      <c r="C22" s="38"/>
      <c r="D22" s="586"/>
      <c r="E22" s="591"/>
      <c r="F22" s="592"/>
      <c r="G22" s="593"/>
      <c r="H22" s="594"/>
      <c r="I22" s="594"/>
      <c r="J22" s="594"/>
      <c r="K22" s="594"/>
      <c r="L22" s="594"/>
      <c r="M22" s="576"/>
      <c r="N22" s="37"/>
    </row>
    <row r="23" spans="1:14" ht="18" customHeight="1">
      <c r="A23" s="561"/>
      <c r="B23" s="564"/>
      <c r="C23" s="39"/>
      <c r="D23" s="586"/>
      <c r="E23" s="575" t="s">
        <v>630</v>
      </c>
      <c r="F23" s="599" t="s">
        <v>631</v>
      </c>
      <c r="G23" s="599" t="s">
        <v>388</v>
      </c>
      <c r="H23" s="594"/>
      <c r="I23" s="594"/>
      <c r="J23" s="594"/>
      <c r="K23" s="594"/>
      <c r="L23" s="594"/>
      <c r="M23" s="576"/>
      <c r="N23" s="37"/>
    </row>
    <row r="24" spans="1:14" ht="18" customHeight="1">
      <c r="A24" s="561"/>
      <c r="B24" s="564"/>
      <c r="C24" s="38" t="s">
        <v>389</v>
      </c>
      <c r="D24" s="586"/>
      <c r="E24" s="576"/>
      <c r="F24" s="600"/>
      <c r="G24" s="600"/>
      <c r="H24" s="594"/>
      <c r="I24" s="594"/>
      <c r="J24" s="594"/>
      <c r="K24" s="594"/>
      <c r="L24" s="594"/>
      <c r="M24" s="576"/>
      <c r="N24" s="37"/>
    </row>
    <row r="25" spans="1:14" ht="18" customHeight="1">
      <c r="A25" s="561"/>
      <c r="B25" s="564"/>
      <c r="C25" s="40" t="s">
        <v>390</v>
      </c>
      <c r="D25" s="586"/>
      <c r="E25" s="576"/>
      <c r="F25" s="600"/>
      <c r="G25" s="600"/>
      <c r="H25" s="594"/>
      <c r="I25" s="594"/>
      <c r="J25" s="594"/>
      <c r="K25" s="594"/>
      <c r="L25" s="594"/>
      <c r="M25" s="576"/>
      <c r="N25" s="37"/>
    </row>
    <row r="26" spans="1:14" ht="18" customHeight="1">
      <c r="A26" s="561"/>
      <c r="B26" s="564"/>
      <c r="C26" s="40"/>
      <c r="D26" s="586"/>
      <c r="E26" s="576"/>
      <c r="F26" s="600"/>
      <c r="G26" s="600"/>
      <c r="H26" s="594"/>
      <c r="I26" s="594"/>
      <c r="J26" s="594"/>
      <c r="K26" s="594"/>
      <c r="L26" s="594"/>
      <c r="M26" s="576"/>
      <c r="N26" s="37"/>
    </row>
    <row r="27" spans="1:14" ht="18" customHeight="1">
      <c r="A27" s="561"/>
      <c r="B27" s="564"/>
      <c r="C27" s="40"/>
      <c r="D27" s="586"/>
      <c r="E27" s="576"/>
      <c r="F27" s="600"/>
      <c r="G27" s="600"/>
      <c r="H27" s="594"/>
      <c r="I27" s="594"/>
      <c r="J27" s="594"/>
      <c r="K27" s="594"/>
      <c r="L27" s="594"/>
      <c r="M27" s="576"/>
      <c r="N27" s="37"/>
    </row>
    <row r="28" spans="1:14" ht="18" customHeight="1">
      <c r="A28" s="561"/>
      <c r="B28" s="565"/>
      <c r="C28" s="41"/>
      <c r="D28" s="587"/>
      <c r="E28" s="577"/>
      <c r="F28" s="601"/>
      <c r="G28" s="601"/>
      <c r="H28" s="595"/>
      <c r="I28" s="595"/>
      <c r="J28" s="595"/>
      <c r="K28" s="595"/>
      <c r="L28" s="595"/>
      <c r="M28" s="577"/>
      <c r="N28" s="37"/>
    </row>
    <row r="29" spans="1:14" ht="12" customHeight="1">
      <c r="A29" s="561"/>
      <c r="B29" s="563" t="s">
        <v>121</v>
      </c>
      <c r="C29" s="42"/>
      <c r="D29" s="566" t="s">
        <v>391</v>
      </c>
      <c r="E29" s="611" t="s">
        <v>392</v>
      </c>
      <c r="F29" s="612"/>
      <c r="G29" s="613"/>
      <c r="H29" s="598" t="s">
        <v>632</v>
      </c>
      <c r="I29" s="598" t="s">
        <v>394</v>
      </c>
      <c r="J29" s="598" t="s">
        <v>395</v>
      </c>
      <c r="K29" s="598" t="s">
        <v>633</v>
      </c>
      <c r="L29" s="598" t="s">
        <v>634</v>
      </c>
      <c r="M29" s="575" t="s">
        <v>629</v>
      </c>
      <c r="N29" s="37"/>
    </row>
    <row r="30" spans="1:14" ht="12" customHeight="1">
      <c r="A30" s="561"/>
      <c r="B30" s="564"/>
      <c r="C30" s="42"/>
      <c r="D30" s="596"/>
      <c r="E30" s="591"/>
      <c r="F30" s="592"/>
      <c r="G30" s="593"/>
      <c r="H30" s="594"/>
      <c r="I30" s="594"/>
      <c r="J30" s="594"/>
      <c r="K30" s="594"/>
      <c r="L30" s="594"/>
      <c r="M30" s="576"/>
      <c r="N30" s="37"/>
    </row>
    <row r="31" spans="1:14" ht="18" customHeight="1">
      <c r="A31" s="561"/>
      <c r="B31" s="564"/>
      <c r="C31" s="42"/>
      <c r="D31" s="596"/>
      <c r="E31" s="575" t="s">
        <v>635</v>
      </c>
      <c r="F31" s="575" t="s">
        <v>636</v>
      </c>
      <c r="G31" s="575" t="s">
        <v>637</v>
      </c>
      <c r="H31" s="594"/>
      <c r="I31" s="594"/>
      <c r="J31" s="594"/>
      <c r="K31" s="594"/>
      <c r="L31" s="594"/>
      <c r="M31" s="576"/>
      <c r="N31" s="37"/>
    </row>
    <row r="32" spans="1:14" ht="18" customHeight="1">
      <c r="A32" s="561"/>
      <c r="B32" s="564"/>
      <c r="C32" s="42" t="s">
        <v>401</v>
      </c>
      <c r="D32" s="596"/>
      <c r="E32" s="576"/>
      <c r="F32" s="576"/>
      <c r="G32" s="584"/>
      <c r="H32" s="594"/>
      <c r="I32" s="594"/>
      <c r="J32" s="594"/>
      <c r="K32" s="594"/>
      <c r="L32" s="594"/>
      <c r="M32" s="576"/>
      <c r="N32" s="37"/>
    </row>
    <row r="33" spans="1:14" ht="18" customHeight="1">
      <c r="A33" s="561"/>
      <c r="B33" s="564"/>
      <c r="C33" s="42" t="s">
        <v>402</v>
      </c>
      <c r="D33" s="596"/>
      <c r="E33" s="576"/>
      <c r="F33" s="576"/>
      <c r="G33" s="584"/>
      <c r="H33" s="594"/>
      <c r="I33" s="594"/>
      <c r="J33" s="594"/>
      <c r="K33" s="594"/>
      <c r="L33" s="594"/>
      <c r="M33" s="576"/>
      <c r="N33" s="37"/>
    </row>
    <row r="34" spans="1:14" ht="18" customHeight="1">
      <c r="A34" s="561"/>
      <c r="B34" s="564"/>
      <c r="C34" s="42"/>
      <c r="D34" s="596"/>
      <c r="E34" s="576"/>
      <c r="F34" s="576"/>
      <c r="G34" s="584"/>
      <c r="H34" s="594"/>
      <c r="I34" s="594"/>
      <c r="J34" s="594"/>
      <c r="K34" s="594"/>
      <c r="L34" s="594"/>
      <c r="M34" s="576"/>
      <c r="N34" s="37"/>
    </row>
    <row r="35" spans="1:14" ht="18" customHeight="1">
      <c r="A35" s="561"/>
      <c r="B35" s="564"/>
      <c r="C35" s="42"/>
      <c r="D35" s="596"/>
      <c r="E35" s="576"/>
      <c r="F35" s="576"/>
      <c r="G35" s="584"/>
      <c r="H35" s="594"/>
      <c r="I35" s="594"/>
      <c r="J35" s="594"/>
      <c r="K35" s="594"/>
      <c r="L35" s="594"/>
      <c r="M35" s="576"/>
      <c r="N35" s="37"/>
    </row>
    <row r="36" spans="1:14" ht="18" customHeight="1">
      <c r="A36" s="562"/>
      <c r="B36" s="565"/>
      <c r="C36" s="43"/>
      <c r="D36" s="597"/>
      <c r="E36" s="577"/>
      <c r="F36" s="577"/>
      <c r="G36" s="585"/>
      <c r="H36" s="595"/>
      <c r="I36" s="595"/>
      <c r="J36" s="595"/>
      <c r="K36" s="595"/>
      <c r="L36" s="595"/>
      <c r="M36" s="577"/>
      <c r="N36" s="37"/>
    </row>
    <row r="37" spans="1:14" ht="12" customHeight="1">
      <c r="A37" s="560" t="s">
        <v>492</v>
      </c>
      <c r="B37" s="563" t="s">
        <v>125</v>
      </c>
      <c r="C37" s="44"/>
      <c r="D37" s="566" t="s">
        <v>638</v>
      </c>
      <c r="E37" s="611" t="s">
        <v>639</v>
      </c>
      <c r="F37" s="612"/>
      <c r="G37" s="613"/>
      <c r="H37" s="598" t="s">
        <v>640</v>
      </c>
      <c r="I37" s="598" t="s">
        <v>641</v>
      </c>
      <c r="J37" s="598" t="s">
        <v>642</v>
      </c>
      <c r="K37" s="598" t="s">
        <v>643</v>
      </c>
      <c r="L37" s="598" t="s">
        <v>644</v>
      </c>
      <c r="M37" s="575" t="s">
        <v>605</v>
      </c>
    </row>
    <row r="38" spans="1:14" ht="12" customHeight="1">
      <c r="A38" s="561"/>
      <c r="B38" s="564"/>
      <c r="C38" s="38"/>
      <c r="D38" s="596"/>
      <c r="E38" s="591"/>
      <c r="F38" s="592"/>
      <c r="G38" s="593"/>
      <c r="H38" s="594"/>
      <c r="I38" s="594"/>
      <c r="J38" s="594"/>
      <c r="K38" s="594"/>
      <c r="L38" s="594"/>
      <c r="M38" s="576"/>
    </row>
    <row r="39" spans="1:14" ht="18" customHeight="1">
      <c r="A39" s="561"/>
      <c r="B39" s="564"/>
      <c r="C39" s="38"/>
      <c r="D39" s="596"/>
      <c r="E39" s="575" t="s">
        <v>645</v>
      </c>
      <c r="F39" s="575" t="s">
        <v>646</v>
      </c>
      <c r="G39" s="575" t="s">
        <v>647</v>
      </c>
      <c r="H39" s="594"/>
      <c r="I39" s="594"/>
      <c r="J39" s="594"/>
      <c r="K39" s="594"/>
      <c r="L39" s="594"/>
      <c r="M39" s="576"/>
    </row>
    <row r="40" spans="1:14" ht="18" customHeight="1">
      <c r="A40" s="561"/>
      <c r="B40" s="564"/>
      <c r="C40" s="45" t="s">
        <v>648</v>
      </c>
      <c r="D40" s="596"/>
      <c r="E40" s="584"/>
      <c r="F40" s="584"/>
      <c r="G40" s="584"/>
      <c r="H40" s="594"/>
      <c r="I40" s="594"/>
      <c r="J40" s="594"/>
      <c r="K40" s="594"/>
      <c r="L40" s="594"/>
      <c r="M40" s="576"/>
    </row>
    <row r="41" spans="1:14" ht="18" customHeight="1">
      <c r="A41" s="561"/>
      <c r="B41" s="564"/>
      <c r="C41" s="45" t="s">
        <v>649</v>
      </c>
      <c r="D41" s="596"/>
      <c r="E41" s="584"/>
      <c r="F41" s="584"/>
      <c r="G41" s="584"/>
      <c r="H41" s="594"/>
      <c r="I41" s="594"/>
      <c r="J41" s="594"/>
      <c r="K41" s="594"/>
      <c r="L41" s="594"/>
      <c r="M41" s="576"/>
    </row>
    <row r="42" spans="1:14" ht="18" customHeight="1">
      <c r="A42" s="561"/>
      <c r="B42" s="564"/>
      <c r="C42" s="45"/>
      <c r="D42" s="596"/>
      <c r="E42" s="584"/>
      <c r="F42" s="584"/>
      <c r="G42" s="584"/>
      <c r="H42" s="594"/>
      <c r="I42" s="594"/>
      <c r="J42" s="594"/>
      <c r="K42" s="594"/>
      <c r="L42" s="594"/>
      <c r="M42" s="576"/>
    </row>
    <row r="43" spans="1:14" ht="18" customHeight="1">
      <c r="A43" s="561"/>
      <c r="B43" s="564"/>
      <c r="C43" s="45"/>
      <c r="D43" s="596"/>
      <c r="E43" s="584"/>
      <c r="F43" s="584"/>
      <c r="G43" s="584"/>
      <c r="H43" s="594"/>
      <c r="I43" s="594"/>
      <c r="J43" s="594"/>
      <c r="K43" s="594"/>
      <c r="L43" s="594"/>
      <c r="M43" s="576"/>
    </row>
    <row r="44" spans="1:14" ht="18" customHeight="1">
      <c r="A44" s="561"/>
      <c r="B44" s="565"/>
      <c r="C44" s="46"/>
      <c r="D44" s="597"/>
      <c r="E44" s="585"/>
      <c r="F44" s="585"/>
      <c r="G44" s="585"/>
      <c r="H44" s="595"/>
      <c r="I44" s="595"/>
      <c r="J44" s="595"/>
      <c r="K44" s="595"/>
      <c r="L44" s="595"/>
      <c r="M44" s="577"/>
    </row>
    <row r="45" spans="1:14" ht="12" customHeight="1">
      <c r="A45" s="561"/>
      <c r="B45" s="563" t="s">
        <v>127</v>
      </c>
      <c r="C45" s="47"/>
      <c r="D45" s="566" t="s">
        <v>650</v>
      </c>
      <c r="E45" s="611" t="s">
        <v>651</v>
      </c>
      <c r="F45" s="612"/>
      <c r="G45" s="613"/>
      <c r="H45" s="575" t="s">
        <v>652</v>
      </c>
      <c r="I45" s="575" t="s">
        <v>653</v>
      </c>
      <c r="J45" s="575" t="s">
        <v>654</v>
      </c>
      <c r="K45" s="575" t="s">
        <v>655</v>
      </c>
      <c r="L45" s="575" t="s">
        <v>656</v>
      </c>
      <c r="M45" s="575" t="s">
        <v>657</v>
      </c>
    </row>
    <row r="46" spans="1:14" ht="12" customHeight="1">
      <c r="A46" s="561"/>
      <c r="B46" s="564"/>
      <c r="C46" s="45"/>
      <c r="D46" s="596"/>
      <c r="E46" s="591"/>
      <c r="F46" s="592"/>
      <c r="G46" s="593"/>
      <c r="H46" s="584"/>
      <c r="I46" s="584"/>
      <c r="J46" s="584"/>
      <c r="K46" s="584"/>
      <c r="L46" s="584"/>
      <c r="M46" s="576"/>
    </row>
    <row r="47" spans="1:14" ht="18" customHeight="1">
      <c r="A47" s="561"/>
      <c r="B47" s="564"/>
      <c r="C47" s="45"/>
      <c r="D47" s="596"/>
      <c r="E47" s="575" t="s">
        <v>658</v>
      </c>
      <c r="F47" s="599" t="s">
        <v>659</v>
      </c>
      <c r="G47" s="575" t="s">
        <v>660</v>
      </c>
      <c r="H47" s="584"/>
      <c r="I47" s="584"/>
      <c r="J47" s="584"/>
      <c r="K47" s="584"/>
      <c r="L47" s="584"/>
      <c r="M47" s="576"/>
    </row>
    <row r="48" spans="1:14" ht="18" customHeight="1">
      <c r="A48" s="561"/>
      <c r="B48" s="564"/>
      <c r="C48" s="45" t="s">
        <v>661</v>
      </c>
      <c r="D48" s="596"/>
      <c r="E48" s="576"/>
      <c r="F48" s="600"/>
      <c r="G48" s="576"/>
      <c r="H48" s="584"/>
      <c r="I48" s="584"/>
      <c r="J48" s="584"/>
      <c r="K48" s="584"/>
      <c r="L48" s="584"/>
      <c r="M48" s="576"/>
    </row>
    <row r="49" spans="1:13" ht="18" customHeight="1">
      <c r="A49" s="561"/>
      <c r="B49" s="564"/>
      <c r="C49" s="45" t="s">
        <v>649</v>
      </c>
      <c r="D49" s="596"/>
      <c r="E49" s="576"/>
      <c r="F49" s="600"/>
      <c r="G49" s="576"/>
      <c r="H49" s="584"/>
      <c r="I49" s="584"/>
      <c r="J49" s="584"/>
      <c r="K49" s="584"/>
      <c r="L49" s="584"/>
      <c r="M49" s="576"/>
    </row>
    <row r="50" spans="1:13" ht="18" customHeight="1">
      <c r="A50" s="561"/>
      <c r="B50" s="564"/>
      <c r="C50" s="45"/>
      <c r="D50" s="596"/>
      <c r="E50" s="576"/>
      <c r="F50" s="600"/>
      <c r="G50" s="576"/>
      <c r="H50" s="584"/>
      <c r="I50" s="584"/>
      <c r="J50" s="584"/>
      <c r="K50" s="584"/>
      <c r="L50" s="584"/>
      <c r="M50" s="576"/>
    </row>
    <row r="51" spans="1:13" ht="18" customHeight="1">
      <c r="A51" s="561"/>
      <c r="B51" s="564"/>
      <c r="C51" s="45"/>
      <c r="D51" s="596"/>
      <c r="E51" s="576"/>
      <c r="F51" s="600"/>
      <c r="G51" s="576"/>
      <c r="H51" s="584"/>
      <c r="I51" s="584"/>
      <c r="J51" s="584"/>
      <c r="K51" s="584"/>
      <c r="L51" s="584"/>
      <c r="M51" s="576"/>
    </row>
    <row r="52" spans="1:13" ht="18" customHeight="1">
      <c r="A52" s="561"/>
      <c r="B52" s="565"/>
      <c r="C52" s="46"/>
      <c r="D52" s="597"/>
      <c r="E52" s="577"/>
      <c r="F52" s="601"/>
      <c r="G52" s="577"/>
      <c r="H52" s="585"/>
      <c r="I52" s="585"/>
      <c r="J52" s="585"/>
      <c r="K52" s="585"/>
      <c r="L52" s="585"/>
      <c r="M52" s="577"/>
    </row>
    <row r="53" spans="1:13" ht="12" customHeight="1">
      <c r="A53" s="561"/>
      <c r="B53" s="563" t="s">
        <v>129</v>
      </c>
      <c r="C53" s="47"/>
      <c r="D53" s="566" t="s">
        <v>662</v>
      </c>
      <c r="E53" s="611" t="s">
        <v>663</v>
      </c>
      <c r="F53" s="612"/>
      <c r="G53" s="613"/>
      <c r="H53" s="575" t="s">
        <v>664</v>
      </c>
      <c r="I53" s="575" t="s">
        <v>665</v>
      </c>
      <c r="J53" s="575" t="s">
        <v>666</v>
      </c>
      <c r="K53" s="575" t="s">
        <v>667</v>
      </c>
      <c r="L53" s="575" t="s">
        <v>668</v>
      </c>
      <c r="M53" s="575" t="s">
        <v>669</v>
      </c>
    </row>
    <row r="54" spans="1:13" ht="12" customHeight="1">
      <c r="A54" s="561"/>
      <c r="B54" s="564"/>
      <c r="C54" s="45"/>
      <c r="D54" s="596"/>
      <c r="E54" s="591"/>
      <c r="F54" s="592"/>
      <c r="G54" s="593"/>
      <c r="H54" s="584"/>
      <c r="I54" s="584"/>
      <c r="J54" s="584"/>
      <c r="K54" s="584"/>
      <c r="L54" s="584"/>
      <c r="M54" s="584"/>
    </row>
    <row r="55" spans="1:13" ht="18" customHeight="1">
      <c r="A55" s="561"/>
      <c r="B55" s="564"/>
      <c r="C55" s="45"/>
      <c r="D55" s="596"/>
      <c r="E55" s="575" t="s">
        <v>670</v>
      </c>
      <c r="F55" s="575" t="s">
        <v>671</v>
      </c>
      <c r="G55" s="575" t="s">
        <v>672</v>
      </c>
      <c r="H55" s="584"/>
      <c r="I55" s="584"/>
      <c r="J55" s="584"/>
      <c r="K55" s="584"/>
      <c r="L55" s="584"/>
      <c r="M55" s="584"/>
    </row>
    <row r="56" spans="1:13" ht="18" customHeight="1">
      <c r="A56" s="561"/>
      <c r="B56" s="564"/>
      <c r="C56" s="45" t="s">
        <v>673</v>
      </c>
      <c r="D56" s="596"/>
      <c r="E56" s="576"/>
      <c r="F56" s="576"/>
      <c r="G56" s="576"/>
      <c r="H56" s="584"/>
      <c r="I56" s="584"/>
      <c r="J56" s="584"/>
      <c r="K56" s="584"/>
      <c r="L56" s="584"/>
      <c r="M56" s="584"/>
    </row>
    <row r="57" spans="1:13" ht="18" customHeight="1">
      <c r="A57" s="561"/>
      <c r="B57" s="564"/>
      <c r="C57" s="45" t="s">
        <v>649</v>
      </c>
      <c r="D57" s="596"/>
      <c r="E57" s="576"/>
      <c r="F57" s="576"/>
      <c r="G57" s="576"/>
      <c r="H57" s="584"/>
      <c r="I57" s="584"/>
      <c r="J57" s="584"/>
      <c r="K57" s="584"/>
      <c r="L57" s="584"/>
      <c r="M57" s="584"/>
    </row>
    <row r="58" spans="1:13" ht="18" customHeight="1">
      <c r="A58" s="561"/>
      <c r="B58" s="564"/>
      <c r="C58" s="38"/>
      <c r="D58" s="596"/>
      <c r="E58" s="576"/>
      <c r="F58" s="576"/>
      <c r="G58" s="576"/>
      <c r="H58" s="584"/>
      <c r="I58" s="584"/>
      <c r="J58" s="584"/>
      <c r="K58" s="584"/>
      <c r="L58" s="584"/>
      <c r="M58" s="584"/>
    </row>
    <row r="59" spans="1:13" ht="18" customHeight="1">
      <c r="A59" s="561"/>
      <c r="B59" s="564"/>
      <c r="C59" s="38"/>
      <c r="D59" s="596"/>
      <c r="E59" s="576"/>
      <c r="F59" s="576"/>
      <c r="G59" s="576"/>
      <c r="H59" s="584"/>
      <c r="I59" s="584"/>
      <c r="J59" s="584"/>
      <c r="K59" s="584"/>
      <c r="L59" s="584"/>
      <c r="M59" s="584"/>
    </row>
    <row r="60" spans="1:13" ht="18" customHeight="1">
      <c r="A60" s="561"/>
      <c r="B60" s="565"/>
      <c r="C60" s="41"/>
      <c r="D60" s="597"/>
      <c r="E60" s="577"/>
      <c r="F60" s="577"/>
      <c r="G60" s="577"/>
      <c r="H60" s="585"/>
      <c r="I60" s="585"/>
      <c r="J60" s="585"/>
      <c r="K60" s="585"/>
      <c r="L60" s="585"/>
      <c r="M60" s="585"/>
    </row>
    <row r="61" spans="1:13" ht="12" customHeight="1">
      <c r="A61" s="561"/>
      <c r="B61" s="563" t="s">
        <v>131</v>
      </c>
      <c r="C61" s="47"/>
      <c r="D61" s="566" t="s">
        <v>441</v>
      </c>
      <c r="E61" s="611" t="s">
        <v>442</v>
      </c>
      <c r="F61" s="612"/>
      <c r="G61" s="613"/>
      <c r="H61" s="575" t="s">
        <v>674</v>
      </c>
      <c r="I61" s="575" t="s">
        <v>675</v>
      </c>
      <c r="J61" s="575" t="s">
        <v>676</v>
      </c>
      <c r="K61" s="575" t="s">
        <v>446</v>
      </c>
      <c r="L61" s="575" t="s">
        <v>447</v>
      </c>
      <c r="M61" s="575" t="s">
        <v>677</v>
      </c>
    </row>
    <row r="62" spans="1:13" ht="12" customHeight="1">
      <c r="A62" s="561"/>
      <c r="B62" s="564"/>
      <c r="C62" s="45"/>
      <c r="D62" s="596"/>
      <c r="E62" s="591"/>
      <c r="F62" s="592"/>
      <c r="G62" s="593"/>
      <c r="H62" s="584"/>
      <c r="I62" s="584"/>
      <c r="J62" s="584"/>
      <c r="K62" s="584"/>
      <c r="L62" s="584"/>
      <c r="M62" s="584"/>
    </row>
    <row r="63" spans="1:13" ht="18" customHeight="1">
      <c r="A63" s="561"/>
      <c r="B63" s="564"/>
      <c r="C63" s="45"/>
      <c r="D63" s="596"/>
      <c r="E63" s="575" t="s">
        <v>448</v>
      </c>
      <c r="F63" s="575" t="s">
        <v>678</v>
      </c>
      <c r="G63" s="575" t="s">
        <v>450</v>
      </c>
      <c r="H63" s="584"/>
      <c r="I63" s="584"/>
      <c r="J63" s="584"/>
      <c r="K63" s="584"/>
      <c r="L63" s="584"/>
      <c r="M63" s="584"/>
    </row>
    <row r="64" spans="1:13" ht="18" customHeight="1">
      <c r="A64" s="561"/>
      <c r="B64" s="564"/>
      <c r="C64" s="48"/>
      <c r="D64" s="596"/>
      <c r="E64" s="576"/>
      <c r="F64" s="576"/>
      <c r="G64" s="576"/>
      <c r="H64" s="584"/>
      <c r="I64" s="584"/>
      <c r="J64" s="584"/>
      <c r="K64" s="584"/>
      <c r="L64" s="584"/>
      <c r="M64" s="584"/>
    </row>
    <row r="65" spans="1:13" ht="18" customHeight="1">
      <c r="A65" s="561"/>
      <c r="B65" s="564"/>
      <c r="C65" s="45" t="s">
        <v>679</v>
      </c>
      <c r="D65" s="596"/>
      <c r="E65" s="576"/>
      <c r="F65" s="576"/>
      <c r="G65" s="576"/>
      <c r="H65" s="584"/>
      <c r="I65" s="584"/>
      <c r="J65" s="584"/>
      <c r="K65" s="584"/>
      <c r="L65" s="584"/>
      <c r="M65" s="584"/>
    </row>
    <row r="66" spans="1:13" ht="18" customHeight="1">
      <c r="A66" s="561"/>
      <c r="B66" s="564"/>
      <c r="C66" s="45" t="s">
        <v>649</v>
      </c>
      <c r="D66" s="596"/>
      <c r="E66" s="576"/>
      <c r="F66" s="576"/>
      <c r="G66" s="576"/>
      <c r="H66" s="584"/>
      <c r="I66" s="584"/>
      <c r="J66" s="584"/>
      <c r="K66" s="584"/>
      <c r="L66" s="584"/>
      <c r="M66" s="584"/>
    </row>
    <row r="67" spans="1:13" ht="18" customHeight="1">
      <c r="A67" s="561"/>
      <c r="B67" s="564"/>
      <c r="C67" s="45"/>
      <c r="D67" s="596"/>
      <c r="E67" s="576"/>
      <c r="F67" s="576"/>
      <c r="G67" s="576"/>
      <c r="H67" s="584"/>
      <c r="I67" s="584"/>
      <c r="J67" s="584"/>
      <c r="K67" s="584"/>
      <c r="L67" s="584"/>
      <c r="M67" s="584"/>
    </row>
    <row r="68" spans="1:13" ht="18" customHeight="1">
      <c r="A68" s="561"/>
      <c r="B68" s="565"/>
      <c r="C68" s="46"/>
      <c r="D68" s="597"/>
      <c r="E68" s="577"/>
      <c r="F68" s="577"/>
      <c r="G68" s="577"/>
      <c r="H68" s="585"/>
      <c r="I68" s="585"/>
      <c r="J68" s="585"/>
      <c r="K68" s="585"/>
      <c r="L68" s="585"/>
      <c r="M68" s="585"/>
    </row>
    <row r="69" spans="1:13" ht="12" customHeight="1">
      <c r="A69" s="561"/>
      <c r="B69" s="563" t="s">
        <v>549</v>
      </c>
      <c r="C69" s="563" t="s">
        <v>550</v>
      </c>
      <c r="D69" s="566" t="s">
        <v>551</v>
      </c>
      <c r="E69" s="611" t="s">
        <v>552</v>
      </c>
      <c r="F69" s="612"/>
      <c r="G69" s="613"/>
      <c r="H69" s="575" t="s">
        <v>553</v>
      </c>
      <c r="I69" s="575" t="s">
        <v>554</v>
      </c>
      <c r="J69" s="575" t="s">
        <v>555</v>
      </c>
      <c r="K69" s="575" t="s">
        <v>556</v>
      </c>
      <c r="L69" s="575" t="s">
        <v>557</v>
      </c>
      <c r="M69" s="575" t="s">
        <v>543</v>
      </c>
    </row>
    <row r="70" spans="1:13" ht="12" customHeight="1">
      <c r="A70" s="561"/>
      <c r="B70" s="564"/>
      <c r="C70" s="564"/>
      <c r="D70" s="596"/>
      <c r="E70" s="591"/>
      <c r="F70" s="592"/>
      <c r="G70" s="593"/>
      <c r="H70" s="584"/>
      <c r="I70" s="584"/>
      <c r="J70" s="584"/>
      <c r="K70" s="584"/>
      <c r="L70" s="584"/>
      <c r="M70" s="584"/>
    </row>
    <row r="71" spans="1:13" ht="18" customHeight="1">
      <c r="A71" s="561"/>
      <c r="B71" s="564"/>
      <c r="C71" s="564"/>
      <c r="D71" s="596"/>
      <c r="E71" s="575" t="s">
        <v>558</v>
      </c>
      <c r="F71" s="575" t="s">
        <v>559</v>
      </c>
      <c r="G71" s="575" t="s">
        <v>560</v>
      </c>
      <c r="H71" s="584"/>
      <c r="I71" s="584"/>
      <c r="J71" s="584"/>
      <c r="K71" s="584"/>
      <c r="L71" s="584"/>
      <c r="M71" s="584"/>
    </row>
    <row r="72" spans="1:13" ht="18" customHeight="1">
      <c r="A72" s="561"/>
      <c r="B72" s="564"/>
      <c r="C72" s="564"/>
      <c r="D72" s="596"/>
      <c r="E72" s="576"/>
      <c r="F72" s="576"/>
      <c r="G72" s="576"/>
      <c r="H72" s="584"/>
      <c r="I72" s="584"/>
      <c r="J72" s="584"/>
      <c r="K72" s="584"/>
      <c r="L72" s="584"/>
      <c r="M72" s="584"/>
    </row>
    <row r="73" spans="1:13" ht="18" customHeight="1">
      <c r="A73" s="561"/>
      <c r="B73" s="564"/>
      <c r="C73" s="564"/>
      <c r="D73" s="596"/>
      <c r="E73" s="576"/>
      <c r="F73" s="576"/>
      <c r="G73" s="576"/>
      <c r="H73" s="584"/>
      <c r="I73" s="584"/>
      <c r="J73" s="584"/>
      <c r="K73" s="584"/>
      <c r="L73" s="584"/>
      <c r="M73" s="584"/>
    </row>
    <row r="74" spans="1:13" ht="18" customHeight="1">
      <c r="A74" s="561"/>
      <c r="B74" s="564"/>
      <c r="C74" s="564"/>
      <c r="D74" s="596"/>
      <c r="E74" s="576"/>
      <c r="F74" s="576"/>
      <c r="G74" s="576"/>
      <c r="H74" s="584"/>
      <c r="I74" s="584"/>
      <c r="J74" s="584"/>
      <c r="K74" s="584"/>
      <c r="L74" s="584"/>
      <c r="M74" s="584"/>
    </row>
    <row r="75" spans="1:13" ht="18" customHeight="1">
      <c r="A75" s="561"/>
      <c r="B75" s="564"/>
      <c r="C75" s="564"/>
      <c r="D75" s="596"/>
      <c r="E75" s="576"/>
      <c r="F75" s="576"/>
      <c r="G75" s="576"/>
      <c r="H75" s="584"/>
      <c r="I75" s="584"/>
      <c r="J75" s="584"/>
      <c r="K75" s="584"/>
      <c r="L75" s="584"/>
      <c r="M75" s="584"/>
    </row>
    <row r="76" spans="1:13" ht="18" customHeight="1">
      <c r="A76" s="562"/>
      <c r="B76" s="565"/>
      <c r="C76" s="565"/>
      <c r="D76" s="597"/>
      <c r="E76" s="577"/>
      <c r="F76" s="577"/>
      <c r="G76" s="577"/>
      <c r="H76" s="585"/>
      <c r="I76" s="585"/>
      <c r="J76" s="585"/>
      <c r="K76" s="585"/>
      <c r="L76" s="585"/>
      <c r="M76" s="585"/>
    </row>
  </sheetData>
  <mergeCells count="109">
    <mergeCell ref="J69:J76"/>
    <mergeCell ref="K69:K76"/>
    <mergeCell ref="L69:L76"/>
    <mergeCell ref="M69:M76"/>
    <mergeCell ref="E71:E76"/>
    <mergeCell ref="F71:F76"/>
    <mergeCell ref="G71:G76"/>
    <mergeCell ref="B69:B76"/>
    <mergeCell ref="C69:C76"/>
    <mergeCell ref="D69:D76"/>
    <mergeCell ref="E69:G70"/>
    <mergeCell ref="H69:H76"/>
    <mergeCell ref="I69:I76"/>
    <mergeCell ref="K61:K68"/>
    <mergeCell ref="L61:L68"/>
    <mergeCell ref="M61:M68"/>
    <mergeCell ref="E63:E68"/>
    <mergeCell ref="F63:F68"/>
    <mergeCell ref="G63:G68"/>
    <mergeCell ref="B61:B68"/>
    <mergeCell ref="D61:D68"/>
    <mergeCell ref="E61:G62"/>
    <mergeCell ref="H61:H68"/>
    <mergeCell ref="I61:I68"/>
    <mergeCell ref="J61:J68"/>
    <mergeCell ref="K53:K60"/>
    <mergeCell ref="L53:L60"/>
    <mergeCell ref="M53:M60"/>
    <mergeCell ref="E55:E60"/>
    <mergeCell ref="F55:F60"/>
    <mergeCell ref="G55:G60"/>
    <mergeCell ref="B53:B60"/>
    <mergeCell ref="D53:D60"/>
    <mergeCell ref="E53:G54"/>
    <mergeCell ref="H53:H60"/>
    <mergeCell ref="I53:I60"/>
    <mergeCell ref="J53:J60"/>
    <mergeCell ref="J45:J52"/>
    <mergeCell ref="K45:K52"/>
    <mergeCell ref="L45:L52"/>
    <mergeCell ref="M45:M52"/>
    <mergeCell ref="E47:E52"/>
    <mergeCell ref="F47:F52"/>
    <mergeCell ref="G47:G52"/>
    <mergeCell ref="J37:J44"/>
    <mergeCell ref="K37:K44"/>
    <mergeCell ref="L37:L44"/>
    <mergeCell ref="M37:M44"/>
    <mergeCell ref="E39:E44"/>
    <mergeCell ref="F39:F44"/>
    <mergeCell ref="G39:G44"/>
    <mergeCell ref="A37:A76"/>
    <mergeCell ref="B37:B44"/>
    <mergeCell ref="D37:D44"/>
    <mergeCell ref="E37:G38"/>
    <mergeCell ref="H37:H44"/>
    <mergeCell ref="I37:I44"/>
    <mergeCell ref="B45:B52"/>
    <mergeCell ref="D45:D52"/>
    <mergeCell ref="E45:G46"/>
    <mergeCell ref="H45:H52"/>
    <mergeCell ref="I45:I52"/>
    <mergeCell ref="J29:J36"/>
    <mergeCell ref="K29:K36"/>
    <mergeCell ref="L29:L36"/>
    <mergeCell ref="M29:M36"/>
    <mergeCell ref="E31:E36"/>
    <mergeCell ref="F31:F36"/>
    <mergeCell ref="G31:G36"/>
    <mergeCell ref="L21:L28"/>
    <mergeCell ref="M21:M28"/>
    <mergeCell ref="E23:E28"/>
    <mergeCell ref="F23:F28"/>
    <mergeCell ref="G23:G28"/>
    <mergeCell ref="B29:B36"/>
    <mergeCell ref="D29:D36"/>
    <mergeCell ref="E29:G30"/>
    <mergeCell ref="H29:H36"/>
    <mergeCell ref="I29:I36"/>
    <mergeCell ref="G14:G19"/>
    <mergeCell ref="A20:M20"/>
    <mergeCell ref="A21:A36"/>
    <mergeCell ref="B21:B28"/>
    <mergeCell ref="D21:D28"/>
    <mergeCell ref="E21:G22"/>
    <mergeCell ref="H21:H28"/>
    <mergeCell ref="I21:I28"/>
    <mergeCell ref="J21:J28"/>
    <mergeCell ref="K21:K28"/>
    <mergeCell ref="M4:M19"/>
    <mergeCell ref="E6:E11"/>
    <mergeCell ref="F6:F11"/>
    <mergeCell ref="G6:G11"/>
    <mergeCell ref="B12:B19"/>
    <mergeCell ref="C12:C19"/>
    <mergeCell ref="E12:G13"/>
    <mergeCell ref="L12:L19"/>
    <mergeCell ref="E14:E19"/>
    <mergeCell ref="F14:F19"/>
    <mergeCell ref="B2:B3"/>
    <mergeCell ref="E2:G2"/>
    <mergeCell ref="H2:M2"/>
    <mergeCell ref="B4:B11"/>
    <mergeCell ref="E4:G5"/>
    <mergeCell ref="H4:H19"/>
    <mergeCell ref="I4:I19"/>
    <mergeCell ref="J4:J19"/>
    <mergeCell ref="K4:K19"/>
    <mergeCell ref="L4:L11"/>
  </mergeCells>
  <phoneticPr fontId="2"/>
  <pageMargins left="0.78740157480314965" right="0.27559055118110237" top="0.98425196850393704" bottom="0.31496062992125984" header="0.78740157480314965" footer="0.39370078740157483"/>
  <pageSetup paperSize="8" scale="81" orientation="landscape" cellComments="asDisplayed"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AQ60"/>
  <sheetViews>
    <sheetView showGridLines="0" workbookViewId="0">
      <selection activeCell="G31" sqref="G31:G36"/>
    </sheetView>
  </sheetViews>
  <sheetFormatPr defaultColWidth="9" defaultRowHeight="13.15"/>
  <cols>
    <col min="1" max="51" width="2.140625" style="129" customWidth="1"/>
    <col min="52" max="16384" width="9" style="129"/>
  </cols>
  <sheetData>
    <row r="1" spans="2:43" ht="6" customHeight="1"/>
    <row r="2" spans="2:43" ht="16.149999999999999">
      <c r="B2" s="130" t="s">
        <v>680</v>
      </c>
    </row>
    <row r="4" spans="2:43">
      <c r="B4" s="129" t="s">
        <v>681</v>
      </c>
    </row>
    <row r="5" spans="2:43">
      <c r="B5" s="129" t="s">
        <v>682</v>
      </c>
    </row>
    <row r="8" spans="2:43" ht="14.45">
      <c r="B8" s="131" t="s">
        <v>683</v>
      </c>
    </row>
    <row r="10" spans="2:43">
      <c r="B10" s="132"/>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4"/>
    </row>
    <row r="11" spans="2:43">
      <c r="B11" s="135"/>
      <c r="C11" s="129" t="s">
        <v>684</v>
      </c>
      <c r="K11" s="129" t="s">
        <v>685</v>
      </c>
      <c r="M11" s="129" t="s">
        <v>686</v>
      </c>
      <c r="AQ11" s="136"/>
    </row>
    <row r="12" spans="2:43">
      <c r="B12" s="135"/>
      <c r="M12" s="129" t="s">
        <v>687</v>
      </c>
      <c r="AQ12" s="136"/>
    </row>
    <row r="13" spans="2:43">
      <c r="B13" s="135"/>
      <c r="AQ13" s="136"/>
    </row>
    <row r="14" spans="2:43">
      <c r="B14" s="135"/>
      <c r="C14" s="129" t="s">
        <v>688</v>
      </c>
      <c r="K14" s="129" t="s">
        <v>685</v>
      </c>
      <c r="M14" s="129" t="s">
        <v>689</v>
      </c>
      <c r="AQ14" s="136"/>
    </row>
    <row r="15" spans="2:43">
      <c r="B15" s="135"/>
      <c r="M15" s="129" t="s">
        <v>690</v>
      </c>
      <c r="AQ15" s="136"/>
    </row>
    <row r="16" spans="2:43">
      <c r="B16" s="137"/>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9"/>
    </row>
    <row r="18" spans="2:19">
      <c r="B18" s="129" t="s">
        <v>691</v>
      </c>
      <c r="G18" s="140" t="s">
        <v>692</v>
      </c>
      <c r="H18" s="140"/>
      <c r="I18" s="140"/>
      <c r="J18" s="140"/>
      <c r="K18" s="140"/>
      <c r="L18" s="140"/>
      <c r="M18" s="140"/>
      <c r="N18" s="140"/>
      <c r="O18" s="140"/>
      <c r="P18" s="140"/>
      <c r="Q18" s="140"/>
      <c r="R18" s="140"/>
      <c r="S18" s="140"/>
    </row>
    <row r="19" spans="2:19" ht="5.25" customHeight="1">
      <c r="G19" s="140"/>
      <c r="H19" s="140"/>
      <c r="I19" s="140"/>
      <c r="J19" s="140"/>
      <c r="K19" s="140"/>
      <c r="L19" s="140"/>
      <c r="M19" s="140"/>
      <c r="N19" s="140"/>
      <c r="O19" s="140"/>
      <c r="P19" s="140"/>
      <c r="Q19" s="140"/>
      <c r="R19" s="140"/>
      <c r="S19" s="140"/>
    </row>
    <row r="20" spans="2:19">
      <c r="G20" s="140" t="s">
        <v>693</v>
      </c>
      <c r="H20" s="140"/>
      <c r="I20" s="140"/>
      <c r="J20" s="140"/>
      <c r="K20" s="140"/>
      <c r="L20" s="140"/>
      <c r="M20" s="140"/>
      <c r="N20" s="140"/>
      <c r="O20" s="140"/>
      <c r="P20" s="140"/>
      <c r="Q20" s="140"/>
      <c r="R20" s="140"/>
      <c r="S20" s="140"/>
    </row>
    <row r="23" spans="2:19">
      <c r="B23" s="129" t="s">
        <v>694</v>
      </c>
    </row>
    <row r="24" spans="2:19">
      <c r="B24" s="129" t="s">
        <v>695</v>
      </c>
    </row>
    <row r="25" spans="2:19">
      <c r="B25" s="129" t="s">
        <v>696</v>
      </c>
    </row>
    <row r="28" spans="2:19">
      <c r="B28" s="129" t="s">
        <v>697</v>
      </c>
    </row>
    <row r="29" spans="2:19">
      <c r="B29" s="129" t="s">
        <v>698</v>
      </c>
    </row>
    <row r="30" spans="2:19">
      <c r="B30" s="129" t="s">
        <v>699</v>
      </c>
    </row>
    <row r="31" spans="2:19">
      <c r="B31" s="129" t="s">
        <v>700</v>
      </c>
    </row>
    <row r="33" spans="2:8">
      <c r="B33" s="129" t="s">
        <v>701</v>
      </c>
    </row>
    <row r="34" spans="2:8">
      <c r="B34" s="129" t="s">
        <v>702</v>
      </c>
    </row>
    <row r="35" spans="2:8">
      <c r="D35" s="129" t="s">
        <v>703</v>
      </c>
      <c r="E35" s="129" t="s">
        <v>704</v>
      </c>
    </row>
    <row r="36" spans="2:8">
      <c r="D36" s="129" t="s">
        <v>703</v>
      </c>
      <c r="E36" s="129" t="s">
        <v>705</v>
      </c>
    </row>
    <row r="37" spans="2:8">
      <c r="B37" s="129" t="s">
        <v>706</v>
      </c>
    </row>
    <row r="41" spans="2:8" ht="14.45">
      <c r="B41" s="131" t="s">
        <v>707</v>
      </c>
    </row>
    <row r="43" spans="2:8">
      <c r="B43" s="129" t="s">
        <v>708</v>
      </c>
    </row>
    <row r="44" spans="2:8">
      <c r="C44" s="129" t="s">
        <v>709</v>
      </c>
      <c r="H44" s="129" t="s">
        <v>710</v>
      </c>
    </row>
    <row r="45" spans="2:8">
      <c r="H45" s="129" t="s">
        <v>711</v>
      </c>
    </row>
    <row r="46" spans="2:8" ht="5.25" customHeight="1"/>
    <row r="47" spans="2:8">
      <c r="C47" s="129" t="s">
        <v>712</v>
      </c>
      <c r="H47" s="129" t="s">
        <v>713</v>
      </c>
    </row>
    <row r="48" spans="2:8">
      <c r="H48" s="129" t="s">
        <v>714</v>
      </c>
    </row>
    <row r="50" spans="2:43">
      <c r="B50" s="129" t="s">
        <v>715</v>
      </c>
    </row>
    <row r="51" spans="2:43">
      <c r="B51" s="132"/>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4"/>
    </row>
    <row r="52" spans="2:43">
      <c r="B52" s="135"/>
      <c r="C52" s="140" t="s">
        <v>716</v>
      </c>
      <c r="D52" s="140"/>
      <c r="L52" s="129" t="s">
        <v>685</v>
      </c>
      <c r="M52" s="129" t="s">
        <v>717</v>
      </c>
      <c r="AQ52" s="136"/>
    </row>
    <row r="53" spans="2:43">
      <c r="B53" s="135"/>
      <c r="C53" s="140" t="s">
        <v>718</v>
      </c>
      <c r="D53" s="140"/>
      <c r="L53" s="129" t="s">
        <v>685</v>
      </c>
      <c r="M53" s="129" t="s">
        <v>719</v>
      </c>
      <c r="AQ53" s="136"/>
    </row>
    <row r="54" spans="2:43">
      <c r="B54" s="135"/>
      <c r="C54" s="140" t="s">
        <v>720</v>
      </c>
      <c r="D54" s="140"/>
      <c r="L54" s="129" t="s">
        <v>685</v>
      </c>
      <c r="M54" s="129" t="s">
        <v>721</v>
      </c>
      <c r="AQ54" s="136"/>
    </row>
    <row r="55" spans="2:43">
      <c r="B55" s="137"/>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c r="AE55" s="138"/>
      <c r="AF55" s="138"/>
      <c r="AG55" s="138"/>
      <c r="AH55" s="138"/>
      <c r="AI55" s="138"/>
      <c r="AJ55" s="138"/>
      <c r="AK55" s="138"/>
      <c r="AL55" s="138"/>
      <c r="AM55" s="138"/>
      <c r="AN55" s="138"/>
      <c r="AO55" s="138"/>
      <c r="AP55" s="138"/>
      <c r="AQ55" s="139"/>
    </row>
    <row r="57" spans="2:43">
      <c r="B57" s="129" t="s">
        <v>722</v>
      </c>
    </row>
    <row r="58" spans="2:43">
      <c r="C58" s="129" t="s">
        <v>723</v>
      </c>
    </row>
    <row r="59" spans="2:43">
      <c r="C59" s="129" t="s">
        <v>724</v>
      </c>
    </row>
    <row r="60" spans="2:43">
      <c r="B60" s="129" t="s">
        <v>725</v>
      </c>
    </row>
  </sheetData>
  <phoneticPr fontId="2"/>
  <pageMargins left="0.7" right="0.7" top="0.75" bottom="0.75" header="0.3" footer="0.3"/>
  <pageSetup paperSize="9" scale="5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FFE3C9EDD4E5D44A7D61183F50DF2FF" ma:contentTypeVersion="6" ma:contentTypeDescription="新しいドキュメントを作成します。" ma:contentTypeScope="" ma:versionID="07f0edb262cdfd2e532ac873aa47d9ac">
  <xsd:schema xmlns:xsd="http://www.w3.org/2001/XMLSchema" xmlns:xs="http://www.w3.org/2001/XMLSchema" xmlns:p="http://schemas.microsoft.com/office/2006/metadata/properties" xmlns:ns2="94223694-d6d4-4f79-ad78-674fc3ee334b" xmlns:ns3="036d3916-a9af-489d-a6a3-1cd69de3c163" targetNamespace="http://schemas.microsoft.com/office/2006/metadata/properties" ma:root="true" ma:fieldsID="7a72c4b7b87b25def41a59847e4d04b7" ns2:_="" ns3:_="">
    <xsd:import namespace="94223694-d6d4-4f79-ad78-674fc3ee334b"/>
    <xsd:import namespace="036d3916-a9af-489d-a6a3-1cd69de3c16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223694-d6d4-4f79-ad78-674fc3ee33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6d3916-a9af-489d-a6a3-1cd69de3c163"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7DAA0C-45F9-428A-A963-FBC4D09486CF}"/>
</file>

<file path=customXml/itemProps2.xml><?xml version="1.0" encoding="utf-8"?>
<ds:datastoreItem xmlns:ds="http://schemas.openxmlformats.org/officeDocument/2006/customXml" ds:itemID="{9B24C854-D32C-4DF8-AB45-37C002763AFE}"/>
</file>

<file path=customXml/itemProps3.xml><?xml version="1.0" encoding="utf-8"?>
<ds:datastoreItem xmlns:ds="http://schemas.openxmlformats.org/officeDocument/2006/customXml" ds:itemID="{A8032C24-20FC-4E29-85BD-92EA8D22B3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藤園 良子</dc:creator>
  <cp:keywords/>
  <dc:description/>
  <cp:lastModifiedBy>幡野 史峻</cp:lastModifiedBy>
  <cp:revision/>
  <dcterms:created xsi:type="dcterms:W3CDTF">2014-12-02T04:39:08Z</dcterms:created>
  <dcterms:modified xsi:type="dcterms:W3CDTF">2026-06-03T09:44:46Z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0x010100AFFE3C9EDD4E5D44A7D61183F50DF2FF</vt:lpwstr>
  </property>
</Properties>
</file>